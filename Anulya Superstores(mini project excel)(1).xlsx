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firstSheet="1" activeTab="5"/>
  </bookViews>
  <sheets>
    <sheet name="Product Pivot Table" sheetId="3" r:id="rId1"/>
    <sheet name="Customer Pivot Table" sheetId="6" r:id="rId2"/>
    <sheet name="category pivot table" sheetId="8" r:id="rId3"/>
    <sheet name="Superstores_sales_dataset_1_" sheetId="1" r:id="rId4"/>
    <sheet name="Data Exploration" sheetId="2" r:id="rId5"/>
    <sheet name="Dashboard" sheetId="4" r:id="rId6"/>
  </sheets>
  <definedNames>
    <definedName name="Slicer_Segment">#N/A</definedName>
    <definedName name="Slicer_Sub_Category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<sst xmlns="http://schemas.openxmlformats.org/spreadsheetml/2006/main" count="11172" uniqueCount="3229">
  <si>
    <t>State2</t>
  </si>
  <si>
    <t>(ALL)</t>
  </si>
  <si>
    <t>Region</t>
  </si>
  <si>
    <t xml:space="preserve">Sum of Sales </t>
  </si>
  <si>
    <t>Sum of Discount</t>
  </si>
  <si>
    <t>Sum of Profit</t>
  </si>
  <si>
    <t xml:space="preserve">Average of Sales </t>
  </si>
  <si>
    <t>Sum of Quantity</t>
  </si>
  <si>
    <t>Central</t>
  </si>
  <si>
    <t>East</t>
  </si>
  <si>
    <t>South</t>
  </si>
  <si>
    <t>West</t>
  </si>
  <si>
    <t>Grand Total</t>
  </si>
  <si>
    <t>Postal Code</t>
  </si>
  <si>
    <t>Segment</t>
  </si>
  <si>
    <t>Count of Region</t>
  </si>
  <si>
    <t>Consumer</t>
  </si>
  <si>
    <t>Corporate</t>
  </si>
  <si>
    <t>Home Office</t>
  </si>
  <si>
    <t>Category</t>
  </si>
  <si>
    <t>Furniture</t>
  </si>
  <si>
    <t>Office Supplies</t>
  </si>
  <si>
    <t>Technology</t>
  </si>
  <si>
    <t>Row ID</t>
  </si>
  <si>
    <t>State</t>
  </si>
  <si>
    <t>Order Date</t>
  </si>
  <si>
    <t>Ship Date</t>
  </si>
  <si>
    <t>Ship Mode</t>
  </si>
  <si>
    <t>Customer ID</t>
  </si>
  <si>
    <t>Customer Name</t>
  </si>
  <si>
    <t>Country</t>
  </si>
  <si>
    <t>City</t>
  </si>
  <si>
    <t>Product ID</t>
  </si>
  <si>
    <t>Sub-Category</t>
  </si>
  <si>
    <t>Product Name</t>
  </si>
  <si>
    <t xml:space="preserve">Sales </t>
  </si>
  <si>
    <t>Quantity</t>
  </si>
  <si>
    <t>Discount</t>
  </si>
  <si>
    <t>Profit</t>
  </si>
  <si>
    <t>CA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</si>
  <si>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</si>
  <si>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</si>
  <si>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</si>
  <si>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</si>
  <si>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</si>
  <si>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</si>
  <si>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</si>
  <si>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</si>
  <si>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</si>
  <si>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</si>
  <si>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</si>
  <si>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</si>
  <si>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</si>
  <si>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</si>
  <si>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</si>
  <si>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</si>
  <si>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</si>
  <si>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</si>
  <si>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</si>
  <si>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</si>
  <si>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</si>
  <si>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</si>
  <si>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</si>
  <si>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</si>
  <si>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</si>
  <si>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BH-11710</t>
  </si>
  <si>
    <t>Brosina Hoffman</t>
  </si>
  <si>
    <t>FUR-FU-10001487</t>
  </si>
  <si>
    <t>Furnishings</t>
  </si>
  <si>
    <t>Eldon Expressions Wood and Plastic Desk Accessories, Cherry Wood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</si>
  <si>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</si>
  <si>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</si>
  <si>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</si>
  <si>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</si>
  <si>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</si>
  <si>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</si>
  <si>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</si>
  <si>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</si>
  <si>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</si>
  <si>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</si>
  <si>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</si>
  <si>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</si>
  <si>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</si>
  <si>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</si>
  <si>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HP-14815</t>
  </si>
  <si>
    <t>Harold Pawlan</t>
  </si>
  <si>
    <t>Fort Worth</t>
  </si>
  <si>
    <t>Texas</t>
  </si>
  <si>
    <t>OFF-AP-10002311</t>
  </si>
  <si>
    <t>Appliances</t>
  </si>
  <si>
    <t>Holmes Replacement Filter for HEPA Air Cleaner, Very Large Room, HEPA Filter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</si>
  <si>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</si>
  <si>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</si>
  <si>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</si>
  <si>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</si>
  <si>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</si>
  <si>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</si>
  <si>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</si>
  <si>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</si>
  <si>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</si>
  <si>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</si>
  <si>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</si>
  <si>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</si>
  <si>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</si>
  <si>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</si>
  <si>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</si>
  <si>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</si>
  <si>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</si>
  <si>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Art</t>
  </si>
  <si>
    <t>Newell 341</t>
  </si>
  <si>
    <t>KB-16585</t>
  </si>
  <si>
    <t>Ken Black</t>
  </si>
  <si>
    <t>Fremont</t>
  </si>
  <si>
    <t>Nebraska</t>
  </si>
  <si>
    <t>OFF-AR-10000246</t>
  </si>
  <si>
    <t>Newell 318</t>
  </si>
  <si>
    <t>SF-20065</t>
  </si>
  <si>
    <t>Sandra Flanagan</t>
  </si>
  <si>
    <t>Philadelphia</t>
  </si>
  <si>
    <t>Pennsylvania</t>
  </si>
  <si>
    <t>FUR-CH-10002774</t>
  </si>
  <si>
    <t>Chairs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</si>
  <si>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</si>
  <si>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</si>
  <si>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</si>
  <si>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</si>
  <si>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</si>
  <si>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</si>
  <si>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</si>
  <si>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</si>
  <si>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TB-21520</t>
  </si>
  <si>
    <t>Tracy Blumstein</t>
  </si>
  <si>
    <t>FUR-BO-10004834</t>
  </si>
  <si>
    <t>Riverside Palais Royal Lawyers Bookcase, Royale Cherry Finish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</si>
  <si>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</si>
  <si>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</si>
  <si>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</si>
  <si>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</si>
  <si>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</si>
  <si>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</si>
  <si>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</si>
  <si>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</si>
  <si>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</si>
  <si>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</si>
  <si>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</si>
  <si>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</si>
  <si>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SN-20710</t>
  </si>
  <si>
    <t>Steve Nguyen</t>
  </si>
  <si>
    <t>OFF-EN-10002986</t>
  </si>
  <si>
    <t>Envelopes</t>
  </si>
  <si>
    <t>#10-4 1/8" x 9 1/2" Premium Diagonal Seam Envelopes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</si>
  <si>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</si>
  <si>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</si>
  <si>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</si>
  <si>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</si>
  <si>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</si>
  <si>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</si>
  <si>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</si>
  <si>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</si>
  <si>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</si>
  <si>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</si>
  <si>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</si>
  <si>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</si>
  <si>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</si>
  <si>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</si>
  <si>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</si>
  <si>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</si>
  <si>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</si>
  <si>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</si>
  <si>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</si>
  <si>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</si>
  <si>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</si>
  <si>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</si>
  <si>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</si>
  <si>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</si>
  <si>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</si>
  <si>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</si>
  <si>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</si>
  <si>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</si>
  <si>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</si>
  <si>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</si>
  <si>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</si>
  <si>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</si>
  <si>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</si>
  <si>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</si>
  <si>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</si>
  <si>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</si>
  <si>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</si>
  <si>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</si>
  <si>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</si>
  <si>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</si>
  <si>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</si>
  <si>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</si>
  <si>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</si>
  <si>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</si>
  <si>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</si>
  <si>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</si>
  <si>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</si>
  <si>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TB-21055</t>
  </si>
  <si>
    <t>Ted Butterfield</t>
  </si>
  <si>
    <t>Troy</t>
  </si>
  <si>
    <t>OFF-ST-10000604</t>
  </si>
  <si>
    <t>Home/Office Personal File Carts</t>
  </si>
  <si>
    <t>KM-16720</t>
  </si>
  <si>
    <t>Kunst Miller</t>
  </si>
  <si>
    <t>TEC-AC-10004633</t>
  </si>
  <si>
    <t>Verbatim 25 GB 6x Blu-ray Single Layer Recordable Disc, 3/Pack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</si>
  <si>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</si>
  <si>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</si>
  <si>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</si>
  <si>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</si>
  <si>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</si>
  <si>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</si>
  <si>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</si>
  <si>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</si>
  <si>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</si>
  <si>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</si>
  <si>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</si>
  <si>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</si>
  <si>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</si>
  <si>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</si>
  <si>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</si>
  <si>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</si>
  <si>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</si>
  <si>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</si>
  <si>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</si>
  <si>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</si>
  <si>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</si>
  <si>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JE-15745</t>
  </si>
  <si>
    <t>Joel Eaton</t>
  </si>
  <si>
    <t>Memphis</t>
  </si>
  <si>
    <t>Tennessee</t>
  </si>
  <si>
    <t>FUR-CH-10000513</t>
  </si>
  <si>
    <t>High-Back Leather Manager's Chair</t>
  </si>
  <si>
    <t>KB-16600</t>
  </si>
  <si>
    <t>Ken Brennan</t>
  </si>
  <si>
    <t>OFF-BI-10004182</t>
  </si>
  <si>
    <t>Economy Binders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</si>
  <si>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</si>
  <si>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</si>
  <si>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</si>
  <si>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</si>
  <si>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</si>
  <si>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</si>
  <si>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DN-13690</t>
  </si>
  <si>
    <t>Duane Noonan</t>
  </si>
  <si>
    <t>OFF-AR-10002053</t>
  </si>
  <si>
    <t>Premium Writing Pencils, Soft, #2 by Central Association for the Blind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</si>
  <si>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</si>
  <si>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</si>
  <si>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</si>
  <si>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</si>
  <si>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</si>
  <si>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</si>
  <si>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</si>
  <si>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</si>
  <si>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</si>
  <si>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PG-18895</t>
  </si>
  <si>
    <t>Paul Gonzalez</t>
  </si>
  <si>
    <t>Rochester</t>
  </si>
  <si>
    <t>TEC-AC-10001998</t>
  </si>
  <si>
    <t>Logitech LS21 Speaker System - PC Multimedia - 2.1-CH - Wired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</si>
  <si>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</si>
  <si>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</si>
  <si>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</si>
  <si>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</si>
  <si>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</si>
  <si>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</si>
  <si>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</si>
  <si>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</si>
  <si>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KB-16315</t>
  </si>
  <si>
    <t>Karl Braun</t>
  </si>
  <si>
    <t>Minneapolis</t>
  </si>
  <si>
    <t>OFF-PA-10003177</t>
  </si>
  <si>
    <t>Xerox 1999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</si>
  <si>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</si>
  <si>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</si>
  <si>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</si>
  <si>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</si>
  <si>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</si>
  <si>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</si>
  <si>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</si>
  <si>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</si>
  <si>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</si>
  <si>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</si>
  <si>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</si>
  <si>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</si>
  <si>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</si>
  <si>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</si>
  <si>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</si>
  <si>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</si>
  <si>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</si>
  <si>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</si>
  <si>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</si>
  <si>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</si>
  <si>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</si>
  <si>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</si>
  <si>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</si>
  <si>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</si>
  <si>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</si>
  <si>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</si>
  <si>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</si>
  <si>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</si>
  <si>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</si>
  <si>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</si>
  <si>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</si>
  <si>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</si>
  <si>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</si>
  <si>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JM-15250</t>
  </si>
  <si>
    <t>Janet Martin</t>
  </si>
  <si>
    <t>Charlotte</t>
  </si>
  <si>
    <t>TEC-AC-10003499</t>
  </si>
  <si>
    <t>Memorex Mini Travel Drive 8 GB USB 2.0 Flash Drive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</si>
  <si>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</si>
  <si>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</si>
  <si>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</si>
  <si>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</si>
  <si>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</si>
  <si>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</si>
  <si>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</si>
  <si>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</si>
  <si>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</si>
  <si>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</si>
  <si>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</si>
  <si>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</si>
  <si>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</si>
  <si>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</si>
  <si>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</si>
  <si>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RC-19960</t>
  </si>
  <si>
    <t>Ryan Crowe</t>
  </si>
  <si>
    <t>Columbus</t>
  </si>
  <si>
    <t>Ohio</t>
  </si>
  <si>
    <t>OFF-FA-10000621</t>
  </si>
  <si>
    <t>OIC Colored Binder Clips, Assorted Sizes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</si>
  <si>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</si>
  <si>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</si>
  <si>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</si>
  <si>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</si>
  <si>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</si>
  <si>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</si>
  <si>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</si>
  <si>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</si>
  <si>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</si>
  <si>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</si>
  <si>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</si>
  <si>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</si>
  <si>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</si>
  <si>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</si>
  <si>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</si>
  <si>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</si>
  <si>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</si>
  <si>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</si>
  <si>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</si>
  <si>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</si>
  <si>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</si>
  <si>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</si>
  <si>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</si>
  <si>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</si>
  <si>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</si>
  <si>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</si>
  <si>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</si>
  <si>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</si>
  <si>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LS-16975</t>
  </si>
  <si>
    <t>Lindsay Shagiari</t>
  </si>
  <si>
    <t>Global Task Chair, Black</t>
  </si>
  <si>
    <t>DW-13585</t>
  </si>
  <si>
    <t>Dorothy Wardle</t>
  </si>
  <si>
    <t>TEC-PH-10002293</t>
  </si>
  <si>
    <t>Anker 36W 4-Port USB Wall Charger Travel Power Adapter for iPhone 5s 5c 5</t>
  </si>
  <si>
    <t>LC-16885</t>
  </si>
  <si>
    <t>Lena Creighton</t>
  </si>
  <si>
    <t>Roseville</t>
  </si>
  <si>
    <t>OFF-PA-10001804</t>
  </si>
  <si>
    <t>Xerox 195</t>
  </si>
  <si>
    <t>JD-15895</t>
  </si>
  <si>
    <t>Jonathan Doherty</t>
  </si>
  <si>
    <t>FUR-FU-10004848</t>
  </si>
  <si>
    <t>Howard Miller 13-3/4" Diameter Brushed Chrome Round Wall Clock</t>
  </si>
  <si>
    <t>SH-19975</t>
  </si>
  <si>
    <t>Sally Hughsby</t>
  </si>
  <si>
    <t>OFF-AR-10000940</t>
  </si>
  <si>
    <t>Newell 343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</si>
  <si>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</si>
  <si>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</si>
  <si>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</si>
  <si>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</si>
  <si>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</si>
  <si>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</si>
  <si>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</si>
  <si>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</si>
  <si>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</si>
  <si>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</si>
  <si>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</si>
  <si>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</si>
  <si>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</si>
  <si>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</si>
  <si>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</si>
  <si>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</si>
  <si>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</si>
  <si>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</si>
  <si>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</si>
  <si>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TW-21025</t>
  </si>
  <si>
    <t>Tamara Willingham</t>
  </si>
  <si>
    <t>Scottsdale</t>
  </si>
  <si>
    <t>OFF-AP-10000326</t>
  </si>
  <si>
    <t>Belkin 7 Outlet SurgeMaster Surge Protector with Phone Protection</t>
  </si>
  <si>
    <t>SP-20650</t>
  </si>
  <si>
    <t>Stephanie Phelps</t>
  </si>
  <si>
    <t>San Jose</t>
  </si>
  <si>
    <t>OFF-PA-10001950</t>
  </si>
  <si>
    <t>Southworth 25% Cotton Antique Laid Paper &amp; Envelopes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</si>
  <si>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</si>
  <si>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</si>
  <si>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</si>
  <si>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</si>
  <si>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</si>
  <si>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</si>
  <si>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</si>
  <si>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</si>
  <si>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</si>
  <si>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</si>
  <si>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</si>
  <si>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</si>
  <si>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</si>
  <si>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</si>
  <si>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</si>
  <si>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</si>
  <si>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</si>
  <si>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</si>
  <si>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</si>
  <si>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</si>
  <si>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</si>
  <si>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</si>
  <si>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</si>
  <si>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</si>
  <si>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</si>
  <si>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</si>
  <si>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</si>
  <si>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</si>
  <si>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</si>
  <si>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</si>
  <si>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</si>
  <si>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</si>
  <si>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</si>
  <si>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</si>
  <si>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</si>
  <si>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CS-12130</t>
  </si>
  <si>
    <t>Chad Sievert</t>
  </si>
  <si>
    <t>OFF-PA-10000659</t>
  </si>
  <si>
    <t>Adams Phone Message Book, Professional, 400 Message Capacity, 5 3/6 x 11</t>
  </si>
  <si>
    <t>JB-15400</t>
  </si>
  <si>
    <t>Jennifer Braxton</t>
  </si>
  <si>
    <t>OFF-AP-10000891</t>
  </si>
  <si>
    <t>Kensington 7 Outlet MasterPiece HOMEOFFICE Power Control Center</t>
  </si>
  <si>
    <t>SJ-20500</t>
  </si>
  <si>
    <t>Shirley Jackson</t>
  </si>
  <si>
    <t>OFF-AP-10002684</t>
  </si>
  <si>
    <t>Acco 7-Outlet Masterpiece Power Center, Wihtout Fax/Phone Line Protection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</si>
  <si>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</si>
  <si>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</si>
  <si>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</si>
  <si>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</si>
  <si>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</si>
  <si>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</si>
  <si>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</si>
  <si>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</si>
  <si>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RM-19675</t>
  </si>
  <si>
    <t>Robert Marley</t>
  </si>
  <si>
    <t>Monroe</t>
  </si>
  <si>
    <t>Louisiana</t>
  </si>
  <si>
    <t>TEC-PH-10003273</t>
  </si>
  <si>
    <t>AT&amp;T TR1909W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</si>
  <si>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</si>
  <si>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</si>
  <si>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</si>
  <si>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</si>
  <si>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</si>
  <si>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</si>
  <si>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</si>
  <si>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</si>
  <si>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</si>
  <si>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</si>
  <si>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</si>
  <si>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</si>
  <si>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</si>
  <si>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</si>
  <si>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</si>
  <si>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</si>
  <si>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</si>
  <si>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</si>
  <si>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</si>
  <si>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MZ-17515</t>
  </si>
  <si>
    <t>Mary Zewe</t>
  </si>
  <si>
    <t>Redlands</t>
  </si>
  <si>
    <t>OFF-EN-10001509</t>
  </si>
  <si>
    <t>Poly String Tie Envelopes</t>
  </si>
  <si>
    <t>CB-12025</t>
  </si>
  <si>
    <t>Cassandra Brandow</t>
  </si>
  <si>
    <t>Hamilton</t>
  </si>
  <si>
    <t>OFF-AR-10004685</t>
  </si>
  <si>
    <t>Binney &amp; Smith Crayola Metallic Colored Pencils, 8-Color Set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</si>
  <si>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</si>
  <si>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</si>
  <si>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</si>
  <si>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</si>
  <si>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</si>
  <si>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</si>
  <si>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</si>
  <si>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</si>
  <si>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</si>
  <si>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</si>
  <si>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</si>
  <si>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</si>
  <si>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</si>
  <si>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</si>
  <si>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</si>
  <si>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</si>
  <si>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</si>
  <si>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</si>
  <si>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</si>
  <si>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</si>
  <si>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</si>
  <si>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</si>
  <si>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</si>
  <si>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</si>
  <si>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</si>
  <si>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</si>
  <si>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</si>
  <si>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</si>
  <si>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</si>
  <si>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</si>
  <si>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</si>
  <si>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</si>
  <si>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</si>
  <si>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</si>
  <si>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</si>
  <si>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</si>
  <si>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</si>
  <si>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</si>
  <si>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</si>
  <si>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</si>
  <si>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</si>
  <si>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</si>
  <si>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</si>
  <si>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</si>
  <si>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</si>
  <si>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</si>
  <si>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</si>
  <si>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</si>
  <si>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JH-15910</t>
  </si>
  <si>
    <t>Jonathan Howell</t>
  </si>
  <si>
    <t>JB-15925</t>
  </si>
  <si>
    <t>Joni Blumstein</t>
  </si>
  <si>
    <t>Dublin</t>
  </si>
  <si>
    <t>OFF-FA-10000585</t>
  </si>
  <si>
    <t>OIC Bulk Pack Metal Binder Clips</t>
  </si>
  <si>
    <t>DS-13180</t>
  </si>
  <si>
    <t>David Smith</t>
  </si>
  <si>
    <t>Detroit</t>
  </si>
  <si>
    <t>OFF-AR-10001026</t>
  </si>
  <si>
    <t>Sanford Uni-Blazer View Highlighters, Chisel Tip, Yellow</t>
  </si>
  <si>
    <t>VD-21670</t>
  </si>
  <si>
    <t>Valerie Dominguez</t>
  </si>
  <si>
    <t>Columbia</t>
  </si>
  <si>
    <t>FUR-CH-10004860</t>
  </si>
  <si>
    <t>Global Low Back Tilter Chair</t>
  </si>
  <si>
    <t>EA-14035</t>
  </si>
  <si>
    <t>Erin Ashbrook</t>
  </si>
  <si>
    <t>OFF-BI-10001679</t>
  </si>
  <si>
    <t>GBC Instant Index System for Binding Systems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</si>
  <si>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</si>
  <si>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</si>
  <si>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</si>
  <si>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</si>
  <si>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</si>
  <si>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</si>
  <si>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</si>
  <si>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</si>
  <si>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</si>
  <si>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DW-13480</t>
  </si>
  <si>
    <t>Dianna Wilson</t>
  </si>
  <si>
    <t>Lakeville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</si>
  <si>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</si>
  <si>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</si>
  <si>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</si>
  <si>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</si>
  <si>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</si>
  <si>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</si>
  <si>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</si>
  <si>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</si>
  <si>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</si>
  <si>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</si>
  <si>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</si>
  <si>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</si>
  <si>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</si>
  <si>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DR-12880</t>
  </si>
  <si>
    <t>Dan Reichenbach</t>
  </si>
  <si>
    <t>FUR-FU-10002505</t>
  </si>
  <si>
    <t>Eldon 100 Class Desk Accessories</t>
  </si>
  <si>
    <t>CC-12670</t>
  </si>
  <si>
    <t>Craig Carreira</t>
  </si>
  <si>
    <t>TEC-AC-10000290</t>
  </si>
  <si>
    <t>Sabrent 4-Port USB 2.0 Hub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</si>
  <si>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</si>
  <si>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</si>
  <si>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</si>
  <si>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</si>
  <si>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</si>
  <si>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</si>
  <si>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TEC-MA-10000822</t>
  </si>
  <si>
    <t>Machines</t>
  </si>
  <si>
    <t>Lexmark MX611dhe Monochrome Laser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</si>
  <si>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</si>
  <si>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</si>
  <si>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</si>
  <si>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</si>
  <si>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</si>
  <si>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</si>
  <si>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</si>
  <si>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</si>
  <si>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</si>
  <si>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</si>
  <si>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</si>
  <si>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</si>
  <si>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</si>
  <si>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</si>
  <si>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CA-12310</t>
  </si>
  <si>
    <t>Christine Abelman</t>
  </si>
  <si>
    <t>Cincinnati</t>
  </si>
  <si>
    <t>OFF-ST-10004180</t>
  </si>
  <si>
    <t>Safco Commercial Shelving</t>
  </si>
  <si>
    <t>KH-16690</t>
  </si>
  <si>
    <t>Kristen Hastings</t>
  </si>
  <si>
    <t>OFF-ST-10003208</t>
  </si>
  <si>
    <t>Adjustable Depth Letter/Legal Cart</t>
  </si>
  <si>
    <t>BB-10990</t>
  </si>
  <si>
    <t>Barry Blumstein</t>
  </si>
  <si>
    <t>Inglewood</t>
  </si>
  <si>
    <t>OFF-PA-10002615</t>
  </si>
  <si>
    <t>Ampad Gold Fibre Wirebound Steno Books, 6" x 9", Gregg Ruled</t>
  </si>
  <si>
    <t>AG-10495</t>
  </si>
  <si>
    <t>Andrew Gjertsen</t>
  </si>
  <si>
    <t>OFF-PA-10000673</t>
  </si>
  <si>
    <t>Post-it Important Message Note Pad, Neon Colors, 50 Sheets/Pad</t>
  </si>
  <si>
    <t>JO-15280</t>
  </si>
  <si>
    <t>Jas O'Carroll</t>
  </si>
  <si>
    <t>FUR-TA-10002903</t>
  </si>
  <si>
    <t>Bevis Round Bullnose 29" High Table Top</t>
  </si>
  <si>
    <t>AH-10195</t>
  </si>
  <si>
    <t>Alan Haines</t>
  </si>
  <si>
    <t>Tamarac</t>
  </si>
  <si>
    <t>OFF-BI-10000778</t>
  </si>
  <si>
    <t>GBC VeloBinder Electric Binding Machine</t>
  </si>
  <si>
    <t>NZ-18565</t>
  </si>
  <si>
    <t>Nick Zandusky</t>
  </si>
  <si>
    <t>OFF-FA-10002983</t>
  </si>
  <si>
    <t>Advantus SlideClip Paper Clips</t>
  </si>
  <si>
    <t>KL-16555</t>
  </si>
  <si>
    <t>Kelly Lampkin</t>
  </si>
  <si>
    <t>Colorado Springs</t>
  </si>
  <si>
    <t>FUR-FU-10004091</t>
  </si>
  <si>
    <t>Howard Miller 13" Diameter Goldtone Round Wall Clock</t>
  </si>
  <si>
    <t>AS-10225</t>
  </si>
  <si>
    <t>Alan Schoenberger</t>
  </si>
  <si>
    <t>FUR-FU-10002671</t>
  </si>
  <si>
    <t>Electrix 20W Halogen Replacement Bulb for Zoom-In Desk Lamp</t>
  </si>
  <si>
    <t>CR-12625</t>
  </si>
  <si>
    <t>Corey Roper</t>
  </si>
  <si>
    <t>Lakewood</t>
  </si>
  <si>
    <t>OFF-BI-10001072</t>
  </si>
  <si>
    <t>GBC Clear Cover, 8-1/2 x 11, unpunched, 25 covers per pack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</si>
  <si>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</si>
  <si>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</si>
  <si>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</si>
  <si>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</si>
  <si>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</si>
  <si>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</si>
  <si>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</si>
  <si>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</si>
  <si>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</si>
  <si>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</si>
  <si>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</si>
  <si>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</si>
  <si>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</si>
  <si>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</si>
  <si>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</si>
  <si>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</si>
  <si>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</si>
  <si>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</si>
  <si>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</si>
  <si>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</si>
  <si>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</si>
  <si>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</si>
  <si>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</si>
  <si>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</si>
  <si>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</si>
  <si>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</si>
  <si>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</si>
  <si>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</si>
  <si>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</si>
  <si>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</si>
  <si>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</si>
  <si>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</si>
  <si>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</si>
  <si>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</si>
  <si>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</si>
  <si>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</si>
  <si>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OFF-BI-10004593</t>
  </si>
  <si>
    <t>Ibico Laser Imprintable Binding System Covers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</si>
  <si>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</si>
  <si>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</si>
  <si>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</si>
  <si>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</si>
  <si>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</si>
  <si>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</si>
  <si>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</si>
  <si>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</si>
  <si>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</si>
  <si>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JL-15850</t>
  </si>
  <si>
    <t>John Lucas</t>
  </si>
  <si>
    <t>TEC-PH-10004614</t>
  </si>
  <si>
    <t>AT&amp;T 841000 Phone</t>
  </si>
  <si>
    <t>DB-13615</t>
  </si>
  <si>
    <t>Doug Bickford</t>
  </si>
  <si>
    <t>OFF-BI-10001922</t>
  </si>
  <si>
    <t>Storex Dura Pro Binders</t>
  </si>
  <si>
    <t>AC-10420</t>
  </si>
  <si>
    <t>Alyssa Crouse</t>
  </si>
  <si>
    <t>OFF-BI-10003314</t>
  </si>
  <si>
    <t>Tuff Stuff Recycled Round Ring Binders</t>
  </si>
  <si>
    <t>CC-12550</t>
  </si>
  <si>
    <t>Clay Cheatham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</si>
  <si>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</si>
  <si>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</si>
  <si>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</si>
  <si>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</si>
  <si>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</si>
  <si>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</si>
  <si>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AB-10060</t>
  </si>
  <si>
    <t>Adam Bellavance</t>
  </si>
  <si>
    <t>JL-15505</t>
  </si>
  <si>
    <t>Jeremy Lonsdale</t>
  </si>
  <si>
    <t>FUR-BO-10002268</t>
  </si>
  <si>
    <t>Sauder Barrister Bookcases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</si>
  <si>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</si>
  <si>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</si>
  <si>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</si>
  <si>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</si>
  <si>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</si>
  <si>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KW-16435</t>
  </si>
  <si>
    <t>Katrina Willman</t>
  </si>
  <si>
    <t>OFF-LA-10001158</t>
  </si>
  <si>
    <t>Avery Address/Shipping Labels for Typewriters, 4" x 2"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</si>
  <si>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</si>
  <si>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</si>
  <si>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</si>
  <si>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</si>
  <si>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</si>
  <si>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</si>
  <si>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</si>
  <si>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</si>
  <si>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GT-14755</t>
  </si>
  <si>
    <t>Guy Thornton</t>
  </si>
  <si>
    <t>Harlingen</t>
  </si>
  <si>
    <t>OFF-PA-10002036</t>
  </si>
  <si>
    <t>Xerox 1930</t>
  </si>
  <si>
    <t>AG-10900</t>
  </si>
  <si>
    <t>Arthur Gainer</t>
  </si>
  <si>
    <t>Tucson</t>
  </si>
  <si>
    <t>OFF-BI-10001982</t>
  </si>
  <si>
    <t>Wilson Jones Custom Binder Spines &amp; Labels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</si>
  <si>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</si>
  <si>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</si>
  <si>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</si>
  <si>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</si>
  <si>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</si>
  <si>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</si>
  <si>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</si>
  <si>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</si>
  <si>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</si>
  <si>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</si>
  <si>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</si>
  <si>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</si>
  <si>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</si>
  <si>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AS-10285</t>
  </si>
  <si>
    <t>Alejandro Savely</t>
  </si>
  <si>
    <t>OFF-PA-10004734</t>
  </si>
  <si>
    <t>Southworth Structures Collection</t>
  </si>
  <si>
    <t>LA-16780</t>
  </si>
  <si>
    <t>Laura Armstrong</t>
  </si>
  <si>
    <t>Taylor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</si>
  <si>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</si>
  <si>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</si>
  <si>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</si>
  <si>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</si>
  <si>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</si>
  <si>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</si>
  <si>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</si>
  <si>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DK-13225</t>
  </si>
  <si>
    <t>Dean Katz</t>
  </si>
  <si>
    <t>TEC-MA-10001681</t>
  </si>
  <si>
    <t>Lexmark MarkNet N8150 Wireless Print Server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</si>
  <si>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</si>
  <si>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</si>
  <si>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</si>
  <si>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</si>
  <si>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</si>
  <si>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</si>
  <si>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</si>
  <si>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</si>
  <si>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</si>
  <si>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</si>
  <si>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</si>
  <si>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</si>
  <si>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</si>
  <si>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</si>
  <si>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</si>
  <si>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</si>
  <si>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</si>
  <si>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</si>
  <si>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</si>
  <si>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</si>
  <si>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</si>
  <si>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</si>
  <si>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</si>
  <si>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</si>
  <si>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</si>
  <si>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</si>
  <si>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</si>
  <si>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</si>
  <si>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</si>
  <si>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</si>
  <si>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AG-10675</t>
  </si>
  <si>
    <t>Anna Gayman</t>
  </si>
  <si>
    <t>OFF-ST-10001580</t>
  </si>
  <si>
    <t>Super Decoflex Portable Personal File</t>
  </si>
  <si>
    <t>LF-17185</t>
  </si>
  <si>
    <t>Luke Foster</t>
  </si>
  <si>
    <t>Miami</t>
  </si>
  <si>
    <t>OFF-PA-10001947</t>
  </si>
  <si>
    <t>Xerox 1974</t>
  </si>
  <si>
    <t>RF-19840</t>
  </si>
  <si>
    <t>Roy Französisch</t>
  </si>
  <si>
    <t>OFF-AP-10004249</t>
  </si>
  <si>
    <t>Staple holder</t>
  </si>
  <si>
    <t>KH-16510</t>
  </si>
  <si>
    <t>Keith Herrera</t>
  </si>
  <si>
    <t>TEC-AC-10000158</t>
  </si>
  <si>
    <t>Sony 64GB Class 10 Micro SDHC R40 Memory Card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</si>
  <si>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</si>
  <si>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</si>
  <si>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</si>
  <si>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</si>
  <si>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</si>
  <si>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</si>
  <si>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</si>
  <si>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</si>
  <si>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</si>
  <si>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</si>
  <si>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</si>
  <si>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</si>
  <si>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</si>
  <si>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MP-17965</t>
  </si>
  <si>
    <t>Michael Paige</t>
  </si>
  <si>
    <t>Lawrence</t>
  </si>
  <si>
    <t>FUR-FU-10004712</t>
  </si>
  <si>
    <t>Westinghouse Mesh Shade Clip-On Gooseneck Lamp, Black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</si>
  <si>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</si>
  <si>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</si>
  <si>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</si>
  <si>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</si>
  <si>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</si>
  <si>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</si>
  <si>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</si>
  <si>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</si>
  <si>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</si>
  <si>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</si>
  <si>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</si>
  <si>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</si>
  <si>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</si>
  <si>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</si>
  <si>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</si>
  <si>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</si>
  <si>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</si>
  <si>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</si>
  <si>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</si>
  <si>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</si>
  <si>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MK-18160</t>
  </si>
  <si>
    <t>Mike Kennedy</t>
  </si>
  <si>
    <t>Jacksonville</t>
  </si>
  <si>
    <t>OFF-BI-10000773</t>
  </si>
  <si>
    <t>Insertable Tab Post Binder Dividers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</si>
  <si>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</si>
  <si>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</si>
  <si>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</si>
  <si>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</si>
  <si>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</si>
  <si>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</si>
  <si>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</si>
  <si>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</si>
  <si>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</si>
  <si>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</si>
  <si>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</si>
  <si>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</si>
  <si>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</si>
  <si>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</si>
  <si>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</si>
  <si>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</si>
  <si>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</si>
  <si>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EB-13705</t>
  </si>
  <si>
    <t>Ed Braxton</t>
  </si>
  <si>
    <t>FUR-TA-10001539</t>
  </si>
  <si>
    <t>Chromcraft Rectangular Conference Tables</t>
  </si>
  <si>
    <t>SC-20095</t>
  </si>
  <si>
    <t>Sanjit Chand</t>
  </si>
  <si>
    <t>FUR-CH-10000225</t>
  </si>
  <si>
    <t>Global Geo Office Task Chair, Gray</t>
  </si>
  <si>
    <t>TN-21040</t>
  </si>
  <si>
    <t>Tanja Norvell</t>
  </si>
  <si>
    <t>FUR-FU-10000023</t>
  </si>
  <si>
    <t>Eldon Wave Desk Accessories</t>
  </si>
  <si>
    <t>JS-15940</t>
  </si>
  <si>
    <t>Joni Sundaresam</t>
  </si>
  <si>
    <t>Park Ridge</t>
  </si>
  <si>
    <t>FUR-FU-10002918</t>
  </si>
  <si>
    <t>Eldon ClusterMat Chair Mat with Cordless Antistatic Protection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</si>
  <si>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</si>
  <si>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</si>
  <si>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</si>
  <si>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</si>
  <si>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</si>
  <si>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</si>
  <si>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</si>
  <si>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</si>
  <si>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</si>
  <si>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JE-15475</t>
  </si>
  <si>
    <t>Jeremy Ellison</t>
  </si>
  <si>
    <t>JG-15805</t>
  </si>
  <si>
    <t>John Grady</t>
  </si>
  <si>
    <t>OFF-AR-10003045</t>
  </si>
  <si>
    <t>Prang Colored Pencils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</si>
  <si>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</si>
  <si>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</si>
  <si>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</si>
  <si>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</si>
  <si>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</si>
  <si>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</si>
  <si>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MT-18070</t>
  </si>
  <si>
    <t>Michelle Tran</t>
  </si>
  <si>
    <t>OFF-LA-10003923</t>
  </si>
  <si>
    <t>Alphabetical Labels for Top Tab Filing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</si>
  <si>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</si>
  <si>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</si>
  <si>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</si>
  <si>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</si>
  <si>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</si>
  <si>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</si>
  <si>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</si>
  <si>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</si>
  <si>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</si>
  <si>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AJ-10960</t>
  </si>
  <si>
    <t>Astrea Jones</t>
  </si>
  <si>
    <t>OFF-ST-10001809</t>
  </si>
  <si>
    <t>Fellowes Officeware Wire Shelving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</si>
  <si>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</si>
  <si>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</si>
  <si>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</si>
  <si>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</si>
  <si>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</si>
  <si>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</si>
  <si>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</si>
  <si>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</si>
  <si>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</si>
  <si>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</si>
  <si>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</si>
  <si>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</si>
  <si>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</si>
  <si>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</si>
  <si>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MY-17380</t>
  </si>
  <si>
    <t>Maribeth Yedwab</t>
  </si>
  <si>
    <t>Parker</t>
  </si>
  <si>
    <t>OFF-BI-10001670</t>
  </si>
  <si>
    <t>Vinyl Sectional Post Binders</t>
  </si>
  <si>
    <t>CM-12385</t>
  </si>
  <si>
    <t>Christopher Martinez</t>
  </si>
  <si>
    <t>Atlanta</t>
  </si>
  <si>
    <t>OFF-AR-10001662</t>
  </si>
  <si>
    <t>Rogers Handheld Barrel Pencil Sharpener</t>
  </si>
  <si>
    <t>LS-17245</t>
  </si>
  <si>
    <t>Lynn Smith</t>
  </si>
  <si>
    <t>Gladstone</t>
  </si>
  <si>
    <t>FUR-FU-10001290</t>
  </si>
  <si>
    <t>Executive Impressions Supervisor Wall Clock</t>
  </si>
  <si>
    <t>BN-11515</t>
  </si>
  <si>
    <t>Bradley Nguyen</t>
  </si>
  <si>
    <t>OFF-AR-10003811</t>
  </si>
  <si>
    <t>Newell 327</t>
  </si>
  <si>
    <t>DB-13210</t>
  </si>
  <si>
    <t>Dean Braden</t>
  </si>
  <si>
    <t>MC-17605</t>
  </si>
  <si>
    <t>Matt Connell</t>
  </si>
  <si>
    <t>BD-11605</t>
  </si>
  <si>
    <t>Brian Dahlen</t>
  </si>
  <si>
    <t>OFF-FA-10002815</t>
  </si>
  <si>
    <t>Staples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</si>
  <si>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</si>
  <si>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</si>
  <si>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</si>
  <si>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</si>
  <si>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</si>
  <si>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</si>
  <si>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</si>
  <si>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</si>
  <si>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</si>
  <si>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</si>
  <si>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</si>
  <si>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</si>
  <si>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</si>
  <si>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</si>
  <si>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</si>
  <si>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</si>
  <si>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</si>
  <si>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</si>
  <si>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</si>
  <si>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</si>
  <si>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</si>
  <si>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</si>
  <si>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</si>
  <si>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</si>
  <si>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</si>
  <si>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</si>
  <si>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</si>
  <si>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</si>
  <si>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</si>
  <si>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</si>
  <si>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</si>
  <si>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DK-12985</t>
  </si>
  <si>
    <t>Darren Koutras</t>
  </si>
  <si>
    <t>OFF-AP-10001271</t>
  </si>
  <si>
    <t>Eureka The Boss Cordless Rechargeable Stick Vac</t>
  </si>
  <si>
    <t>BD-11500</t>
  </si>
  <si>
    <t>Bradley Drucker</t>
  </si>
  <si>
    <t>Green Bay</t>
  </si>
  <si>
    <t>TEC-AC-10001432</t>
  </si>
  <si>
    <t>Enermax Aurora Lite Keyboard</t>
  </si>
  <si>
    <t>LM-17065</t>
  </si>
  <si>
    <t>Liz MacKendrick</t>
  </si>
  <si>
    <t>AS-10135</t>
  </si>
  <si>
    <t>Adrian Shami</t>
  </si>
  <si>
    <t>OFF-BI-10000404</t>
  </si>
  <si>
    <t>Avery Printable Repositionable Plastic Tabs</t>
  </si>
  <si>
    <t>BD-11320</t>
  </si>
  <si>
    <t>Bill Donatelli</t>
  </si>
  <si>
    <t>FUR-CH-10002024</t>
  </si>
  <si>
    <t>HON 5400 Series Task Chairs for Big and Tall</t>
  </si>
  <si>
    <t>GT-14710</t>
  </si>
  <si>
    <t>Greg Tran</t>
  </si>
  <si>
    <t>OFF-FA-10004248</t>
  </si>
  <si>
    <t>Advantus T-Pin Paper Clips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</si>
  <si>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</si>
  <si>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</si>
  <si>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</si>
  <si>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</si>
  <si>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</si>
  <si>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</si>
  <si>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</si>
  <si>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</si>
  <si>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LP-17080</t>
  </si>
  <si>
    <t>Liz Pelletier</t>
  </si>
  <si>
    <t>FUR-FU-10003347</t>
  </si>
  <si>
    <t>Coloredge Poster Frame</t>
  </si>
  <si>
    <t>CA-12775</t>
  </si>
  <si>
    <t>Cynthia Arntzen</t>
  </si>
  <si>
    <t>Tampa</t>
  </si>
  <si>
    <t>OFF-AP-10003914</t>
  </si>
  <si>
    <t>Sanitaire Vibra Groomer IR Commercial Upright Vacuum, Replacement Belts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</si>
  <si>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</si>
  <si>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</si>
  <si>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</si>
  <si>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</si>
  <si>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</si>
  <si>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</si>
  <si>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</si>
  <si>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</si>
  <si>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</si>
  <si>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</si>
  <si>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</si>
  <si>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</si>
  <si>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JF-15415</t>
  </si>
  <si>
    <t>Jennifer Ferguson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</si>
  <si>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</si>
  <si>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</si>
  <si>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</si>
  <si>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</si>
  <si>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</si>
  <si>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</si>
  <si>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</si>
  <si>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CS-11950</t>
  </si>
  <si>
    <t>Carlos Soltero</t>
  </si>
  <si>
    <t>OFF-ST-10002974</t>
  </si>
  <si>
    <t>Trav-L-File Heavy-Duty Shuttle II, Black</t>
  </si>
  <si>
    <t>CC-12145</t>
  </si>
  <si>
    <t>Charles Crestani</t>
  </si>
  <si>
    <t>OFF-SU-10004498</t>
  </si>
  <si>
    <t>Supplies</t>
  </si>
  <si>
    <t>Martin-Yale Premier Letter Opener</t>
  </si>
  <si>
    <t>DV-13465</t>
  </si>
  <si>
    <t>Dianna Vittorini</t>
  </si>
  <si>
    <t>BD-11725</t>
  </si>
  <si>
    <t>Bruce Degenhardt</t>
  </si>
  <si>
    <t>Richmond</t>
  </si>
  <si>
    <t>FUR-CH-10003956</t>
  </si>
  <si>
    <t>Novimex High-Tech Fabric Mesh Task Chair</t>
  </si>
  <si>
    <t>ZC-21910</t>
  </si>
  <si>
    <t>Zuschuss Carroll</t>
  </si>
  <si>
    <t>Salem</t>
  </si>
  <si>
    <t>TEC-PH-10003800</t>
  </si>
  <si>
    <t>i.Sound Portable Power - 8000 mAh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</si>
  <si>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</si>
  <si>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</si>
  <si>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</si>
  <si>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</si>
  <si>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</si>
  <si>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</si>
  <si>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</si>
  <si>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</si>
  <si>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</si>
  <si>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</si>
  <si>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</si>
  <si>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</si>
  <si>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</si>
  <si>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</si>
  <si>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</si>
  <si>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</si>
  <si>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</si>
  <si>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AS-10240</t>
  </si>
  <si>
    <t>Alan Shonely</t>
  </si>
  <si>
    <t>OFF-ST-10001490</t>
  </si>
  <si>
    <t>Hot File 7-Pocket, Floor Stand</t>
  </si>
  <si>
    <t>AR-10510</t>
  </si>
  <si>
    <t>Andrew Roberts</t>
  </si>
  <si>
    <t>OFF-BI-10000848</t>
  </si>
  <si>
    <t>Angle-D Ring Binders</t>
  </si>
  <si>
    <t>NB-18655</t>
  </si>
  <si>
    <t>Nona Balk</t>
  </si>
  <si>
    <t>GD-14590</t>
  </si>
  <si>
    <t>Giulietta Dortch</t>
  </si>
  <si>
    <t>OFF-PA-10001204</t>
  </si>
  <si>
    <t>Xerox 1972</t>
  </si>
  <si>
    <t>CK-12595</t>
  </si>
  <si>
    <t>Clytie Kelty</t>
  </si>
  <si>
    <t>Grove City</t>
  </si>
  <si>
    <t>TEC-PH-10000011</t>
  </si>
  <si>
    <t>PureGear Roll-On Screen Protector</t>
  </si>
  <si>
    <t>NG-18355</t>
  </si>
  <si>
    <t>Nat Gilpin</t>
  </si>
  <si>
    <t>FUR-FU-10003849</t>
  </si>
  <si>
    <t>DAX Metal Frame, Desktop, Stepped-Edge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</si>
  <si>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</si>
  <si>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</si>
  <si>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</si>
  <si>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</si>
  <si>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</si>
  <si>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</si>
  <si>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</si>
  <si>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</si>
  <si>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</si>
  <si>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</si>
  <si>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</si>
  <si>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</si>
  <si>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</si>
  <si>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</si>
  <si>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</si>
  <si>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</si>
  <si>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</si>
  <si>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FM-14380</t>
  </si>
  <si>
    <t>Fred McMath</t>
  </si>
  <si>
    <t>OFF-ST-10001963</t>
  </si>
  <si>
    <t>Tennsco Regal Shelving Units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</si>
  <si>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</si>
  <si>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</si>
  <si>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</si>
  <si>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</si>
  <si>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</si>
  <si>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</si>
  <si>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</si>
  <si>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</si>
  <si>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</si>
  <si>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</si>
  <si>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</si>
  <si>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</si>
  <si>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</si>
  <si>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</si>
  <si>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</si>
  <si>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</si>
  <si>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</si>
  <si>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</si>
  <si>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SC-20305</t>
  </si>
  <si>
    <t>Sean Christensen</t>
  </si>
  <si>
    <t>Rochester Hills</t>
  </si>
  <si>
    <t>TEC-AC-10003832</t>
  </si>
  <si>
    <t>Imation 16GB Mini TravelDrive USB 2.0 Flash Drive</t>
  </si>
  <si>
    <t>CC-12430</t>
  </si>
  <si>
    <t>Chuck Clark</t>
  </si>
  <si>
    <t>OFF-AP-10002457</t>
  </si>
  <si>
    <t>Eureka The Boss Plus 12-Amp Hard Box Upright Vacuum, Red</t>
  </si>
  <si>
    <t>AR-10825</t>
  </si>
  <si>
    <t>Anthony Rawles</t>
  </si>
  <si>
    <t>Vancouver</t>
  </si>
  <si>
    <t>FUR-FU-10001935</t>
  </si>
  <si>
    <t>3M Hangers With Command Adhesive</t>
  </si>
  <si>
    <t>SR-20740</t>
  </si>
  <si>
    <t>Steven Roelle</t>
  </si>
  <si>
    <t>CR-12730</t>
  </si>
  <si>
    <t>Craig Reiter</t>
  </si>
  <si>
    <t>OFF-AP-10002439</t>
  </si>
  <si>
    <t>Tripp Lite Isotel 8 Ultra 8 Outlet Metal Surge</t>
  </si>
  <si>
    <t>EH-14125</t>
  </si>
  <si>
    <t>Eugene Hildebrand</t>
  </si>
  <si>
    <t>FUR-CH-10001215</t>
  </si>
  <si>
    <t>Global Troy Executive Leather Low-Back Tilter</t>
  </si>
  <si>
    <t>SP-20545</t>
  </si>
  <si>
    <t>Sibella Parks</t>
  </si>
  <si>
    <t>OFF-ST-10001522</t>
  </si>
  <si>
    <t>Gould Plastics 18-Pocket Panel Bin, 34w x 5-1/4d x 20-1/2h</t>
  </si>
  <si>
    <t>TH-21235</t>
  </si>
  <si>
    <t>Tiffany House</t>
  </si>
  <si>
    <t>OFF-SU-10004231</t>
  </si>
  <si>
    <t>Acme Tagit Stainless Steel Antibacterial Scissors</t>
  </si>
  <si>
    <t>RP-19390</t>
  </si>
  <si>
    <t>Resi Pölking</t>
  </si>
  <si>
    <t>Cleveland</t>
  </si>
  <si>
    <t>FUR-FU-10003096</t>
  </si>
  <si>
    <t>Master Giant Foot Doorstop, Safety Yellow</t>
  </si>
  <si>
    <t>RB-19570</t>
  </si>
  <si>
    <t>Rob Beeghly</t>
  </si>
  <si>
    <t>OFF-AP-10004532</t>
  </si>
  <si>
    <t>Kensington 6 Outlet Guardian Standard Surge Protector</t>
  </si>
  <si>
    <t>CD-11980</t>
  </si>
  <si>
    <t>Carol Darley</t>
  </si>
  <si>
    <t>Tyler</t>
  </si>
  <si>
    <t>OFF-AP-10000804</t>
  </si>
  <si>
    <t>Hoover Portapower Portable Vacuum</t>
  </si>
  <si>
    <t>DJ-13630</t>
  </si>
  <si>
    <t>Doug Jacobs</t>
  </si>
  <si>
    <t>OFF-BI-10003305</t>
  </si>
  <si>
    <t>Avery Hanging File Binders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</si>
  <si>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</si>
  <si>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</si>
  <si>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</si>
  <si>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</si>
  <si>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</si>
  <si>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</si>
  <si>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</si>
  <si>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TEC-AC-10003911</t>
  </si>
  <si>
    <t>NETGEAR AC1750 Dual Band Gigabit Smart WiFi Router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</si>
  <si>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</si>
  <si>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</si>
  <si>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</si>
  <si>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</si>
  <si>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</si>
  <si>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</si>
  <si>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</si>
  <si>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</si>
  <si>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</si>
  <si>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AB-10165</t>
  </si>
  <si>
    <t>Alan Barnes</t>
  </si>
  <si>
    <t>TEC-AC-10002253</t>
  </si>
  <si>
    <t>Imation Bio 8GB USB Flash Drive Imation Corp</t>
  </si>
  <si>
    <t>JO-15550</t>
  </si>
  <si>
    <t>Jesus Ocampo</t>
  </si>
  <si>
    <t>Chester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</si>
  <si>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</si>
  <si>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</si>
  <si>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</si>
  <si>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</si>
  <si>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</si>
  <si>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</si>
  <si>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</si>
  <si>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</si>
  <si>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</si>
  <si>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DP-13165</t>
  </si>
  <si>
    <t>David Philippe</t>
  </si>
  <si>
    <t>TEC-AC-10003628</t>
  </si>
  <si>
    <t>Logitech 910-002974 M325 Wireless Mouse for Web Scrolling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</si>
  <si>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</si>
  <si>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</si>
  <si>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</si>
  <si>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</si>
  <si>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</si>
  <si>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</si>
  <si>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</si>
  <si>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</si>
  <si>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</si>
  <si>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</si>
  <si>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</si>
  <si>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</si>
  <si>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SV-20365</t>
  </si>
  <si>
    <t>Seth Vernon</t>
  </si>
  <si>
    <t>FUR-FU-10000010</t>
  </si>
  <si>
    <t>DAX Value U-Channel Document Frames, Easel Back</t>
  </si>
  <si>
    <t>CK-12325</t>
  </si>
  <si>
    <t>Christine Kargatis</t>
  </si>
  <si>
    <t>OFF-BI-10001658</t>
  </si>
  <si>
    <t>GBC Standard Therm-A-Bind Covers</t>
  </si>
  <si>
    <t>RD-19810</t>
  </si>
  <si>
    <t>Ross DeVincentis</t>
  </si>
  <si>
    <t>OFF-PA-10004092</t>
  </si>
  <si>
    <t>Tops Green Bar Computer Printout Paper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</si>
  <si>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</si>
  <si>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</si>
  <si>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</si>
  <si>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</si>
  <si>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</si>
  <si>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</si>
  <si>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</si>
  <si>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</si>
  <si>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</si>
  <si>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</si>
  <si>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</si>
  <si>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Austin</t>
  </si>
  <si>
    <t>OFF-EN-10001141</t>
  </si>
  <si>
    <t>Manila Recycled Extra-Heavyweight Clasp Envelopes, 6" x 9"</t>
  </si>
  <si>
    <t>EG-13900</t>
  </si>
  <si>
    <t>Emily Grady</t>
  </si>
  <si>
    <t>Oceanside</t>
  </si>
  <si>
    <t>OFF-PA-10001954</t>
  </si>
  <si>
    <t>Xerox 1964</t>
  </si>
  <si>
    <t>DS-13030</t>
  </si>
  <si>
    <t>Darrin Sayre</t>
  </si>
  <si>
    <t>OFF-ST-10000736</t>
  </si>
  <si>
    <t>Carina Double Wide Media Storage Towers in Natural &amp; Black</t>
  </si>
  <si>
    <t>PO-19195</t>
  </si>
  <si>
    <t>Phillina Ober</t>
  </si>
  <si>
    <t>OFF-LA-10003223</t>
  </si>
  <si>
    <t>Avery 508</t>
  </si>
  <si>
    <t>SS-20875</t>
  </si>
  <si>
    <t>Sung Shariari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</si>
  <si>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</si>
  <si>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</si>
  <si>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</si>
  <si>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</si>
  <si>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</si>
  <si>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</si>
  <si>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</si>
  <si>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</si>
  <si>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</si>
  <si>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</si>
  <si>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YC-21895</t>
  </si>
  <si>
    <t>Yoseph Carroll</t>
  </si>
  <si>
    <t>TEC-CO-10002095</t>
  </si>
  <si>
    <t>Copiers</t>
  </si>
  <si>
    <t>Hewlett Packard 610 Color Digital Copier / Printer</t>
  </si>
  <si>
    <t>DC-13285</t>
  </si>
  <si>
    <t>Debra Catini</t>
  </si>
  <si>
    <t>Cottage Grove</t>
  </si>
  <si>
    <t>OFF-ST-10002444</t>
  </si>
  <si>
    <t>Recycled Eldon Regeneration Jumbo File</t>
  </si>
  <si>
    <t>CP-12340</t>
  </si>
  <si>
    <t>Christine Phan</t>
  </si>
  <si>
    <t>BF-11020</t>
  </si>
  <si>
    <t>Barry Französisch</t>
  </si>
  <si>
    <t>OFF-PA-10002377</t>
  </si>
  <si>
    <t>Adams Telephone Message Book W/Dividers/Space For Phone Numbers, 5 1/4"X8 1/2", 200/Messages</t>
  </si>
  <si>
    <t>LH-17020</t>
  </si>
  <si>
    <t>Lisa Hazard</t>
  </si>
  <si>
    <t>TEC-PH-10003931</t>
  </si>
  <si>
    <t>JBL Micro Wireless Portable Bluetooth Speaker</t>
  </si>
  <si>
    <t>CS-12250</t>
  </si>
  <si>
    <t>Chris Selesnick</t>
  </si>
  <si>
    <t>Bossier City</t>
  </si>
  <si>
    <t>AJ-10795</t>
  </si>
  <si>
    <t>Anthony Johnson</t>
  </si>
  <si>
    <t>FUR-FU-10004306</t>
  </si>
  <si>
    <t>Electrix Halogen Magnifier Lamp</t>
  </si>
  <si>
    <t>BV-11245</t>
  </si>
  <si>
    <t>Benjamin Venier</t>
  </si>
  <si>
    <t>OFF-BI-10001036</t>
  </si>
  <si>
    <t>Cardinal EasyOpen D-Ring Binders</t>
  </si>
  <si>
    <t>DL-12865</t>
  </si>
  <si>
    <t>Dan Lawera</t>
  </si>
  <si>
    <t>OFF-AR-10003405</t>
  </si>
  <si>
    <t>Dixon My First Ticonderoga Pencil, #2</t>
  </si>
  <si>
    <t>BM-11785</t>
  </si>
  <si>
    <t>Bryan Mills</t>
  </si>
  <si>
    <t>OFF-BI-10001098</t>
  </si>
  <si>
    <t>Acco D-Ring Binder w/DublLock</t>
  </si>
  <si>
    <t>LT-17110</t>
  </si>
  <si>
    <t>Liz Thompson</t>
  </si>
  <si>
    <t>Lancaster</t>
  </si>
  <si>
    <t>FUR-CH-10004675</t>
  </si>
  <si>
    <t>Lifetime Advantage Folding Chairs, 4/Carton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</si>
  <si>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</si>
  <si>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</si>
  <si>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</si>
  <si>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</si>
  <si>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</si>
  <si>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</si>
  <si>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</si>
  <si>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</si>
  <si>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</si>
  <si>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</si>
  <si>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</si>
  <si>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OFF-BI-10000546</t>
  </si>
  <si>
    <t>Avery Durable Binders</t>
  </si>
  <si>
    <t>CD-11920</t>
  </si>
  <si>
    <t>Carlos Daly</t>
  </si>
  <si>
    <t>Lake Elsinore</t>
  </si>
  <si>
    <t>FUR-CH-10002647</t>
  </si>
  <si>
    <t>Situations Contoured Folding Chairs, 4/Set</t>
  </si>
  <si>
    <t>HW-14935</t>
  </si>
  <si>
    <t>Helen Wasserman</t>
  </si>
  <si>
    <t>FUR-FU-10004090</t>
  </si>
  <si>
    <t>Executive Impressions 14" Contract Wall Clock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</si>
  <si>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</si>
  <si>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</si>
  <si>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</si>
  <si>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</si>
  <si>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</si>
  <si>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</si>
  <si>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</si>
  <si>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</si>
  <si>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PJ-19015</t>
  </si>
  <si>
    <t>Pauline Johnson</t>
  </si>
  <si>
    <t>Santa Ana</t>
  </si>
  <si>
    <t>BW-11110</t>
  </si>
  <si>
    <t>Bart Watters</t>
  </si>
  <si>
    <t>Milwaukee</t>
  </si>
  <si>
    <t>OFF-PA-10000061</t>
  </si>
  <si>
    <t>Xerox 205</t>
  </si>
  <si>
    <t>TR-21325</t>
  </si>
  <si>
    <t>Toby Ritter</t>
  </si>
  <si>
    <t>Belleville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</si>
  <si>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</si>
  <si>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</si>
  <si>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</si>
  <si>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</si>
  <si>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</si>
  <si>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</si>
  <si>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JL-15175</t>
  </si>
  <si>
    <t>James Lanier</t>
  </si>
  <si>
    <t>OFF-PA-10001560</t>
  </si>
  <si>
    <t>Adams Telephone Message Books, 5 1/4 x 11</t>
  </si>
  <si>
    <t>BM-11650</t>
  </si>
  <si>
    <t>Brian Moss</t>
  </si>
  <si>
    <t>OFF-AR-10004648</t>
  </si>
  <si>
    <t>Boston 19500 Mighty Mite Electric Pencil Sharpener</t>
  </si>
  <si>
    <t>EM-14095</t>
  </si>
  <si>
    <t>Eudokia Martin</t>
  </si>
  <si>
    <t>OFF-BI-10001294</t>
  </si>
  <si>
    <t>Fellowes Binding Cases</t>
  </si>
  <si>
    <t>AF-10885</t>
  </si>
  <si>
    <t>Art Foster</t>
  </si>
  <si>
    <t>Louisville</t>
  </si>
  <si>
    <t>TEC-PH-10001552</t>
  </si>
  <si>
    <t>I Need's 3d Hello Kitty Hybrid Silicone Case Cover for HTC One X 4g with 3d Hello Kitty Stylus Pen Green/pink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</si>
  <si>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</si>
  <si>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</si>
  <si>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</si>
  <si>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</si>
  <si>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</si>
  <si>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</si>
  <si>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</si>
  <si>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</si>
  <si>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</si>
  <si>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</si>
  <si>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</si>
  <si>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</si>
  <si>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</si>
  <si>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</si>
  <si>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</si>
  <si>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BK-11260</t>
  </si>
  <si>
    <t>Berenike Kampe</t>
  </si>
  <si>
    <t>OFF-PA-10001019</t>
  </si>
  <si>
    <t>Xerox 1884</t>
  </si>
  <si>
    <t>SJ-20125</t>
  </si>
  <si>
    <t>Sanjit Jacobs</t>
  </si>
  <si>
    <t>New Brunswick</t>
  </si>
  <si>
    <t>CM-12445</t>
  </si>
  <si>
    <t>Chuck Magee</t>
  </si>
  <si>
    <t>OFF-SU-10001225</t>
  </si>
  <si>
    <t>Staple remover</t>
  </si>
  <si>
    <t>AJ-10780</t>
  </si>
  <si>
    <t>Anthony Jacobs</t>
  </si>
  <si>
    <t>OFF-LA-10004272</t>
  </si>
  <si>
    <t>Avery 482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</si>
  <si>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</si>
  <si>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</si>
  <si>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</si>
  <si>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</si>
  <si>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</si>
  <si>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</si>
  <si>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</si>
  <si>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</si>
  <si>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</si>
  <si>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</si>
  <si>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</si>
  <si>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</si>
  <si>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SM-20005</t>
  </si>
  <si>
    <t>Sally Matthias</t>
  </si>
  <si>
    <t>OFF-PA-10004470</t>
  </si>
  <si>
    <t>Adams Write n' Stick Phone Message Book, 11" X 5 1/4", 200 Messages</t>
  </si>
  <si>
    <t>AG-10765</t>
  </si>
  <si>
    <t>Anthony Garverick</t>
  </si>
  <si>
    <t>OFF-BI-10003712</t>
  </si>
  <si>
    <t>Acco Pressboard Covers with Storage Hooks, 14 7/8" x 11", Light Blue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</si>
  <si>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</si>
  <si>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</si>
  <si>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</si>
  <si>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</si>
  <si>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</si>
  <si>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</si>
  <si>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</si>
  <si>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</si>
  <si>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</si>
  <si>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</si>
  <si>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EL-13735</t>
  </si>
  <si>
    <t>Ed Ludwig</t>
  </si>
  <si>
    <t>Maryland</t>
  </si>
  <si>
    <t>OFF-BI-10001078</t>
  </si>
  <si>
    <t>Acco PRESSTEX Data Binder with Storage Hooks, Dark Blue, 14 7/8" X 11"</t>
  </si>
  <si>
    <t>PC-18745</t>
  </si>
  <si>
    <t>Pamela Coakley</t>
  </si>
  <si>
    <t>OFF-ST-10002205</t>
  </si>
  <si>
    <t>File Shuttle I and Handi-File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</si>
  <si>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</si>
  <si>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</si>
  <si>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</si>
  <si>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</si>
  <si>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</si>
  <si>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</si>
  <si>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</si>
  <si>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</si>
  <si>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</si>
  <si>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</si>
  <si>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</si>
  <si>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</si>
  <si>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</si>
  <si>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BE-11335</t>
  </si>
  <si>
    <t>Bill Eplett</t>
  </si>
  <si>
    <t>TEC-PH-10001494</t>
  </si>
  <si>
    <t>Polycom CX600 IP Phone VoIP phone</t>
  </si>
  <si>
    <t>SC-20050</t>
  </si>
  <si>
    <t>Sample Company A</t>
  </si>
  <si>
    <t>Norwich</t>
  </si>
  <si>
    <t>RW-19630</t>
  </si>
  <si>
    <t>Rob Williams</t>
  </si>
  <si>
    <t>OFF-EN-10000056</t>
  </si>
  <si>
    <t>Cameo Buff Policy Envelopes</t>
  </si>
  <si>
    <t>SE-20110</t>
  </si>
  <si>
    <t>Sanjit Engle</t>
  </si>
  <si>
    <t>TEC-AC-10002473</t>
  </si>
  <si>
    <t>Maxell 4.7GB DVD-R</t>
  </si>
  <si>
    <t>AH-10075</t>
  </si>
  <si>
    <t>Adam Hart</t>
  </si>
  <si>
    <t>JM-15535</t>
  </si>
  <si>
    <t>Jessica Myrick</t>
  </si>
  <si>
    <t>OFF-PA-10003543</t>
  </si>
  <si>
    <t>Xerox 1985</t>
  </si>
  <si>
    <t>JJ-15760</t>
  </si>
  <si>
    <t>Joel Jenkins</t>
  </si>
  <si>
    <t>OFF-AR-10000658</t>
  </si>
  <si>
    <t>Newell 324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</si>
  <si>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</si>
  <si>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</si>
  <si>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</si>
  <si>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</si>
  <si>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</si>
  <si>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</si>
  <si>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</si>
  <si>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</si>
  <si>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RP-19270</t>
  </si>
  <si>
    <t>Rachel Payne</t>
  </si>
  <si>
    <t>Riverside</t>
  </si>
  <si>
    <t>OFF-PA-10000289</t>
  </si>
  <si>
    <t>Xerox 213</t>
  </si>
  <si>
    <t>KC-16255</t>
  </si>
  <si>
    <t>Karen Carlisle</t>
  </si>
  <si>
    <t>OFF-PA-10000350</t>
  </si>
  <si>
    <t>Message Book, Standard Line "While You Were Out", 5 1/2" X 4", 200 Sets/Book</t>
  </si>
  <si>
    <t>KH-16360</t>
  </si>
  <si>
    <t>Katherine Hughes</t>
  </si>
  <si>
    <t>FUR-FU-10001940</t>
  </si>
  <si>
    <t>Staple-based wall hangings</t>
  </si>
  <si>
    <t>GH-14665</t>
  </si>
  <si>
    <t>Greg Hansen</t>
  </si>
  <si>
    <t>Round Rock</t>
  </si>
  <si>
    <t>OFF-AR-10001958</t>
  </si>
  <si>
    <t>Stanley Bostitch Contemporary Electric Pencil Sharpeners</t>
  </si>
  <si>
    <t>SW-20275</t>
  </si>
  <si>
    <t>Scott Williamson</t>
  </si>
  <si>
    <t>JA-15970</t>
  </si>
  <si>
    <t>Joseph Airdo</t>
  </si>
  <si>
    <t>TEC-PH-10002923</t>
  </si>
  <si>
    <t>Logitech B530 USB Headset - headset - Full size, Binaural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</si>
  <si>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</si>
  <si>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</si>
  <si>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</si>
  <si>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</si>
  <si>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</si>
  <si>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</si>
  <si>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</si>
  <si>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</si>
  <si>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</si>
  <si>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</si>
  <si>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BS-11800</t>
  </si>
  <si>
    <t>Bryan Spruell</t>
  </si>
  <si>
    <t>OFF-LA-10004055</t>
  </si>
  <si>
    <t>Color-Coded Legal Exhibit Labels</t>
  </si>
  <si>
    <t>RW-19690</t>
  </si>
  <si>
    <t>Robert Waldorf</t>
  </si>
  <si>
    <t>TZ-21580</t>
  </si>
  <si>
    <t>Tracy Zic</t>
  </si>
  <si>
    <t>OFF-AR-10000034</t>
  </si>
  <si>
    <t>BIC Brite Liner Grip Highlighters, Assorted, 5/Pack</t>
  </si>
  <si>
    <t>AS-10630</t>
  </si>
  <si>
    <t>Ann Steele</t>
  </si>
  <si>
    <t>TS-21340</t>
  </si>
  <si>
    <t>Toby Swindell</t>
  </si>
  <si>
    <t>OFF-BI-10004022</t>
  </si>
  <si>
    <t>Acco Suede Grain Vinyl Round Ring Binder</t>
  </si>
  <si>
    <t>SL-20155</t>
  </si>
  <si>
    <t>Sara Luxemburg</t>
  </si>
  <si>
    <t>FUR-CH-10004086</t>
  </si>
  <si>
    <t>Hon 4070 Series Pagoda Armless Upholstered Stacking Chairs</t>
  </si>
  <si>
    <t>MW-18235</t>
  </si>
  <si>
    <t>Mitch Willingham</t>
  </si>
  <si>
    <t>Virginia Beach</t>
  </si>
  <si>
    <t>OFF-BI-10003925</t>
  </si>
  <si>
    <t>Fellowes PB300 Plastic Comb Binding Machine</t>
  </si>
  <si>
    <t>RD-19585</t>
  </si>
  <si>
    <t>Rob Dowd</t>
  </si>
  <si>
    <t>OFF-EN-10003862</t>
  </si>
  <si>
    <t>Laser &amp; Ink Jet Business Envelopes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</si>
  <si>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</si>
  <si>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</si>
  <si>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</si>
  <si>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</si>
  <si>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</si>
  <si>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</si>
  <si>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</si>
  <si>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OFF-EN-10002600</t>
  </si>
  <si>
    <t>Redi-Strip #10 Envelopes, 4 1/8 x 9 1/2</t>
  </si>
  <si>
    <t>VG-21790</t>
  </si>
  <si>
    <t>Vivek Gonzalez</t>
  </si>
  <si>
    <t>FUR-FU-10001602</t>
  </si>
  <si>
    <t>Eldon Delta Triangular Chair Mat, 52" x 58", Clear</t>
  </si>
  <si>
    <t>JS-15880</t>
  </si>
  <si>
    <t>John Stevenson</t>
  </si>
  <si>
    <t>FUR-TA-10003748</t>
  </si>
  <si>
    <t>Bevis 36 x 72 Conference Tables</t>
  </si>
  <si>
    <t>KM-16225</t>
  </si>
  <si>
    <t>Kalyca Meade</t>
  </si>
  <si>
    <t>FUR-FU-10002191</t>
  </si>
  <si>
    <t>G.E. Halogen Desk Lamp Bulbs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</si>
  <si>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</si>
  <si>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</si>
  <si>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</si>
  <si>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</si>
  <si>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</si>
  <si>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</si>
  <si>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</si>
  <si>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</si>
  <si>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AG-10390</t>
  </si>
  <si>
    <t>Allen Goldenen</t>
  </si>
  <si>
    <t>OFF-PA-10000955</t>
  </si>
  <si>
    <t>Southworth 25% Cotton Granite Paper &amp; Envelopes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</si>
  <si>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</si>
  <si>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</si>
  <si>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</si>
  <si>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</si>
  <si>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</si>
  <si>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</si>
  <si>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</si>
  <si>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</si>
  <si>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RD-19660</t>
  </si>
  <si>
    <t>Robert Dilbeck</t>
  </si>
  <si>
    <t>Saint Peters</t>
  </si>
  <si>
    <t>FUR-TA-10001095</t>
  </si>
  <si>
    <t>Chromcraft Round Conference Tables</t>
  </si>
  <si>
    <t>MO-17500</t>
  </si>
  <si>
    <t>Mary O'Rourke</t>
  </si>
  <si>
    <t>TEC-AC-10004761</t>
  </si>
  <si>
    <t>Maxell 4.7GB DVD 3/Pack</t>
  </si>
  <si>
    <t>NS-18640</t>
  </si>
  <si>
    <t>Noel Staavos</t>
  </si>
  <si>
    <t>OFF-AR-10001130</t>
  </si>
  <si>
    <t>Quartet Alpha White Chalk, 12/Pack</t>
  </si>
  <si>
    <t>DG-13300</t>
  </si>
  <si>
    <t>Deirdre Greer</t>
  </si>
  <si>
    <t>FUR-FU-10000293</t>
  </si>
  <si>
    <t>Eldon Antistatic Chair Mats for Low to Medium Pile Carpets</t>
  </si>
  <si>
    <t>NF-18595</t>
  </si>
  <si>
    <t>Nicole Fjeld</t>
  </si>
  <si>
    <t>OFF-AR-10000716</t>
  </si>
  <si>
    <t>DIXON Ticonderoga Erasable Checking Pencils</t>
  </si>
  <si>
    <t>MG-17650</t>
  </si>
  <si>
    <t>Matthew Grinstein</t>
  </si>
  <si>
    <t>OFF-FA-10001754</t>
  </si>
  <si>
    <t>Stockwell Gold Paper Clips</t>
  </si>
  <si>
    <t>TS-21160</t>
  </si>
  <si>
    <t>Theresa Swint</t>
  </si>
  <si>
    <t>Toledo</t>
  </si>
  <si>
    <t>OFF-AP-10002350</t>
  </si>
  <si>
    <t>Belkin F9H710-06 7 Outlet SurgeMaster Surge Protector</t>
  </si>
  <si>
    <t>BD-11620</t>
  </si>
  <si>
    <t>Brian DeCherney</t>
  </si>
  <si>
    <t>CM-12160</t>
  </si>
  <si>
    <t>Charles McCrossin</t>
  </si>
  <si>
    <t>Brownsville</t>
  </si>
  <si>
    <t>OFF-SU-10001935</t>
  </si>
  <si>
    <t>SN-20560</t>
  </si>
  <si>
    <t>Skye Norling</t>
  </si>
  <si>
    <t>OFF-AR-10003732</t>
  </si>
  <si>
    <t>Newell 333</t>
  </si>
  <si>
    <t>EH-14005</t>
  </si>
  <si>
    <t>Erica Hernandez</t>
  </si>
  <si>
    <t>OFF-PA-10001970</t>
  </si>
  <si>
    <t>Xerox 1881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</si>
  <si>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</si>
  <si>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</si>
  <si>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</si>
  <si>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</si>
  <si>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</si>
  <si>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</si>
  <si>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</si>
  <si>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</si>
  <si>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</si>
  <si>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</si>
  <si>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</si>
  <si>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</si>
  <si>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</si>
  <si>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</si>
  <si>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</si>
  <si>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</si>
  <si>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</si>
  <si>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</si>
  <si>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</si>
  <si>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CY-12745</t>
  </si>
  <si>
    <t>Craig Yedwab</t>
  </si>
  <si>
    <t>Oakland</t>
  </si>
  <si>
    <t>TEC-PH-10004896</t>
  </si>
  <si>
    <t>Nokia Lumia 521 (T-Mobile)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</si>
  <si>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</si>
  <si>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</si>
  <si>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</si>
  <si>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</si>
  <si>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</si>
  <si>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</si>
  <si>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</si>
  <si>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</si>
  <si>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</si>
  <si>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PV-18985</t>
  </si>
  <si>
    <t>Paul Van Hugh</t>
  </si>
  <si>
    <t>OFF-AR-10001545</t>
  </si>
  <si>
    <t>Newell 326</t>
  </si>
  <si>
    <t>NM-18520</t>
  </si>
  <si>
    <t>Neoma Murray</t>
  </si>
  <si>
    <t>OFF-PA-10001892</t>
  </si>
  <si>
    <t>Rediform Wirebound "Phone Memo" Message Book, 11 x 5-3/4</t>
  </si>
  <si>
    <t>DL-13495</t>
  </si>
  <si>
    <t>Dionis Lloyd</t>
  </si>
  <si>
    <t>OFF-LA-10003766</t>
  </si>
  <si>
    <t>Self-Adhesive Removable Labels</t>
  </si>
  <si>
    <t>CS-12355</t>
  </si>
  <si>
    <t>Christine Sundaresam</t>
  </si>
  <si>
    <t>Roswell</t>
  </si>
  <si>
    <t>Xerox 1908</t>
  </si>
  <si>
    <t>FH-14275</t>
  </si>
  <si>
    <t>Frank Hawley</t>
  </si>
  <si>
    <t>La Porte</t>
  </si>
  <si>
    <t>OFF-EN-10002831</t>
  </si>
  <si>
    <t>Tyvek  Top-Opening Peel &amp; Seel  Envelopes, Gray</t>
  </si>
  <si>
    <t>NC-18340</t>
  </si>
  <si>
    <t>Nat Carroll</t>
  </si>
  <si>
    <t>Lansing</t>
  </si>
  <si>
    <t>OFF-AP-10003849</t>
  </si>
  <si>
    <t>Hoover Shoulder Vac Commercial Portable Vacuum</t>
  </si>
  <si>
    <t>AA-10315</t>
  </si>
  <si>
    <t>Alex Avila</t>
  </si>
  <si>
    <t>OFF-AP-10000576</t>
  </si>
  <si>
    <t>Belkin 325VA UPS Surge Protector, 6'</t>
  </si>
  <si>
    <t>LT-16765</t>
  </si>
  <si>
    <t>Larry Tron</t>
  </si>
  <si>
    <t>Escondido</t>
  </si>
  <si>
    <t>OFF-AR-10004042</t>
  </si>
  <si>
    <t>BOSTON Model 1800 Electric Pencil Sharpeners, Putty/Woodgrain</t>
  </si>
  <si>
    <t>AP-10720</t>
  </si>
  <si>
    <t>Anne Pryor</t>
  </si>
  <si>
    <t>TEC-PH-10004700</t>
  </si>
  <si>
    <t>PowerGen Dual USB Car Charger</t>
  </si>
  <si>
    <t>PM-18940</t>
  </si>
  <si>
    <t>Paul MacIntyre</t>
  </si>
  <si>
    <t>AT-10435</t>
  </si>
  <si>
    <t>Alyssa Tate</t>
  </si>
  <si>
    <t>OFF-LA-10004425</t>
  </si>
  <si>
    <t>Staple-on labels</t>
  </si>
  <si>
    <t>CA-12055</t>
  </si>
  <si>
    <t>Cathy Armstrong</t>
  </si>
  <si>
    <t>TEC-AC-10003174</t>
  </si>
  <si>
    <t>Plantronics S12 Corded Telephone Headset System</t>
  </si>
  <si>
    <t>HR-14830</t>
  </si>
  <si>
    <t>Harold Ryan</t>
  </si>
  <si>
    <t>OFF-BI-10004656</t>
  </si>
  <si>
    <t>Peel &amp; Stick Add-On Corner Pockets</t>
  </si>
  <si>
    <t>BT-11530</t>
  </si>
  <si>
    <t>Bradley Talbott</t>
  </si>
  <si>
    <t>LH-16750</t>
  </si>
  <si>
    <t>Larry Hughes</t>
  </si>
  <si>
    <t>TEC-PH-10002660</t>
  </si>
  <si>
    <t>Nortel Networks T7316 E Nt8 B27</t>
  </si>
  <si>
    <t>SW-20755</t>
  </si>
  <si>
    <t>Steven Ward</t>
  </si>
  <si>
    <t>OFF-ST-10004634</t>
  </si>
  <si>
    <t>Personal Folder Holder, Ebony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</si>
  <si>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</si>
  <si>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</si>
  <si>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</si>
  <si>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</si>
  <si>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</si>
  <si>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</si>
  <si>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</si>
  <si>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</si>
  <si>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</si>
  <si>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TEC-CO-10001046</t>
  </si>
  <si>
    <t>Canon Imageclass D680 Copier / Fax</t>
  </si>
  <si>
    <t>GM-14680</t>
  </si>
  <si>
    <t>Greg Matthias</t>
  </si>
  <si>
    <t>FUR-FU-10003691</t>
  </si>
  <si>
    <t>Eldon Image Series Desk Accessories, Ebony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</si>
  <si>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</si>
  <si>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</si>
  <si>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</si>
  <si>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</si>
  <si>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</si>
  <si>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</si>
  <si>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</si>
  <si>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</si>
  <si>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</si>
  <si>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</si>
  <si>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MH-18115</t>
  </si>
  <si>
    <t>Mick Hernandez</t>
  </si>
  <si>
    <t>OFF-AR-10003958</t>
  </si>
  <si>
    <t>Newell 337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</si>
  <si>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</si>
  <si>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</si>
  <si>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</si>
  <si>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</si>
  <si>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</si>
  <si>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</si>
  <si>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</si>
  <si>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</si>
  <si>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</si>
  <si>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</si>
  <si>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</si>
  <si>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</si>
  <si>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</si>
  <si>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</si>
  <si>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</si>
  <si>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</si>
  <si>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</si>
  <si>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Florence</t>
  </si>
  <si>
    <t>OFF-PA-10002870</t>
  </si>
  <si>
    <t>Ampad Phone Message Book, Recycled, 400 Message Capacity, 5 ¾ x 11</t>
  </si>
  <si>
    <t>BD-11770</t>
  </si>
  <si>
    <t>Bryan Davis</t>
  </si>
  <si>
    <t>OFF-AR-10004022</t>
  </si>
  <si>
    <t>Panasonic KP-380BK Classic Electric Pencil Sharpener</t>
  </si>
  <si>
    <t>GM-14500</t>
  </si>
  <si>
    <t>Gene McClure</t>
  </si>
  <si>
    <t>Providence</t>
  </si>
  <si>
    <t>OFF-ST-10000617</t>
  </si>
  <si>
    <t>Woodgrain Magazine Files by Perma</t>
  </si>
  <si>
    <t>TB-21355</t>
  </si>
  <si>
    <t>Todd Boyes</t>
  </si>
  <si>
    <t>FUR-FU-10000397</t>
  </si>
  <si>
    <t>Luxo Economy Swing Arm Lamp</t>
  </si>
  <si>
    <t>JH-16180</t>
  </si>
  <si>
    <t>Justin Hirsh</t>
  </si>
  <si>
    <t>Pueblo</t>
  </si>
  <si>
    <t>OFF-AP-10004487</t>
  </si>
  <si>
    <t>Kensington 4 Outlet MasterPiece Compact Power Control Center</t>
  </si>
  <si>
    <t>EB-13975</t>
  </si>
  <si>
    <t>Erica Bern</t>
  </si>
  <si>
    <t>QJ-19255</t>
  </si>
  <si>
    <t>Quincy Jones</t>
  </si>
  <si>
    <t>TEC-PH-10003555</t>
  </si>
  <si>
    <t>Motorola HK250 Universal Bluetooth Headset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</si>
  <si>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</si>
  <si>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</si>
  <si>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</si>
  <si>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</si>
  <si>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</si>
  <si>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</si>
  <si>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</si>
  <si>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</si>
  <si>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HG-14965</t>
  </si>
  <si>
    <t>Henry Goldwyn</t>
  </si>
  <si>
    <t>OFF-PA-10003072</t>
  </si>
  <si>
    <t>Eureka Recycled Copy Paper 8 1/2" x 11", Ream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</si>
  <si>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</si>
  <si>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</si>
  <si>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</si>
  <si>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</si>
  <si>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</si>
  <si>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</si>
  <si>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</si>
  <si>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</si>
  <si>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</si>
  <si>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</si>
  <si>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</si>
  <si>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</si>
  <si>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</si>
  <si>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</si>
  <si>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</si>
  <si>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</si>
  <si>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OFF-ST-10001321</t>
  </si>
  <si>
    <t>Decoflex Hanging Personal Folder File, Blue</t>
  </si>
  <si>
    <t>CP-12085</t>
  </si>
  <si>
    <t>Cathy Prescott</t>
  </si>
  <si>
    <t>OFF-PA-10004156</t>
  </si>
  <si>
    <t>Xerox 188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</si>
  <si>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</si>
  <si>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</si>
  <si>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</si>
  <si>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</si>
  <si>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</si>
  <si>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</si>
  <si>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</si>
  <si>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</si>
  <si>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TEC-PH-10000347</t>
  </si>
  <si>
    <t>Cush Cases Heavy Duty Rugged Cover Case for Samsung Galaxy S5 - Purple</t>
  </si>
  <si>
    <t>MN-17935</t>
  </si>
  <si>
    <t>Michael Nguyen</t>
  </si>
  <si>
    <t>OFF-BI-10002012</t>
  </si>
  <si>
    <t>Wilson Jones Easy Flow II Sheet Lifters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</si>
  <si>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</si>
  <si>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</si>
  <si>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</si>
  <si>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</si>
  <si>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</si>
  <si>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</si>
  <si>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</si>
  <si>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FUR-FU-10003724</t>
  </si>
  <si>
    <t>Westinghouse Clip-On Gooseneck Lamps</t>
  </si>
  <si>
    <t>CM-12115</t>
  </si>
  <si>
    <t>Chad McGuire</t>
  </si>
  <si>
    <t>FUR-FU-10004018</t>
  </si>
  <si>
    <t>Tensor Computer Mounted Lamp</t>
  </si>
  <si>
    <t>AS-10045</t>
  </si>
  <si>
    <t>Aaron Smayling</t>
  </si>
  <si>
    <t>TEC-MA-10002178</t>
  </si>
  <si>
    <t>Cisco CP-7937G Unified IP Conference Station Phone</t>
  </si>
  <si>
    <t>BP-11290</t>
  </si>
  <si>
    <t>Beth Paige</t>
  </si>
  <si>
    <t>FUR-CH-10002880</t>
  </si>
  <si>
    <t>Global High-Back Leather Tilter, Burgundy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</si>
  <si>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</si>
  <si>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</si>
  <si>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</si>
  <si>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</si>
  <si>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</si>
  <si>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</si>
  <si>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</si>
  <si>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</si>
  <si>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</si>
  <si>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</si>
  <si>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</si>
  <si>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</si>
  <si>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OFF-AR-10002956</t>
  </si>
  <si>
    <t>Boston 16801 Nautilus Battery Pencil Sharpener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</si>
  <si>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</si>
  <si>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</si>
  <si>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</si>
  <si>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</si>
  <si>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</si>
  <si>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</si>
  <si>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</si>
  <si>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</si>
  <si>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</si>
  <si>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JK-16120</t>
  </si>
  <si>
    <t>Julie Kriz</t>
  </si>
  <si>
    <t>FUR-FU-10003394</t>
  </si>
  <si>
    <t>Tenex "The Solids" Textured Chair Mats</t>
  </si>
  <si>
    <t>PP-18955</t>
  </si>
  <si>
    <t>Paul Prost</t>
  </si>
  <si>
    <t>Smyrna</t>
  </si>
  <si>
    <t>OFF-ST-10002344</t>
  </si>
  <si>
    <t>Carina 42"Hx23 3/4"W Media Storage Unit</t>
  </si>
  <si>
    <t>YS-21880</t>
  </si>
  <si>
    <t>Yana Sorensen</t>
  </si>
  <si>
    <t>OFF-AR-10003514</t>
  </si>
  <si>
    <t>4009 Highlighters by Sanford</t>
  </si>
  <si>
    <t>KM-16375</t>
  </si>
  <si>
    <t>Katherine Murray</t>
  </si>
  <si>
    <t>TEC-PH-10003988</t>
  </si>
  <si>
    <t>LF Elite 3D Dazzle Designer Hard Case Cover, Lf Stylus Pen and Wiper For Apple Iphone 5c Mini Lite</t>
  </si>
  <si>
    <t>AB-10105</t>
  </si>
  <si>
    <t>Adrian Barton</t>
  </si>
  <si>
    <t>FUR-TA-10002356</t>
  </si>
  <si>
    <t>Bevis Boat-Shaped Conference Table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</si>
  <si>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</si>
  <si>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</si>
  <si>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</si>
  <si>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</si>
  <si>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</si>
  <si>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</si>
  <si>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Costa Mesa</t>
  </si>
  <si>
    <t>TEC-AC-10000580</t>
  </si>
  <si>
    <t>Logitech G13 Programmable Gameboard with LCD Display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</si>
  <si>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</si>
  <si>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</si>
  <si>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</si>
  <si>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</si>
  <si>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</si>
  <si>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</si>
  <si>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</si>
  <si>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</si>
  <si>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DK-12835</t>
  </si>
  <si>
    <t>Damala Kotsonis</t>
  </si>
  <si>
    <t>OFF-BI-10002949</t>
  </si>
  <si>
    <t>Prestige Round Ring Binders</t>
  </si>
  <si>
    <t>ST-20530</t>
  </si>
  <si>
    <t>Shui Tom</t>
  </si>
  <si>
    <t>Parma</t>
  </si>
  <si>
    <t>OFF-PA-10001639</t>
  </si>
  <si>
    <t>Xerox 203</t>
  </si>
  <si>
    <t>MM-17920</t>
  </si>
  <si>
    <t>Michael Moore</t>
  </si>
  <si>
    <t>OFF-BI-10001510</t>
  </si>
  <si>
    <t>Deluxe Heavy-Duty Vinyl Round Ring Binder</t>
  </si>
  <si>
    <t>PW-19030</t>
  </si>
  <si>
    <t>Pauline Webber</t>
  </si>
  <si>
    <t>OFF-PA-10002713</t>
  </si>
  <si>
    <t>Adams Phone Message Book, 200 Message Capacity, 8 1/16 x 11</t>
  </si>
  <si>
    <t>SC-20440</t>
  </si>
  <si>
    <t>Shaun Chance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</si>
  <si>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</si>
  <si>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</si>
  <si>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</si>
  <si>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</si>
  <si>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</si>
  <si>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</si>
  <si>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</si>
  <si>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OFF-PA-10001685</t>
  </si>
  <si>
    <t>ME-17320</t>
  </si>
  <si>
    <t>Maria Etezadi</t>
  </si>
  <si>
    <t>OFF-BI-10000977</t>
  </si>
  <si>
    <t>Ibico Plastic Spiral Binding Combs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</si>
  <si>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</si>
  <si>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</si>
  <si>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</si>
  <si>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</si>
  <si>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</si>
  <si>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</si>
  <si>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</si>
  <si>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</si>
  <si>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KN-16390</t>
  </si>
  <si>
    <t>Katherine Nockton</t>
  </si>
  <si>
    <t>NP-18685</t>
  </si>
  <si>
    <t>Nora Pelletier</t>
  </si>
  <si>
    <t>Niagara Falls</t>
  </si>
  <si>
    <t>OFF-AR-10003770</t>
  </si>
  <si>
    <t>Newell 340</t>
  </si>
  <si>
    <t>CS-12505</t>
  </si>
  <si>
    <t>Cindy Stewart</t>
  </si>
  <si>
    <t>Thomasville</t>
  </si>
  <si>
    <t>OFF-SU-10000381</t>
  </si>
  <si>
    <t>Acme Forged Steel Scissors with Black Enamel Handles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</si>
  <si>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</si>
  <si>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</si>
  <si>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</si>
  <si>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</si>
  <si>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</si>
  <si>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</si>
  <si>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</si>
  <si>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Co-12640</t>
  </si>
  <si>
    <t>Corey-Lock</t>
  </si>
  <si>
    <t>OFF-LA-10000452</t>
  </si>
  <si>
    <t>Avery 488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</si>
  <si>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</si>
  <si>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</si>
  <si>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</si>
  <si>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</si>
  <si>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</si>
  <si>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</si>
  <si>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FUR-FU-10002885</t>
  </si>
  <si>
    <t>Magna Visual Magnetic Picture Hangers</t>
  </si>
  <si>
    <t>JD-15790</t>
  </si>
  <si>
    <t>John Dryer</t>
  </si>
  <si>
    <t>Coppell</t>
  </si>
  <si>
    <t>OFF-AR-10003759</t>
  </si>
  <si>
    <t>Crayola Anti Dust Chalk, 12/Pack</t>
  </si>
  <si>
    <t>PC-19000</t>
  </si>
  <si>
    <t>Pauline Chand</t>
  </si>
  <si>
    <t>OFF-AR-10001868</t>
  </si>
  <si>
    <t>Prang Dustless Chalk Sticks</t>
  </si>
  <si>
    <t>AR-10540</t>
  </si>
  <si>
    <t>Andy Reiter</t>
  </si>
  <si>
    <t>OFF-BI-10003708</t>
  </si>
  <si>
    <t>Acco Four Pocket Poly Ring Binder with Label Holder, Smoke, 1"</t>
  </si>
  <si>
    <t>AI-10855</t>
  </si>
  <si>
    <t>Arianne Irving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</si>
  <si>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</si>
  <si>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</si>
  <si>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</si>
  <si>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</si>
  <si>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</si>
  <si>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</si>
  <si>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</si>
  <si>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</si>
  <si>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FUR-FU-10002253</t>
  </si>
  <si>
    <t>Howard Miller 13" Diameter Pewter Finish Round Wall Clock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</si>
  <si>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</si>
  <si>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</si>
  <si>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</si>
  <si>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</si>
  <si>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</si>
  <si>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</si>
  <si>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</si>
  <si>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</si>
  <si>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CL-11890</t>
  </si>
  <si>
    <t>Carl Ludwig</t>
  </si>
  <si>
    <t>Everett</t>
  </si>
  <si>
    <t>TEC-PH-10000439</t>
  </si>
  <si>
    <t>GE DSL Phone Line Filter</t>
  </si>
  <si>
    <t>DB-13270</t>
  </si>
  <si>
    <t>Deborah Brumfield</t>
  </si>
  <si>
    <t>OFF-BI-10004230</t>
  </si>
  <si>
    <t>GBC Recycled Grain Textured Covers</t>
  </si>
  <si>
    <t>IG-15085</t>
  </si>
  <si>
    <t>Ivan Gibson</t>
  </si>
  <si>
    <t>OFF-PA-10000806</t>
  </si>
  <si>
    <t>Xerox 1934</t>
  </si>
  <si>
    <t>BO-11425</t>
  </si>
  <si>
    <t>Bobby Odegard</t>
  </si>
  <si>
    <t>AB-10150</t>
  </si>
  <si>
    <t>Aimee Bixby</t>
  </si>
  <si>
    <t>JW-16075</t>
  </si>
  <si>
    <t>Julia West</t>
  </si>
  <si>
    <t>OFF-EN-10003134</t>
  </si>
  <si>
    <t>EB-13750</t>
  </si>
  <si>
    <t>Edward Becker</t>
  </si>
  <si>
    <t>SG-20470</t>
  </si>
  <si>
    <t>Sheri Gordon</t>
  </si>
  <si>
    <t>CM-12190</t>
  </si>
  <si>
    <t>Charlotte Melton</t>
  </si>
  <si>
    <t>OFF-PA-10004000</t>
  </si>
  <si>
    <t>While You Were Out Pads, 50 per Pad, 4 x 5 1/4, Green Cycle</t>
  </si>
  <si>
    <t>AW-10840</t>
  </si>
  <si>
    <t>Anthony Witt</t>
  </si>
  <si>
    <t>Allen</t>
  </si>
  <si>
    <t>TEC-AC-10003038</t>
  </si>
  <si>
    <t>Kingston Digital DataTraveler 16GB USB 2.0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</si>
  <si>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</si>
  <si>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</si>
  <si>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</si>
  <si>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</si>
  <si>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</si>
  <si>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</si>
  <si>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</si>
  <si>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OFF-ST-10002406</t>
  </si>
  <si>
    <t>Pizazz Global Quick File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</si>
  <si>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</si>
  <si>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</si>
  <si>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</si>
  <si>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</si>
  <si>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</si>
  <si>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</si>
  <si>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</si>
  <si>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</si>
  <si>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</si>
  <si>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Olympia</t>
  </si>
  <si>
    <t>TEC-PH-10004830</t>
  </si>
  <si>
    <t>Pyle PRT45 Retro Home Telephone</t>
  </si>
  <si>
    <t>DP-13390</t>
  </si>
  <si>
    <t>Dennis Pardue</t>
  </si>
  <si>
    <t>FUR-BO-10000362</t>
  </si>
  <si>
    <t>Sauder Inglewood Library Bookcases</t>
  </si>
  <si>
    <t>ML-17395</t>
  </si>
  <si>
    <t>Marina Lichtenstein</t>
  </si>
  <si>
    <t>JC-15385</t>
  </si>
  <si>
    <t>Jenna Caffey</t>
  </si>
  <si>
    <t>Kent</t>
  </si>
  <si>
    <t>FUR-FU-10002937</t>
  </si>
  <si>
    <t>GE 48" Fluorescent Tube, Cool White Energy Saver, 34 Watts, 30/Box</t>
  </si>
  <si>
    <t>JG-15160</t>
  </si>
  <si>
    <t>James Galang</t>
  </si>
  <si>
    <t>MC-17275</t>
  </si>
  <si>
    <t>Marc Crier</t>
  </si>
  <si>
    <t>Lafayette</t>
  </si>
  <si>
    <t>FUR-CH-10001270</t>
  </si>
  <si>
    <t>Harbour Creations Steel Folding Chair</t>
  </si>
  <si>
    <t>NW-18400</t>
  </si>
  <si>
    <t>Natalie Webber</t>
  </si>
  <si>
    <t>Tigard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</si>
  <si>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</si>
  <si>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</si>
  <si>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</si>
  <si>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</si>
  <si>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</si>
  <si>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BS-11380</t>
  </si>
  <si>
    <t>Bill Stewart</t>
  </si>
  <si>
    <t>Skokie</t>
  </si>
  <si>
    <t>OFF-FA-10003112</t>
  </si>
  <si>
    <t>HH-15010</t>
  </si>
  <si>
    <t>Hilary Holden</t>
  </si>
  <si>
    <t>OFF-PA-10004475</t>
  </si>
  <si>
    <t>Xerox 1940</t>
  </si>
  <si>
    <t>CD-12280</t>
  </si>
  <si>
    <t>Christina DeMoss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</si>
  <si>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</si>
  <si>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</si>
  <si>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</si>
  <si>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</si>
  <si>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</si>
  <si>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</si>
  <si>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OFF-BI-10004330</t>
  </si>
  <si>
    <t>GBC Velobind Prepunched Cover Sets, Regency Series</t>
  </si>
  <si>
    <t>NS-18505</t>
  </si>
  <si>
    <t>Neola Schneider</t>
  </si>
  <si>
    <t>RB-19645</t>
  </si>
  <si>
    <t>Robert Barroso</t>
  </si>
  <si>
    <t>North Las Vegas</t>
  </si>
  <si>
    <t>TEC-AC-10001013</t>
  </si>
  <si>
    <t>Logitech ClearChat Comfort/USB Headset H390</t>
  </si>
  <si>
    <t>SW-20455</t>
  </si>
  <si>
    <t>Shaun Weien</t>
  </si>
  <si>
    <t>Suffolk</t>
  </si>
  <si>
    <t>OFF-LA-10003930</t>
  </si>
  <si>
    <t>Dot Matrix Printer Tape Reel Labels, White, 5000/Box</t>
  </si>
  <si>
    <t>EB-13930</t>
  </si>
  <si>
    <t>Eric Barreto</t>
  </si>
  <si>
    <t>PS-18760</t>
  </si>
  <si>
    <t>Pamela Stobb</t>
  </si>
  <si>
    <t>OFF-PA-10000176</t>
  </si>
  <si>
    <t>Xerox 1887</t>
  </si>
  <si>
    <t>HF-14995</t>
  </si>
  <si>
    <t>Herbert Flentye</t>
  </si>
  <si>
    <t>Indianapolis</t>
  </si>
  <si>
    <t>OFF-PA-10000575</t>
  </si>
  <si>
    <t>Wirebound Message Books, Four 2 3/4 x 5 White Forms per Page</t>
  </si>
  <si>
    <t>HZ-14950</t>
  </si>
  <si>
    <t>Henia Zydlo</t>
  </si>
  <si>
    <t>FUR-FU-10004020</t>
  </si>
  <si>
    <t>Advantus Panel Wall Acrylic Frame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</si>
  <si>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</si>
  <si>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</si>
  <si>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</si>
  <si>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</si>
  <si>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</si>
  <si>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</si>
  <si>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</si>
  <si>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FM-14215</t>
  </si>
  <si>
    <t>Filia McAdams</t>
  </si>
  <si>
    <t>FUR-TA-10001307</t>
  </si>
  <si>
    <t>SAFCO PlanMaster Heigh-Adjustable Drafting Table Base, 43w x 30d x 30-37h, Black</t>
  </si>
  <si>
    <t>ED-13885</t>
  </si>
  <si>
    <t>Emily Ducich</t>
  </si>
  <si>
    <t>OFF-LA-10000262</t>
  </si>
  <si>
    <t>Avery 494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</si>
  <si>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</si>
  <si>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</si>
  <si>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</si>
  <si>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</si>
  <si>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</si>
  <si>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</si>
  <si>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</si>
  <si>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</si>
  <si>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OFF-SU-10002573</t>
  </si>
  <si>
    <t>Acme 10" Easy Grip Assistive Scissors</t>
  </si>
  <si>
    <t>CC-12685</t>
  </si>
  <si>
    <t>Craig Carroll</t>
  </si>
  <si>
    <t>Greensboro</t>
  </si>
  <si>
    <t>JE-15610</t>
  </si>
  <si>
    <t>Jim Epp</t>
  </si>
  <si>
    <t>RP-19855</t>
  </si>
  <si>
    <t>Roy Phan</t>
  </si>
  <si>
    <t>Kenosha</t>
  </si>
  <si>
    <t>TEC-PH-10001819</t>
  </si>
  <si>
    <t>Innergie mMini Combo Duo USB Travel Charging Kit</t>
  </si>
  <si>
    <t>TB-21175</t>
  </si>
  <si>
    <t>Thomas Boland</t>
  </si>
  <si>
    <t>OFF-ST-10000777</t>
  </si>
  <si>
    <t>Companion Letter/Legal File, Black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</si>
  <si>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</si>
  <si>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</si>
  <si>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</si>
  <si>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</si>
  <si>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</si>
  <si>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</si>
  <si>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</si>
  <si>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</si>
  <si>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</si>
  <si>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TEC-PH-10004897</t>
  </si>
  <si>
    <t>Mediabridge Sport Armband iPhone 5s</t>
  </si>
  <si>
    <t>BT-11680</t>
  </si>
  <si>
    <t>Brian Thompson</t>
  </si>
  <si>
    <t>FUR-FU-10001861</t>
  </si>
  <si>
    <t>Floodlight Indoor Halogen Bulbs, 1 Bulb per Pack, 60 Watts</t>
  </si>
  <si>
    <t>JL-15235</t>
  </si>
  <si>
    <t>Janet Lee</t>
  </si>
  <si>
    <t>OFF-AP-10001394</t>
  </si>
  <si>
    <t>Harmony Air Purifier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</si>
  <si>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</si>
  <si>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</si>
  <si>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</si>
  <si>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</si>
  <si>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</si>
  <si>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</si>
  <si>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</si>
  <si>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Macon</t>
  </si>
  <si>
    <t>OFF-PA-10000019</t>
  </si>
  <si>
    <t>Xerox 1931</t>
  </si>
  <si>
    <t>BF-10975</t>
  </si>
  <si>
    <t>Barbara Fisher</t>
  </si>
  <si>
    <t>KH-16330</t>
  </si>
  <si>
    <t>Katharine Harms</t>
  </si>
  <si>
    <t>Bowling Green</t>
  </si>
  <si>
    <t>FUR-CH-10000988</t>
  </si>
  <si>
    <t>Hon Olson Stacker Stools</t>
  </si>
  <si>
    <t>GW-14605</t>
  </si>
  <si>
    <t>Giulietta Weimer</t>
  </si>
  <si>
    <t>TEC-AC-10003027</t>
  </si>
  <si>
    <t>Imation 8GB Mini TravelDrive USB 2.0 Flash Drive</t>
  </si>
  <si>
    <t>NC-18625</t>
  </si>
  <si>
    <t>Noah Childs</t>
  </si>
  <si>
    <t>FUR-TA-10004575</t>
  </si>
  <si>
    <t>Hon 5100 Series Wood Tables</t>
  </si>
  <si>
    <t>ME-18010</t>
  </si>
  <si>
    <t>Michelle Ellison</t>
  </si>
  <si>
    <t>OFF-AR-10002067</t>
  </si>
  <si>
    <t>Newell 334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</si>
  <si>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</si>
  <si>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</si>
  <si>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</si>
  <si>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</si>
  <si>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</si>
  <si>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</si>
  <si>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</si>
  <si>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AS-10090</t>
  </si>
  <si>
    <t>Adam Shillingsburg</t>
  </si>
  <si>
    <t>Charlottesville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</si>
  <si>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</si>
  <si>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</si>
  <si>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</si>
  <si>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</si>
  <si>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</si>
  <si>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</si>
  <si>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MD-17860</t>
  </si>
  <si>
    <t>Michael Dominguez</t>
  </si>
  <si>
    <t>DB-13660</t>
  </si>
  <si>
    <t>Duane Benoit</t>
  </si>
  <si>
    <t>FUR-FU-10001037</t>
  </si>
  <si>
    <t>DAX Charcoal/Nickel-Tone Document Frame, 5 x 7</t>
  </si>
  <si>
    <t>EH-13990</t>
  </si>
  <si>
    <t>Erica Hackney</t>
  </si>
  <si>
    <t>EH-13765</t>
  </si>
  <si>
    <t>Edward Hooks</t>
  </si>
  <si>
    <t>Watertown</t>
  </si>
  <si>
    <t>OFF-BI-10003091</t>
  </si>
  <si>
    <t>GBC DocuBind TL200 Manual Binding Machine</t>
  </si>
  <si>
    <t>SC-20230</t>
  </si>
  <si>
    <t>Scot Coram</t>
  </si>
  <si>
    <t>TEC-PH-10004345</t>
  </si>
  <si>
    <t>Cisco SPA 502G IP Phone</t>
  </si>
  <si>
    <t>JE-15715</t>
  </si>
  <si>
    <t>Joe Elijah</t>
  </si>
  <si>
    <t>Broomfield</t>
  </si>
  <si>
    <t>OFF-BI-10002082</t>
  </si>
  <si>
    <t>GBC Twin Loop Wire Binding Elements</t>
  </si>
  <si>
    <t>AC-10615</t>
  </si>
  <si>
    <t>Ann Chong</t>
  </si>
  <si>
    <t>JD-16015</t>
  </si>
  <si>
    <t>Joy Daniels</t>
  </si>
  <si>
    <t>OFF-BI-10001249</t>
  </si>
  <si>
    <t>Avery Heavy-Duty EZD View Binder with Locking Rings</t>
  </si>
  <si>
    <t>CB-12415</t>
  </si>
  <si>
    <t>Christy Brittain</t>
  </si>
  <si>
    <t>TEC-CO-10001449</t>
  </si>
  <si>
    <t>Hewlett Packard LaserJet 3310 Copier</t>
  </si>
  <si>
    <t>JS-16030</t>
  </si>
  <si>
    <t>Joy Smith</t>
  </si>
  <si>
    <t>OFF-AP-10002534</t>
  </si>
  <si>
    <t>3.6 Cubic Foot Counter Height Office Refrigerator</t>
  </si>
  <si>
    <t>LW-17215</t>
  </si>
  <si>
    <t>Luke Weiss</t>
  </si>
  <si>
    <t>TEC-AC-10001767</t>
  </si>
  <si>
    <t>SanDisk Ultra 64 GB MicroSDHC Class 10 Memory Card</t>
  </si>
  <si>
    <t>SC-20800</t>
  </si>
  <si>
    <t>Stuart Calhoun</t>
  </si>
  <si>
    <t>TEC-AC-10001606</t>
  </si>
  <si>
    <t>Logitech Wireless Performance Mouse MX for PC and Mac</t>
  </si>
  <si>
    <t>AM-10705</t>
  </si>
  <si>
    <t>Anne McFarland</t>
  </si>
  <si>
    <t>FUR-CH-10001854</t>
  </si>
  <si>
    <t>Office Star - Professional Matrix Back Chair with 2-to-1 Synchro Tilt and Mesh Fabric Seat</t>
  </si>
  <si>
    <t>RH-19510</t>
  </si>
  <si>
    <t>Rick Huthwaite</t>
  </si>
  <si>
    <t>CT-11995</t>
  </si>
  <si>
    <t>Carol Triggs</t>
  </si>
  <si>
    <t>OFF-BI-10002976</t>
  </si>
  <si>
    <t>ACCOHIDE Binder by Acco</t>
  </si>
  <si>
    <t>MC-17590</t>
  </si>
  <si>
    <t>Matt Collister</t>
  </si>
  <si>
    <t>Perth Amboy</t>
  </si>
  <si>
    <t>CC-12610</t>
  </si>
  <si>
    <t>Corey Catlett</t>
  </si>
  <si>
    <t>OFF-BI-10000301</t>
  </si>
  <si>
    <t>GBC Instant Report Kit</t>
  </si>
  <si>
    <t>KA-16525</t>
  </si>
  <si>
    <t>Kelly Andreada</t>
  </si>
  <si>
    <t>Ontario</t>
  </si>
  <si>
    <t>TC-20980</t>
  </si>
  <si>
    <t>Tamara Chand</t>
  </si>
  <si>
    <t>OFF-BI-10002954</t>
  </si>
  <si>
    <t>Newell 3-Hole Punched Plastic Slotted Magazine Holders for Binders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</si>
  <si>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</si>
  <si>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</si>
  <si>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</si>
  <si>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</si>
  <si>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</si>
  <si>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MM-17260</t>
  </si>
  <si>
    <t>Magdelene Morse</t>
  </si>
  <si>
    <t>OFF-BI-10004094</t>
  </si>
  <si>
    <t>GBC Standard Plastic Binding Systems Combs</t>
  </si>
  <si>
    <t>AH-10120</t>
  </si>
  <si>
    <t>Adrian Hane</t>
  </si>
  <si>
    <t>FUR-CH-10002372</t>
  </si>
  <si>
    <t>Office Star - Ergonomically Designed Knee Chair</t>
  </si>
  <si>
    <t>BW-11200</t>
  </si>
  <si>
    <t>Ben Wallace</t>
  </si>
  <si>
    <t>Boynton Beach</t>
  </si>
  <si>
    <t>OFF-PA-10004888</t>
  </si>
  <si>
    <t>Xerox 217</t>
  </si>
  <si>
    <t>SW-20245</t>
  </si>
  <si>
    <t>Scot Wooten</t>
  </si>
  <si>
    <t>Stockton</t>
  </si>
  <si>
    <t>OFF-PA-10002222</t>
  </si>
  <si>
    <t>Xerox Color Copier Paper, 11" x 17", Ream</t>
  </si>
  <si>
    <t>BS-11665</t>
  </si>
  <si>
    <t>Brian Stugart</t>
  </si>
  <si>
    <t>RF-19345</t>
  </si>
  <si>
    <t>Randy Ferguson</t>
  </si>
  <si>
    <t>New Hampshire</t>
  </si>
  <si>
    <t>OFF-AP-10000124</t>
  </si>
  <si>
    <t>Acco 6 Outlet Guardian Basic Surge Suppressor</t>
  </si>
  <si>
    <t>WB-21850</t>
  </si>
  <si>
    <t>William Brown</t>
  </si>
  <si>
    <t>TB-21625</t>
  </si>
  <si>
    <t>Trudy Brown</t>
  </si>
  <si>
    <t>FUR-FU-10002364</t>
  </si>
  <si>
    <t>Eldon Expressions Wood Desk Accessories, Oak</t>
  </si>
  <si>
    <t>AF-10870</t>
  </si>
  <si>
    <t>Art Ferguson</t>
  </si>
  <si>
    <t>College Station</t>
  </si>
  <si>
    <t>FUR-CH-10001973</t>
  </si>
  <si>
    <t>Office Star Flex Back Scooter Chair with White Frame</t>
  </si>
  <si>
    <t>RB-19435</t>
  </si>
  <si>
    <t>Richard Bierner</t>
  </si>
  <si>
    <t>Saint Louis</t>
  </si>
  <si>
    <t>TEC-AC-10001772</t>
  </si>
  <si>
    <t>Memorex Mini Travel Drive 16 GB USB 2.0 Flash Drive</t>
  </si>
  <si>
    <t>KF-16285</t>
  </si>
  <si>
    <t>Karen Ferguson</t>
  </si>
  <si>
    <t>Manteca</t>
  </si>
  <si>
    <t>OFF-PA-10004359</t>
  </si>
  <si>
    <t>Multicolor Computer Printout Paper</t>
  </si>
  <si>
    <t>JH-15820</t>
  </si>
  <si>
    <t>John Huston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</si>
  <si>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</si>
  <si>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</si>
  <si>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</si>
  <si>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</si>
  <si>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</si>
  <si>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</si>
  <si>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</si>
  <si>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</si>
  <si>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</si>
  <si>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RH-19600</t>
  </si>
  <si>
    <t>Rob Haberlin</t>
  </si>
  <si>
    <t>TEC-AC-10002345</t>
  </si>
  <si>
    <t>HP Standard 104 key PS/2 Keyboard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</si>
  <si>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</si>
  <si>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</si>
  <si>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</si>
  <si>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</si>
  <si>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</si>
  <si>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</si>
  <si>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</si>
  <si>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</si>
  <si>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</si>
  <si>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</si>
  <si>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</si>
  <si>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</si>
  <si>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</si>
  <si>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</si>
  <si>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</si>
  <si>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TEC-PH-10001578</t>
  </si>
  <si>
    <t>Polycom SoundStation2 EX Conference phone</t>
  </si>
  <si>
    <t>BT-11440</t>
  </si>
  <si>
    <t>Bobby Trafton</t>
  </si>
  <si>
    <t>Littleton</t>
  </si>
  <si>
    <t>FUR-BO-10002202</t>
  </si>
  <si>
    <t>Atlantic Metals Mobile 2-Shelf Bookcases, Custom Colors</t>
  </si>
  <si>
    <t>DB-13405</t>
  </si>
  <si>
    <t>Denny Blanton</t>
  </si>
  <si>
    <t>TG-21310</t>
  </si>
  <si>
    <t>Toby Gnade</t>
  </si>
  <si>
    <t>OFF-BI-10003527</t>
  </si>
  <si>
    <t>Fellowes PB500 Electric Punch Plastic Comb Binding Machine with Manual Bind</t>
  </si>
  <si>
    <t>BF-11005</t>
  </si>
  <si>
    <t>Barry Franz</t>
  </si>
  <si>
    <t>JM-16195</t>
  </si>
  <si>
    <t>Justin MacKendrick</t>
  </si>
  <si>
    <t>OFF-PA-10004285</t>
  </si>
  <si>
    <t>Xerox 1959</t>
  </si>
  <si>
    <t>MZ-17335</t>
  </si>
  <si>
    <t>Maria Zettner</t>
  </si>
  <si>
    <t>OFF-FA-10002280</t>
  </si>
  <si>
    <t>Advantus Plastic Paper Clips</t>
  </si>
  <si>
    <t>MW-18220</t>
  </si>
  <si>
    <t>Mitch Webber</t>
  </si>
  <si>
    <t>MV-17485</t>
  </si>
  <si>
    <t>Mark Van Huff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</si>
  <si>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</si>
  <si>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</si>
  <si>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</si>
  <si>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</si>
  <si>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</si>
  <si>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</si>
  <si>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</si>
  <si>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</si>
  <si>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JK-15625</t>
  </si>
  <si>
    <t>Jim Karlsson</t>
  </si>
  <si>
    <t>FUR-CH-10003833</t>
  </si>
  <si>
    <t>Novimex Fabric Task Chair</t>
  </si>
  <si>
    <t>PJ-18835</t>
  </si>
  <si>
    <t>Patrick Jones</t>
  </si>
  <si>
    <t>OFF-PA-10003971</t>
  </si>
  <si>
    <t>Xerox 1965</t>
  </si>
  <si>
    <t>RS-19420</t>
  </si>
  <si>
    <t>Ricardo Sperren</t>
  </si>
  <si>
    <t>FUR-TA-10001950</t>
  </si>
  <si>
    <t>Balt Solid Wood Round Tables</t>
  </si>
  <si>
    <t>SV-20935</t>
  </si>
  <si>
    <t>Susan Vittorini</t>
  </si>
  <si>
    <t>BC-11125</t>
  </si>
  <si>
    <t>Becky Castell</t>
  </si>
  <si>
    <t>FUR-CH-10001394</t>
  </si>
  <si>
    <t>Global Leather Executive Chair</t>
  </si>
  <si>
    <t>EM-13825</t>
  </si>
  <si>
    <t>Elizabeth Moffitt</t>
  </si>
  <si>
    <t>Sioux Falls</t>
  </si>
  <si>
    <t>South Dakota</t>
  </si>
  <si>
    <t>OFF-LA-10004093</t>
  </si>
  <si>
    <t>Avery 486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</si>
  <si>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</si>
  <si>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</si>
  <si>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</si>
  <si>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</si>
  <si>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</si>
  <si>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</si>
  <si>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</si>
  <si>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KW-16570</t>
  </si>
  <si>
    <t>Kelly Williams</t>
  </si>
  <si>
    <t>Clarksville</t>
  </si>
  <si>
    <t>SC-20260</t>
  </si>
  <si>
    <t>Scott Cohen</t>
  </si>
  <si>
    <t>FUR-BO-10002545</t>
  </si>
  <si>
    <t>Atlantic Metals Mobile 3-Shelf Bookcases, Custom Colors</t>
  </si>
  <si>
    <t>CV-12295</t>
  </si>
  <si>
    <t>Christina VanderZanden</t>
  </si>
  <si>
    <t>OFF-AP-10002403</t>
  </si>
  <si>
    <t>Acco Smartsocket Color-Coded Six-Outlet AC Adapter Model Surge Protectors</t>
  </si>
  <si>
    <t>SG-20605</t>
  </si>
  <si>
    <t>Speros Goranitis</t>
  </si>
  <si>
    <t>OFF-PA-10004255</t>
  </si>
  <si>
    <t>Xerox 219</t>
  </si>
  <si>
    <t>TM-21010</t>
  </si>
  <si>
    <t>Tamara Manning</t>
  </si>
  <si>
    <t>OFF-AR-10003631</t>
  </si>
  <si>
    <t>Staples in misc. colors</t>
  </si>
  <si>
    <t>EM-13810</t>
  </si>
  <si>
    <t>Eleni McCrary</t>
  </si>
  <si>
    <t>OFF-BI-10004187</t>
  </si>
  <si>
    <t>3-ring staple pack</t>
  </si>
  <si>
    <t>ML-18040</t>
  </si>
  <si>
    <t>Michelle Lonsdale</t>
  </si>
  <si>
    <t>Albuquerque</t>
  </si>
  <si>
    <t>TEC-AC-10002842</t>
  </si>
  <si>
    <t>WD My Passport Ultra 2TB Portable External Hard Drive</t>
  </si>
  <si>
    <t>CR-12580</t>
  </si>
  <si>
    <t>Clay Rozendal</t>
  </si>
  <si>
    <t>Elmhurst</t>
  </si>
  <si>
    <t>AZ-10750</t>
  </si>
  <si>
    <t>Annie Zypern</t>
  </si>
  <si>
    <t>FUR-CH-10002439</t>
  </si>
  <si>
    <t>Iceberg Nesting Folding Chair, 19w x 6d x 43h</t>
  </si>
  <si>
    <t>PW-19240</t>
  </si>
  <si>
    <t>Pierre Wener</t>
  </si>
  <si>
    <t>FUR-TA-10000849</t>
  </si>
  <si>
    <t>Bevis Rectangular Conference Tables</t>
  </si>
  <si>
    <t>SC-20380</t>
  </si>
  <si>
    <t>Shahid Collister</t>
  </si>
  <si>
    <t>OFF-PA-10001763</t>
  </si>
  <si>
    <t>Xerox 1896</t>
  </si>
  <si>
    <t>CM-11935</t>
  </si>
  <si>
    <t>Carlos Meador</t>
  </si>
  <si>
    <t>FUR-FU-10002107</t>
  </si>
  <si>
    <t>Eldon Pizzaz Desk Accessories</t>
  </si>
  <si>
    <t>GM-14695</t>
  </si>
  <si>
    <t>Greg Maxwell</t>
  </si>
  <si>
    <t>FUR-TA-10000198</t>
  </si>
  <si>
    <t>Chromcraft Bull-Nose Wood Oval Conference Tables &amp; Bases</t>
  </si>
  <si>
    <t>TB-21250</t>
  </si>
  <si>
    <t>Tim Brockman</t>
  </si>
  <si>
    <t>TEC-PH-10001835</t>
  </si>
  <si>
    <t>Jawbone JAMBOX Wireless Bluetooth Speaker</t>
  </si>
  <si>
    <t>JM-15865</t>
  </si>
  <si>
    <t>John Murray</t>
  </si>
  <si>
    <t>Jamestown</t>
  </si>
  <si>
    <t>TEC-PH-10002885</t>
  </si>
  <si>
    <t>Apple iPhone 5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</si>
  <si>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</si>
  <si>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</si>
  <si>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</si>
  <si>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</si>
  <si>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</si>
  <si>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</si>
  <si>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</si>
  <si>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OFF-LA-10000248</t>
  </si>
  <si>
    <t>Avery 52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</si>
  <si>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</si>
  <si>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</si>
  <si>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</si>
  <si>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</si>
  <si>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</si>
  <si>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</si>
  <si>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</si>
  <si>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</si>
  <si>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</si>
  <si>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FUR-FU-10002759</t>
  </si>
  <si>
    <t>12-1/2 Diameter Round Wall Clock</t>
  </si>
  <si>
    <t>NB-18580</t>
  </si>
  <si>
    <t>Nicole Brennan</t>
  </si>
  <si>
    <t>BD-11635</t>
  </si>
  <si>
    <t>Brian Derr</t>
  </si>
  <si>
    <t>TEC-AC-10003116</t>
  </si>
  <si>
    <t>Memorex Froggy Flash Drive 8 GB</t>
  </si>
  <si>
    <t>CM-12235</t>
  </si>
  <si>
    <t>Chris McAfee</t>
  </si>
  <si>
    <t>Carrollton</t>
  </si>
  <si>
    <t>TEC-AC-10004145</t>
  </si>
  <si>
    <t>Logitech diNovo Edge Keyboard</t>
  </si>
  <si>
    <t>EN-13780</t>
  </si>
  <si>
    <t>Edward Nazzal</t>
  </si>
  <si>
    <t>KN-16450</t>
  </si>
  <si>
    <t>Kean Nguyen</t>
  </si>
  <si>
    <t>OFF-BI-10000591</t>
  </si>
  <si>
    <t>Avery Binder Labels</t>
  </si>
  <si>
    <t>BO-11350</t>
  </si>
  <si>
    <t>Bill Overfelt</t>
  </si>
  <si>
    <t>FUR-CH-10002304</t>
  </si>
  <si>
    <t>Global Stack Chair without Arms, Black</t>
  </si>
  <si>
    <t>AG-10300</t>
  </si>
  <si>
    <t>Aleksandra Gannaway</t>
  </si>
  <si>
    <t>MC-17635</t>
  </si>
  <si>
    <t>Matthew Clasen</t>
  </si>
  <si>
    <t>OFF-PA-10001972</t>
  </si>
  <si>
    <t>Xerox 214</t>
  </si>
  <si>
    <t>TA-21385</t>
  </si>
  <si>
    <t>Tom Ashbrook</t>
  </si>
  <si>
    <t>TEC-CO-10004722</t>
  </si>
  <si>
    <t>Canon imageCLASS 2200 Advanced Copier</t>
  </si>
  <si>
    <t>JF-15295</t>
  </si>
  <si>
    <t>Jason Fortune-</t>
  </si>
  <si>
    <t>FUR-FU-10000076</t>
  </si>
  <si>
    <t>24-Hour Round Wall Clock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</si>
  <si>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</si>
  <si>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</si>
  <si>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</si>
  <si>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</si>
  <si>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</si>
  <si>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</si>
  <si>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CL-12700</t>
  </si>
  <si>
    <t>Craig Leslie</t>
  </si>
  <si>
    <t>OFF-BI-10003460</t>
  </si>
  <si>
    <t>Acco 3-Hole Punch</t>
  </si>
  <si>
    <t>HG-15025</t>
  </si>
  <si>
    <t>Hunter Glantz</t>
  </si>
  <si>
    <t>Amarillo</t>
  </si>
  <si>
    <t>NL-18310</t>
  </si>
  <si>
    <t>Nancy Lomonaco</t>
  </si>
  <si>
    <t>RR-19525</t>
  </si>
  <si>
    <t>Rick Reed</t>
  </si>
  <si>
    <t>OFF-PA-10001144</t>
  </si>
  <si>
    <t>Xerox 1913</t>
  </si>
  <si>
    <t>TC-21295</t>
  </si>
  <si>
    <t>Toby Carlisle</t>
  </si>
  <si>
    <t>OFF-PA-10000357</t>
  </si>
  <si>
    <t>Xerox 1888</t>
  </si>
  <si>
    <t>SV-20785</t>
  </si>
  <si>
    <t>Stewart Visinsky</t>
  </si>
  <si>
    <t>OFF-BI-10001116</t>
  </si>
  <si>
    <t>Wilson Jones 1" Hanging DublLock Ring Binders</t>
  </si>
  <si>
    <t>BE-11410</t>
  </si>
  <si>
    <t>Bobby Elias</t>
  </si>
  <si>
    <t>OFF-PA-10003465</t>
  </si>
  <si>
    <t>Xerox 1912</t>
  </si>
  <si>
    <t>SC-20680</t>
  </si>
  <si>
    <t>Steve Carroll</t>
  </si>
  <si>
    <t>DF-13135</t>
  </si>
  <si>
    <t>David Flashing</t>
  </si>
  <si>
    <t>Vallejo</t>
  </si>
  <si>
    <t>OFF-LA-10004689</t>
  </si>
  <si>
    <t>Avery 512</t>
  </si>
  <si>
    <t>FH-14350</t>
  </si>
  <si>
    <t>Fred Harton</t>
  </si>
  <si>
    <t>MS-17530</t>
  </si>
  <si>
    <t>MaryBeth Skach</t>
  </si>
  <si>
    <t>FUR-FU-10004671</t>
  </si>
  <si>
    <t>Executive Impressions 12" Wall Clock</t>
  </si>
  <si>
    <t>RH-19555</t>
  </si>
  <si>
    <t>Ritsa Hightower</t>
  </si>
  <si>
    <t>Tallahassee</t>
  </si>
  <si>
    <t>OFF-BI-10001553</t>
  </si>
  <si>
    <t>SpineVue Locking Slant-D Ring Binders by Cardinal</t>
  </si>
  <si>
    <t>GA-14515</t>
  </si>
  <si>
    <t>George Ashbrook</t>
  </si>
  <si>
    <t>OFF-AR-10003251</t>
  </si>
  <si>
    <t>Prang Drawing Pencil Set</t>
  </si>
  <si>
    <t>JP-16135</t>
  </si>
  <si>
    <t>Julie Prescott</t>
  </si>
  <si>
    <t>FUR-FU-10004270</t>
  </si>
  <si>
    <t>Executive Impressions 13" Clairmont Wall Clock</t>
  </si>
  <si>
    <t>Dp-13240</t>
  </si>
  <si>
    <t>Dean percer</t>
  </si>
  <si>
    <t>OFF-PA-10002893</t>
  </si>
  <si>
    <t>Wirebound Service Call Books, 5 1/2" x 4"</t>
  </si>
  <si>
    <t>MO-17950</t>
  </si>
  <si>
    <t>Michael Oakman</t>
  </si>
  <si>
    <t>OFF-AP-10001242</t>
  </si>
  <si>
    <t>APC 7 Outlet Network SurgeArrest Surge Protector</t>
  </si>
  <si>
    <t>DL-13330</t>
  </si>
  <si>
    <t>Denise Leinenbach</t>
  </si>
  <si>
    <t>Las Cruces</t>
  </si>
  <si>
    <t>MH-18025</t>
  </si>
  <si>
    <t>Michelle Huthwaite</t>
  </si>
  <si>
    <t>OFF-FA-10004395</t>
  </si>
  <si>
    <t>Plymouth Boxed Rubber Bands by Plymouth</t>
  </si>
  <si>
    <t>DR-12940</t>
  </si>
  <si>
    <t>Daniel Raglin</t>
  </si>
  <si>
    <t>DM-13015</t>
  </si>
  <si>
    <t>Darrin Martin</t>
  </si>
  <si>
    <t>Encinitas</t>
  </si>
  <si>
    <t>OFF-BI-10003784</t>
  </si>
  <si>
    <t>Computer Printout Index Tabs</t>
  </si>
  <si>
    <t>CA-11965</t>
  </si>
  <si>
    <t>Carol Adams</t>
  </si>
  <si>
    <t>Hoover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</si>
  <si>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</si>
  <si>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</si>
  <si>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</si>
  <si>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</si>
  <si>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</si>
  <si>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</si>
  <si>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</si>
  <si>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</si>
  <si>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CC-12370</t>
  </si>
  <si>
    <t>Christopher Conant</t>
  </si>
  <si>
    <t>BF-11275</t>
  </si>
  <si>
    <t>Beth Fritzler</t>
  </si>
  <si>
    <t>OFF-PA-10002581</t>
  </si>
  <si>
    <t>Xerox 1951</t>
  </si>
  <si>
    <t>HG-14845</t>
  </si>
  <si>
    <t>Harry Greene</t>
  </si>
  <si>
    <t>Lake Charles</t>
  </si>
  <si>
    <t>BP-11155</t>
  </si>
  <si>
    <t>Becky Pak</t>
  </si>
  <si>
    <t>FUR-FU-10000771</t>
  </si>
  <si>
    <t>Eldon 200 Class Desk Accessories, Smoke</t>
  </si>
  <si>
    <t>EM-14140</t>
  </si>
  <si>
    <t>Eugene Moren</t>
  </si>
  <si>
    <t>Glendale</t>
  </si>
  <si>
    <t>MA-17995</t>
  </si>
  <si>
    <t>Michelle Arnett</t>
  </si>
  <si>
    <t>AY-10555</t>
  </si>
  <si>
    <t>Andy Yotov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</si>
  <si>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</si>
  <si>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</si>
  <si>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</si>
  <si>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</si>
  <si>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</si>
  <si>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</si>
  <si>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</si>
  <si>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</si>
  <si>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MG-17875</t>
  </si>
  <si>
    <t>Michael Grace</t>
  </si>
  <si>
    <t>OFF-AP-10003779</t>
  </si>
  <si>
    <t>Kensington 7 Outlet MasterPiece Power Center with Fax/Phone Line Protection</t>
  </si>
  <si>
    <t>SR-20425</t>
  </si>
  <si>
    <t>Sharelle Roach</t>
  </si>
  <si>
    <t>JB-16000</t>
  </si>
  <si>
    <t>Joy Bell-</t>
  </si>
  <si>
    <t>DM-12955</t>
  </si>
  <si>
    <t>Dario Medina</t>
  </si>
  <si>
    <t>Lincoln Park</t>
  </si>
  <si>
    <t>FUR-BO-10000468</t>
  </si>
  <si>
    <t>O'Sullivan 2-Shelf Heavy-Duty Bookcases</t>
  </si>
  <si>
    <t>TC-21475</t>
  </si>
  <si>
    <t>Tony Chapman</t>
  </si>
  <si>
    <t>SW-20350</t>
  </si>
  <si>
    <t>Sean Wendt</t>
  </si>
  <si>
    <t>TEC-PH-10002555</t>
  </si>
  <si>
    <t>Nortel Meridian M5316 Digital phone</t>
  </si>
  <si>
    <t>RE-19450</t>
  </si>
  <si>
    <t>Richard Eichhorn</t>
  </si>
  <si>
    <t>OFF-PA-10001307</t>
  </si>
  <si>
    <t>Important Message Pads, 50 4-1/4 x 5-1/2 Forms per Pad</t>
  </si>
  <si>
    <t>BF-11215</t>
  </si>
  <si>
    <t>Benjamin Farhat</t>
  </si>
  <si>
    <t>OFF-ST-10000615</t>
  </si>
  <si>
    <t>SimpliFile Personal File, Black Granite, 15w x 6-15/16d x 11-1/4h</t>
  </si>
  <si>
    <t>KB-16405</t>
  </si>
  <si>
    <t>Katrina Bavinger</t>
  </si>
  <si>
    <t>Apple Valley</t>
  </si>
  <si>
    <t>JG-15310</t>
  </si>
  <si>
    <t>Jason Gross</t>
  </si>
  <si>
    <t>OFF-SU-10003505</t>
  </si>
  <si>
    <t>Premier Electric Letter Opener</t>
  </si>
  <si>
    <t>EC-14050</t>
  </si>
  <si>
    <t>Erin Creighton</t>
  </si>
  <si>
    <t>OFF-PA-10002741</t>
  </si>
  <si>
    <t>Xerox 1980</t>
  </si>
  <si>
    <t>EB-14110</t>
  </si>
  <si>
    <t>Eugene Barchas</t>
  </si>
  <si>
    <t>TEC-PH-10002200</t>
  </si>
  <si>
    <t>Aastra 6757i CT Wireless VoIP phone</t>
  </si>
  <si>
    <t>JP-15460</t>
  </si>
  <si>
    <t>Jennifer Patt</t>
  </si>
  <si>
    <t>FUR-FU-10004586</t>
  </si>
  <si>
    <t>G.E. Longer-Life Indoor Recessed Floodlight Bulbs</t>
  </si>
  <si>
    <t>CS-11845</t>
  </si>
  <si>
    <t>Cari Sayre</t>
  </si>
  <si>
    <t>FUR-CH-10004495</t>
  </si>
  <si>
    <t>Global Leather and Oak Executive Chair, Black</t>
  </si>
  <si>
    <t>GH-14410</t>
  </si>
  <si>
    <t>Gary Hansen</t>
  </si>
  <si>
    <t>OFF-PA-10001289</t>
  </si>
  <si>
    <t>White Computer Printout Paper by Universal</t>
  </si>
  <si>
    <t>PT-19090</t>
  </si>
  <si>
    <t>Pete Takahito</t>
  </si>
  <si>
    <t>OFF-BI-10004040</t>
  </si>
  <si>
    <t>Wilson Jones Impact Binders</t>
  </si>
  <si>
    <t>JL-15130</t>
  </si>
  <si>
    <t>Jack Lebron</t>
  </si>
  <si>
    <t>AH-10030</t>
  </si>
  <si>
    <t>Aaron Hawkins</t>
  </si>
  <si>
    <t>OFF-AR-10003183</t>
  </si>
  <si>
    <t>Avery Fluorescent Highlighter Four-Color Set</t>
  </si>
  <si>
    <t>CC-12475</t>
  </si>
  <si>
    <t>Cindy Chapman</t>
  </si>
  <si>
    <t>DW-13195</t>
  </si>
  <si>
    <t>David Wiener</t>
  </si>
  <si>
    <t>FUR-CH-10003774</t>
  </si>
  <si>
    <t>Global Wood Trimmed Manager's Task Chair, Khaki</t>
  </si>
  <si>
    <t>SJ-20215</t>
  </si>
  <si>
    <t>Sarah Jordon</t>
  </si>
  <si>
    <t>TEC-PH-10004912</t>
  </si>
  <si>
    <t>Cisco SPA112 2 Port Phone Adapter</t>
  </si>
  <si>
    <t>BG-11740</t>
  </si>
  <si>
    <t>Bruce Geld</t>
  </si>
  <si>
    <t>FUR-FU-10001473</t>
  </si>
  <si>
    <t>Eldon Executive Woodline II Desk Accessories, Mahogany</t>
  </si>
  <si>
    <t>LB-16795</t>
  </si>
  <si>
    <t>Laurel Beltran</t>
  </si>
  <si>
    <t>Highland Park</t>
  </si>
  <si>
    <t>OFF-BI-10000285</t>
  </si>
  <si>
    <t>XtraLife ClearVue Slant-D Ring Binders by Cardinal</t>
  </si>
  <si>
    <t>CM-11815</t>
  </si>
  <si>
    <t>Candace McMahon</t>
  </si>
  <si>
    <t>OFF-PA-10004609</t>
  </si>
  <si>
    <t>Xerox 221</t>
  </si>
  <si>
    <t>EH-14185</t>
  </si>
  <si>
    <t>Evan Henry</t>
  </si>
  <si>
    <t>TS-21505</t>
  </si>
  <si>
    <t>Tony Sayre</t>
  </si>
  <si>
    <t>OFF-AP-10004868</t>
  </si>
  <si>
    <t>Hoover Commercial Soft Guard Upright Vacuum And Disposable Filtration Bags</t>
  </si>
  <si>
    <t>PR-18880</t>
  </si>
  <si>
    <t>Patrick Ryan</t>
  </si>
  <si>
    <t>LC-17050</t>
  </si>
  <si>
    <t>Liz Carlisle</t>
  </si>
  <si>
    <t>FUR-BO-10003966</t>
  </si>
  <si>
    <t>Sauder Facets Collection Library, Sky Alder Finish</t>
  </si>
  <si>
    <t>CS-12490</t>
  </si>
  <si>
    <t>Cindy Schnelling</t>
  </si>
  <si>
    <t>Conroe</t>
  </si>
  <si>
    <t>OFF-ST-10004950</t>
  </si>
  <si>
    <t>Tenex Personal Filing Tote With Secure Closure Lid, Black/Frost</t>
  </si>
  <si>
    <t>DH-13075</t>
  </si>
  <si>
    <t>Dave Hallsten</t>
  </si>
  <si>
    <t>JO-15145</t>
  </si>
  <si>
    <t>Jack O'Briant</t>
  </si>
  <si>
    <t>AH-10690</t>
  </si>
  <si>
    <t>Anna Häberlin</t>
  </si>
  <si>
    <t>OFF-PA-10000474</t>
  </si>
  <si>
    <t>HJ-14875</t>
  </si>
  <si>
    <t>Heather Jas</t>
  </si>
  <si>
    <t>OFF-PA-10004675</t>
  </si>
  <si>
    <t>Telephone Message Books with Fax/Mobile Section, 5 1/2" x 3 3/16"</t>
  </si>
  <si>
    <t>MH-17455</t>
  </si>
  <si>
    <t>Mark Hamilton</t>
  </si>
  <si>
    <t>RD-19930</t>
  </si>
  <si>
    <t>Russell D'Ascenzo</t>
  </si>
  <si>
    <t>OFF-PA-10004101</t>
  </si>
  <si>
    <t>Xerox 1894</t>
  </si>
  <si>
    <t>SC-20020</t>
  </si>
  <si>
    <t>Sam Craven</t>
  </si>
  <si>
    <t>Plano</t>
  </si>
  <si>
    <t>TEC-PH-10000369</t>
  </si>
  <si>
    <t>HTC One Mini</t>
  </si>
  <si>
    <t>SU-20665</t>
  </si>
  <si>
    <t>Stephanie Ulpright</t>
  </si>
  <si>
    <t>TEC-AC-10001838</t>
  </si>
  <si>
    <t>Razer Tiamat Over Ear 7.1 Surround Sound PC Gaming Headset</t>
  </si>
  <si>
    <t>FC-14335</t>
  </si>
  <si>
    <t>Fred Chung</t>
  </si>
  <si>
    <t>Mesquite</t>
  </si>
  <si>
    <t>RB-19330</t>
  </si>
  <si>
    <t>Randy Bradley</t>
  </si>
  <si>
    <t>OFF-PA-10002137</t>
  </si>
  <si>
    <t>Southworth 100% Résumé Paper, 24lb.</t>
  </si>
  <si>
    <t>NC-18535</t>
  </si>
  <si>
    <t>Nick Crebassa</t>
  </si>
  <si>
    <t>TEC-AC-10004864</t>
  </si>
  <si>
    <t>Memorex Micro Travel Drive 32 GB</t>
  </si>
  <si>
    <t>DB-12970</t>
  </si>
  <si>
    <t>Darren Budd</t>
  </si>
  <si>
    <t>OFF-ST-10000464</t>
  </si>
  <si>
    <t>Multi-Use Personal File Cart and Caster Set, Three Stacking Bins</t>
  </si>
  <si>
    <t>MF-17665</t>
  </si>
  <si>
    <t>Maureen Fritzler</t>
  </si>
  <si>
    <t>FUR-FU-10002445</t>
  </si>
  <si>
    <t>DAX Two-Tone Rosewood/Black Document Frame, Desktop, 5 x 7</t>
  </si>
  <si>
    <t>RM-19750</t>
  </si>
  <si>
    <t>Roland Murray</t>
  </si>
  <si>
    <t>OFF-PA-10002254</t>
  </si>
  <si>
    <t>Xerox 1883</t>
  </si>
  <si>
    <t>VM-21835</t>
  </si>
  <si>
    <t>Vivian Mathis</t>
  </si>
  <si>
    <t>TEC-PH-10000673</t>
  </si>
  <si>
    <t>Plantronics Voyager Pro HD - Bluetooth Headset</t>
  </si>
  <si>
    <t>EJ-13720</t>
  </si>
  <si>
    <t>Ed Jacobs</t>
  </si>
  <si>
    <t>OFF-ST-10003692</t>
  </si>
  <si>
    <t>Recycled Steel Personal File for Hanging File Folders</t>
  </si>
  <si>
    <t>NC-18415</t>
  </si>
  <si>
    <t>Nathan Cano</t>
  </si>
  <si>
    <t>FUR-CH-10003606</t>
  </si>
  <si>
    <t>SAFCO Folding Chair Trolley</t>
  </si>
  <si>
    <t>LS-17230</t>
  </si>
  <si>
    <t>Lycoris Saunders</t>
  </si>
  <si>
    <t>FUR-FU-10004017</t>
  </si>
  <si>
    <t>Executive Impressions 13" Chairman Wall Clock</t>
  </si>
  <si>
    <t>KE-16420</t>
  </si>
  <si>
    <t>Katrina Edelman</t>
  </si>
  <si>
    <t>DH-13675</t>
  </si>
  <si>
    <t>Duane Huffman</t>
  </si>
  <si>
    <t>FUR-FU-10004006</t>
  </si>
  <si>
    <t>Deflect-o DuraMat Lighweight, Studded, Beveled Mat for Low Pile Carpeting</t>
  </si>
  <si>
    <t>PF-19120</t>
  </si>
  <si>
    <t>Peter Fuller</t>
  </si>
  <si>
    <t>OFF-PA-10002245</t>
  </si>
  <si>
    <t>Xerox 1895</t>
  </si>
  <si>
    <t>VT-21700</t>
  </si>
  <si>
    <t>Valerie Takahito</t>
  </si>
  <si>
    <t>OFF-AP-10004036</t>
  </si>
  <si>
    <t>Bionaire 99.97% HEPA Air Cleaner</t>
  </si>
  <si>
    <t>MG-17695</t>
  </si>
  <si>
    <t>Maureen Gnade</t>
  </si>
  <si>
    <t>OFF-SU-10000157</t>
  </si>
  <si>
    <t>Compact Automatic Electric Letter Opener</t>
  </si>
  <si>
    <t>SP-20920</t>
  </si>
  <si>
    <t>Susan Pistek</t>
  </si>
  <si>
    <t>CS-12175</t>
  </si>
  <si>
    <t>Charles Sheldon</t>
  </si>
  <si>
    <t>FUR-FU-10003798</t>
  </si>
  <si>
    <t>Ultra Door Kickplate, 8"H x 34"W</t>
  </si>
  <si>
    <t>DK-12895</t>
  </si>
  <si>
    <t>Dana Kaydos</t>
  </si>
  <si>
    <t>FUR-BO-10002916</t>
  </si>
  <si>
    <t>Rush Hierlooms Collection 1" Thick Stackable Bookcases</t>
  </si>
  <si>
    <t>KM-16660</t>
  </si>
  <si>
    <t>Khloe Miller</t>
  </si>
  <si>
    <t>OFF-AR-10003087</t>
  </si>
  <si>
    <t>AA-10645</t>
  </si>
  <si>
    <t>Anna Andreadi</t>
  </si>
  <si>
    <t>FUR-CH-10004698</t>
  </si>
  <si>
    <t>Padded Folding Chairs, Black, 4/Carton</t>
  </si>
  <si>
    <t>DD-13570</t>
  </si>
  <si>
    <t>Dorothy Dickinson</t>
  </si>
  <si>
    <t>OFF-BI-10003676</t>
  </si>
  <si>
    <t>GBC Standard Recycled Report Covers, Clear Plastic Sheets</t>
  </si>
  <si>
    <t>AH-10465</t>
  </si>
  <si>
    <t>Amy Hunt</t>
  </si>
  <si>
    <t>TEC-PH-10002834</t>
  </si>
  <si>
    <t>Google Nexus 5</t>
  </si>
  <si>
    <t>TP-21565</t>
  </si>
  <si>
    <t>Tracy Poddar</t>
  </si>
  <si>
    <t>EK-13795</t>
  </si>
  <si>
    <t>Eileen Kiefer</t>
  </si>
  <si>
    <t>OFF-AR-10003582</t>
  </si>
  <si>
    <t>Boston Electric Pencil Sharpener, Model 1818, Charcoal Black</t>
  </si>
  <si>
    <t>CR-12820</t>
  </si>
  <si>
    <t>Cyra Reiten</t>
  </si>
  <si>
    <t>TEC-AC-10001539</t>
  </si>
  <si>
    <t>Logitech G430 Surround Sound Gaming Headset with Dolby 7.1 Technology</t>
  </si>
  <si>
    <t>SG-20890</t>
  </si>
  <si>
    <t>Susan Gilcrest</t>
  </si>
  <si>
    <t>Mcallen</t>
  </si>
  <si>
    <t>AH-10585</t>
  </si>
  <si>
    <t>Angele Hood</t>
  </si>
  <si>
    <t>OFF-PA-10004965</t>
  </si>
  <si>
    <t>Xerox 1921</t>
  </si>
  <si>
    <t>NF-18475</t>
  </si>
  <si>
    <t>Neil Französisch</t>
  </si>
  <si>
    <t>Rockford</t>
  </si>
  <si>
    <t>OFF-BI-10000948</t>
  </si>
  <si>
    <t>GBC Laser Imprintable Binding System Covers, Desert Sand</t>
  </si>
  <si>
    <t>BS-11365</t>
  </si>
  <si>
    <t>Bill Shonely</t>
  </si>
  <si>
    <t>SH-20635</t>
  </si>
  <si>
    <t>Stefanie Holloman</t>
  </si>
  <si>
    <t>FUR-FU-10003930</t>
  </si>
  <si>
    <t>Howard Miller 12-3/4 Diameter Accuwave DS  Wall Clock</t>
  </si>
  <si>
    <t>RD-19720</t>
  </si>
  <si>
    <t>Roger Demir</t>
  </si>
  <si>
    <t>Daytona Beach</t>
  </si>
  <si>
    <t>TEC-AC-10003237</t>
  </si>
  <si>
    <t>Memorex Micro Travel Drive 4 GB</t>
  </si>
  <si>
    <t>AG-10330</t>
  </si>
  <si>
    <t>Alex Grayson</t>
  </si>
  <si>
    <t>TEC-PH-10003215</t>
  </si>
  <si>
    <t>Jackery Bar Premium Fast-charging Portable Charger</t>
  </si>
  <si>
    <t>GR-14560</t>
  </si>
  <si>
    <t>Georgia Rosenberg</t>
  </si>
  <si>
    <t>OFF-PA-10003309</t>
  </si>
  <si>
    <t>Xerox 211</t>
  </si>
  <si>
    <t>VS-21820</t>
  </si>
  <si>
    <t>Vivek Sundaresam</t>
  </si>
  <si>
    <t>FUR-TA-10001520</t>
  </si>
  <si>
    <t>Lesro Sheffield Collection Coffee Table, End Table, Center Table, Corner Table</t>
  </si>
  <si>
    <t>TM-21490</t>
  </si>
  <si>
    <t>Tony Molinari</t>
  </si>
  <si>
    <t>Oklahoma City</t>
  </si>
  <si>
    <t>OFF-EN-10004206</t>
  </si>
  <si>
    <t>Multimedia Mailers</t>
  </si>
  <si>
    <t>TS-21430</t>
  </si>
  <si>
    <t>Tom Stivers</t>
  </si>
  <si>
    <t>OFF-AR-10000390</t>
  </si>
  <si>
    <t>Newell Chalk Holder</t>
  </si>
  <si>
    <t>DB-13360</t>
  </si>
  <si>
    <t>Dennis Bolton</t>
  </si>
  <si>
    <t>FUR-CH-10004983</t>
  </si>
  <si>
    <t>Office Star - Mid Back Dual function Ergonomic High Back Chair with 2-Way Adjustable Arms</t>
  </si>
  <si>
    <t>NR-18550</t>
  </si>
  <si>
    <t>Nick Radford</t>
  </si>
  <si>
    <t>FUR-TA-10002041</t>
  </si>
  <si>
    <t>Bevis Round Conference Table Top, X-Base</t>
  </si>
  <si>
    <t>CS-11860</t>
  </si>
  <si>
    <t>Cari Schnelling</t>
  </si>
  <si>
    <t>OFF-PA-10004733</t>
  </si>
  <si>
    <t>Things To Do Today Spiral Book</t>
  </si>
  <si>
    <t>MF-18250</t>
  </si>
  <si>
    <t>Monica Federle</t>
  </si>
  <si>
    <t>FUR-FU-10001215</t>
  </si>
  <si>
    <t>Howard Miller 11-1/2" Diameter Brentwood Wall Clock</t>
  </si>
  <si>
    <t>LW-17125</t>
  </si>
  <si>
    <t>Liz Willingham</t>
  </si>
  <si>
    <t>AR-10345</t>
  </si>
  <si>
    <t>Alex Russell</t>
  </si>
  <si>
    <t>OFF-AR-10003338</t>
  </si>
  <si>
    <t>Eberhard Faber 3 1/2" Golf Pencils</t>
  </si>
  <si>
    <t>KS-16300</t>
  </si>
  <si>
    <t>Karen Seio</t>
  </si>
  <si>
    <t>Lehi</t>
  </si>
  <si>
    <t>TEC-PH-10003356</t>
  </si>
  <si>
    <t>SmartStand Mobile Device Holder, Assorted Colors</t>
  </si>
  <si>
    <t>AB-10015</t>
  </si>
  <si>
    <t>Aaron Bergman</t>
  </si>
  <si>
    <t>FUR-CH-10004477</t>
  </si>
  <si>
    <t>Global Push Button Manager's Chair, Indigo</t>
  </si>
  <si>
    <t>LR-17035</t>
  </si>
  <si>
    <t>Lisa Ryan</t>
  </si>
  <si>
    <t>OFF-BI-10004781</t>
  </si>
  <si>
    <t>GBC Wire Binding Strips</t>
  </si>
  <si>
    <t>SS-20410</t>
  </si>
  <si>
    <t>Shahid Shariari</t>
  </si>
  <si>
    <t>JM-15580</t>
  </si>
  <si>
    <t>Jill Matthias</t>
  </si>
  <si>
    <t>TEC-AC-10004209</t>
  </si>
  <si>
    <t>Memorex Froggy Flash Drive 4 GB</t>
  </si>
  <si>
    <t>JK-15325</t>
  </si>
  <si>
    <t>Jason Klamczynski</t>
  </si>
  <si>
    <t>DM-13525</t>
  </si>
  <si>
    <t>Don Miller</t>
  </si>
  <si>
    <t>OFF-PA-10001870</t>
  </si>
  <si>
    <t>Xerox 202</t>
  </si>
  <si>
    <t>ML-18265</t>
  </si>
  <si>
    <t>Muhammed Lee</t>
  </si>
  <si>
    <t>MH-17290</t>
  </si>
  <si>
    <t>Marc Harrigan</t>
  </si>
  <si>
    <t>FUR-BO-10004218</t>
  </si>
  <si>
    <t>Bush Heritage Pine Collection 5-Shelf Bookcase, Albany Pine Finish, *Special Order</t>
  </si>
  <si>
    <t>FC-14245</t>
  </si>
  <si>
    <t>Frank Carlisle</t>
  </si>
  <si>
    <t>OFF-AP-10000938</t>
  </si>
  <si>
    <t>Avanti 1.7 Cu. Ft. Refrigerator</t>
  </si>
  <si>
    <t>TH-21115</t>
  </si>
  <si>
    <t>Thea Hudgings</t>
  </si>
  <si>
    <t>FUR-FU-10001847</t>
  </si>
  <si>
    <t>Eldon Image Series Black Desk Accessories</t>
  </si>
  <si>
    <t>JK-16090</t>
  </si>
  <si>
    <t>Juliana Krohn</t>
  </si>
  <si>
    <t>Omaha</t>
  </si>
  <si>
    <t>TEC-PH-10001795</t>
  </si>
  <si>
    <t>ClearOne CHATAttach 160 - speaker phone</t>
  </si>
  <si>
    <t>SB-20185</t>
  </si>
  <si>
    <t>Sarah Brown</t>
  </si>
  <si>
    <t>OFF-BI-10002735</t>
  </si>
  <si>
    <t>GBC Prestige Therm-A-Bind Covers</t>
  </si>
  <si>
    <t>BG-11035</t>
  </si>
  <si>
    <t>Barry Gonzalez</t>
  </si>
  <si>
    <t>TEC-AC-10003033</t>
  </si>
  <si>
    <t>Plantronics CS510 - Over-the-Head monaural Wireless Headset System</t>
  </si>
  <si>
    <t>BW-11065</t>
  </si>
  <si>
    <t>Barry Weirich</t>
  </si>
  <si>
    <t>MG-18205</t>
  </si>
  <si>
    <t>Mitch Gastineau</t>
  </si>
  <si>
    <t>FUR-FU-10003829</t>
  </si>
  <si>
    <t>Stackable Trays</t>
  </si>
  <si>
    <t>DO-13645</t>
  </si>
  <si>
    <t>Doug O'Connell</t>
  </si>
  <si>
    <t>TEC-PH-10004100</t>
  </si>
  <si>
    <t>Griffin GC17055 Auxiliary Audio Cable</t>
  </si>
  <si>
    <t>BP-11050</t>
  </si>
  <si>
    <t>Barry Pond</t>
  </si>
  <si>
    <t>Cranston</t>
  </si>
  <si>
    <t>OFF-ST-10001837</t>
  </si>
  <si>
    <t>SAFCO Mobile Desk Side File, Wire Frame</t>
  </si>
  <si>
    <t>TS-21655</t>
  </si>
  <si>
    <t>Trudy Schmidt</t>
  </si>
  <si>
    <t>EM-14200</t>
  </si>
  <si>
    <t>Evan Minnotte</t>
  </si>
  <si>
    <t>AO-10810</t>
  </si>
  <si>
    <t>Anthony O'Donnell</t>
  </si>
  <si>
    <t>FUR-TA-10004152</t>
  </si>
  <si>
    <t>Barricks 18" x 48" Non-Folding Utility Table with Bottom Storage Shelf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</si>
  <si>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</si>
  <si>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</si>
  <si>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</si>
  <si>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</si>
  <si>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</si>
  <si>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</si>
  <si>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</si>
  <si>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</si>
  <si>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</si>
  <si>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</si>
  <si>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</si>
  <si>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</si>
  <si>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OFF-BI-10004967</t>
  </si>
  <si>
    <t>Round Ring Binders</t>
  </si>
  <si>
    <t>AR-10570</t>
  </si>
  <si>
    <t>Anemone Ratner</t>
  </si>
  <si>
    <t>OFF-BI-10003963</t>
  </si>
  <si>
    <t>Cardinal Holdit Data Disk Pockets</t>
  </si>
  <si>
    <t>CM-12715</t>
  </si>
  <si>
    <t>Craig Molinari</t>
  </si>
  <si>
    <t>TEC-PH-10001128</t>
  </si>
  <si>
    <t>Motorola Droid Maxx</t>
  </si>
  <si>
    <t>FW-14395</t>
  </si>
  <si>
    <t>Fred Wasserman</t>
  </si>
  <si>
    <t>OFF-AR-10003217</t>
  </si>
  <si>
    <t>Newell 316</t>
  </si>
  <si>
    <t>LC-16960</t>
  </si>
  <si>
    <t>Lindsay Castell</t>
  </si>
  <si>
    <t>FUR-FU-10000246</t>
  </si>
  <si>
    <t>Aluminum Document Frame</t>
  </si>
  <si>
    <t>HE-14800</t>
  </si>
  <si>
    <t>Harold Engle</t>
  </si>
  <si>
    <t>OFF-PA-10003892</t>
  </si>
  <si>
    <t>Xerox 1943</t>
  </si>
  <si>
    <t>BD-11560</t>
  </si>
  <si>
    <t>Brendan Dodson</t>
  </si>
  <si>
    <t>HD-14785</t>
  </si>
  <si>
    <t>Harold Dahlen</t>
  </si>
  <si>
    <t>CJ-11875</t>
  </si>
  <si>
    <t>Carl Jackson</t>
  </si>
  <si>
    <t>OFF-AR-10004269</t>
  </si>
  <si>
    <t>Newell 31</t>
  </si>
  <si>
    <t>RS-19870</t>
  </si>
  <si>
    <t>Roy Skaria</t>
  </si>
  <si>
    <t>OFF-EN-10003160</t>
  </si>
  <si>
    <t>Pastel Pink Envelopes</t>
  </si>
  <si>
    <t>SC-20845</t>
  </si>
  <si>
    <t>Sung Chung</t>
  </si>
  <si>
    <t>Arlington Heights</t>
  </si>
  <si>
    <t>RE-19405</t>
  </si>
  <si>
    <t>Ricardo Emerson</t>
  </si>
  <si>
    <t>OFF-AP-10003281</t>
  </si>
  <si>
    <t>Acco 6 Outlet Guardian Standard Surge Suppressor</t>
  </si>
  <si>
    <t>SM-20905</t>
  </si>
  <si>
    <t>Susan MacKendrick</t>
  </si>
  <si>
    <t>SUB-CATEGORY</t>
  </si>
  <si>
    <t>SUM OF SALES</t>
  </si>
  <si>
    <t>PROFIT</t>
  </si>
  <si>
    <t>ADJUSTED SALES</t>
  </si>
  <si>
    <t>PRODUCT</t>
  </si>
  <si>
    <t>TOTAL ORDERS</t>
  </si>
  <si>
    <t>AVERAGE DISCOUNT</t>
  </si>
  <si>
    <t>CATEGORY</t>
  </si>
  <si>
    <t>AVERAGE ORDER VALUE</t>
  </si>
  <si>
    <t>TOTAL DISCOUNT</t>
  </si>
  <si>
    <t>TOTAL REVENUE</t>
  </si>
  <si>
    <t>TOTAL</t>
  </si>
  <si>
    <t>REGION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</si>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</sst>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  <numFmt numFmtId="181" formatCode="&quot;₹&quot;#,##0_);[Red]\(&quot;₹&quot;#,##0\)"/>
    <numFmt numFmtId="182" formatCode="m/d/yyyy;@"/>
    <numFmt numFmtId="183" formatCode="0.00_);[Red]\(0.00\)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FA1D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13" fillId="10" borderId="14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4" borderId="4" xfId="0" applyFont="1" applyFill="1" applyBorder="1">
      <alignment vertical="center"/>
    </xf>
    <xf numFmtId="180" fontId="2" fillId="4" borderId="5" xfId="0" applyNumberFormat="1" applyFont="1" applyFill="1" applyBorder="1">
      <alignment vertical="center"/>
    </xf>
    <xf numFmtId="180" fontId="2" fillId="4" borderId="6" xfId="0" applyNumberFormat="1" applyFont="1" applyFill="1" applyBorder="1">
      <alignment vertical="center"/>
    </xf>
    <xf numFmtId="181" fontId="0" fillId="3" borderId="4" xfId="0" applyNumberFormat="1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5" borderId="4" xfId="0" applyFont="1" applyFill="1" applyBorder="1">
      <alignment vertical="center"/>
    </xf>
    <xf numFmtId="180" fontId="0" fillId="5" borderId="5" xfId="0" applyNumberFormat="1" applyFont="1" applyFill="1" applyBorder="1">
      <alignment vertical="center"/>
    </xf>
    <xf numFmtId="9" fontId="0" fillId="5" borderId="6" xfId="0" applyNumberFormat="1" applyFont="1" applyFill="1" applyBorder="1">
      <alignment vertical="center"/>
    </xf>
    <xf numFmtId="0" fontId="2" fillId="3" borderId="7" xfId="0" applyFont="1" applyFill="1" applyBorder="1">
      <alignment vertical="center"/>
    </xf>
    <xf numFmtId="181" fontId="2" fillId="3" borderId="8" xfId="0" applyNumberFormat="1" applyFont="1" applyFill="1" applyBorder="1">
      <alignment vertical="center"/>
    </xf>
    <xf numFmtId="181" fontId="2" fillId="3" borderId="9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0" fillId="6" borderId="5" xfId="0" applyFill="1" applyBorder="1">
      <alignment vertical="center"/>
    </xf>
    <xf numFmtId="180" fontId="0" fillId="6" borderId="5" xfId="0" applyNumberFormat="1" applyFill="1" applyBorder="1">
      <alignment vertical="center"/>
    </xf>
    <xf numFmtId="180" fontId="0" fillId="3" borderId="5" xfId="0" applyNumberFormat="1" applyFill="1" applyBorder="1">
      <alignment vertical="center"/>
    </xf>
    <xf numFmtId="0" fontId="0" fillId="3" borderId="5" xfId="0" applyNumberFormat="1" applyFill="1" applyBorder="1">
      <alignment vertical="center"/>
    </xf>
    <xf numFmtId="0" fontId="0" fillId="7" borderId="5" xfId="0" applyFill="1" applyBorder="1">
      <alignment vertical="center"/>
    </xf>
    <xf numFmtId="10" fontId="0" fillId="7" borderId="5" xfId="0" applyNumberFormat="1" applyFill="1" applyBorder="1">
      <alignment vertical="center"/>
    </xf>
    <xf numFmtId="180" fontId="0" fillId="5" borderId="6" xfId="0" applyNumberFormat="1" applyFont="1" applyFill="1" applyBorder="1">
      <alignment vertical="center"/>
    </xf>
    <xf numFmtId="10" fontId="0" fillId="3" borderId="5" xfId="0" applyNumberFormat="1" applyFill="1" applyBorder="1">
      <alignment vertical="center"/>
    </xf>
    <xf numFmtId="0" fontId="0" fillId="3" borderId="7" xfId="0" applyFill="1" applyBorder="1">
      <alignment vertical="center"/>
    </xf>
    <xf numFmtId="180" fontId="0" fillId="3" borderId="8" xfId="0" applyNumberFormat="1" applyFill="1" applyBorder="1">
      <alignment vertical="center"/>
    </xf>
    <xf numFmtId="9" fontId="0" fillId="3" borderId="9" xfId="0" applyNumberFormat="1" applyFill="1" applyBorder="1">
      <alignment vertical="center"/>
    </xf>
    <xf numFmtId="180" fontId="0" fillId="3" borderId="9" xfId="0" applyNumberFormat="1" applyFill="1" applyBorder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1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80" formatCode="0_);[Red]\(0\)"/>
    </dxf>
    <dxf>
      <numFmt numFmtId="182" formatCode="m/d/yyyy;@"/>
    </dxf>
    <dxf>
      <numFmt numFmtId="182" formatCode="m/d/yyyy;@"/>
    </dxf>
    <dxf>
      <numFmt numFmtId="183" formatCode="0.00_);[Red]\(0.00\)"/>
    </dxf>
    <dxf>
      <numFmt numFmtId="180" formatCode="0_);[Red]\(0\)"/>
    </dxf>
    <dxf>
      <numFmt numFmtId="183" formatCode="0.00_);[Red]\(0.00\)"/>
    </dxf>
    <dxf>
      <numFmt numFmtId="181" formatCode="&quot;₹&quot;#,##0_);[Red]\(&quot;₹&quot;#,##0\)"/>
    </dxf>
    <dxf>
      <numFmt numFmtId="180" formatCode="0_);[Red]\(0\)"/>
    </dxf>
    <dxf>
      <numFmt numFmtId="9" formatCode="0%"/>
    </dxf>
    <dxf>
      <numFmt numFmtId="180" formatCode="0_);[Red]\(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DFA1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excel)(1).xlsx]Product Pivot Table!PivotTable2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Region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4561186650185"/>
          <c:y val="0.364989177489177"/>
          <c:w val="0.841153687680264"/>
          <c:h val="0.482251082251082"/>
        </c:manualLayout>
      </c:layout>
      <c:lineChart>
        <c:grouping val="standard"/>
        <c:varyColors val="0"/>
        <c:ser>
          <c:idx val="0"/>
          <c:order val="0"/>
          <c:tx>
            <c:strRef>
              <c:f>'Product Pivot Table'!$B$9</c:f>
              <c:strCache>
                <c:ptCount val="1"/>
                <c:pt idx="0">
                  <c:v>Sum of Sales </c:v>
                </c:pt>
              </c:strCache>
            </c:strRef>
          </c:tx>
          <c:spPr>
            <a:ln w="28575" cap="rnd">
              <a:solidFill>
                <a:schemeClr val="accent2">
                  <a:shade val="53333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Table'!$B$10:$B$14</c:f>
              <c:numCache>
                <c:formatCode>General</c:formatCode>
                <c:ptCount val="4"/>
                <c:pt idx="0">
                  <c:v>40825.4388</c:v>
                </c:pt>
                <c:pt idx="1">
                  <c:v>50894.336</c:v>
                </c:pt>
                <c:pt idx="2">
                  <c:v>34507.072</c:v>
                </c:pt>
                <c:pt idx="3">
                  <c:v>42225.007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'Product Pivot Table'!$C$9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2">
                  <a:shade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Table'!$C$10:$C$14</c:f>
              <c:numCache>
                <c:formatCode>General</c:formatCode>
                <c:ptCount val="4"/>
                <c:pt idx="0">
                  <c:v>41.82</c:v>
                </c:pt>
                <c:pt idx="1">
                  <c:v>32.1</c:v>
                </c:pt>
                <c:pt idx="2">
                  <c:v>20.2</c:v>
                </c:pt>
                <c:pt idx="3">
                  <c:v>30.1499999999999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'Product Pivot Table'!$D$9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Table'!$D$10:$D$14</c:f>
              <c:numCache>
                <c:formatCode>General</c:formatCode>
                <c:ptCount val="4"/>
                <c:pt idx="0">
                  <c:v>2647.1558</c:v>
                </c:pt>
                <c:pt idx="1">
                  <c:v>6235.8894</c:v>
                </c:pt>
                <c:pt idx="2">
                  <c:v>388.9234</c:v>
                </c:pt>
                <c:pt idx="3">
                  <c:v>5362.767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'Product Pivot Table'!$E$9</c:f>
              <c:strCache>
                <c:ptCount val="1"/>
                <c:pt idx="0">
                  <c:v>Average of Sales </c:v>
                </c:pt>
              </c:strCache>
            </c:strRef>
          </c:tx>
          <c:spPr>
            <a:ln w="28575" cap="rnd">
              <a:solidFill>
                <a:schemeClr val="accent2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Table'!$E$10:$E$14</c:f>
              <c:numCache>
                <c:formatCode>General</c:formatCode>
                <c:ptCount val="4"/>
                <c:pt idx="0">
                  <c:v>221.877384782609</c:v>
                </c:pt>
                <c:pt idx="1">
                  <c:v>231.337890909091</c:v>
                </c:pt>
                <c:pt idx="2">
                  <c:v>257.515462686567</c:v>
                </c:pt>
                <c:pt idx="3">
                  <c:v>165.588262745098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'Product Pivot Table'!$F$9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>
                  <a:tint val="53333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Table'!$F$10:$F$14</c:f>
              <c:numCache>
                <c:formatCode>General</c:formatCode>
                <c:ptCount val="4"/>
                <c:pt idx="0">
                  <c:v>715</c:v>
                </c:pt>
                <c:pt idx="1">
                  <c:v>781</c:v>
                </c:pt>
                <c:pt idx="2">
                  <c:v>480</c:v>
                </c:pt>
                <c:pt idx="3">
                  <c:v>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1289768"/>
        <c:axId val="230157772"/>
      </c:lineChart>
      <c:catAx>
        <c:axId val="9812897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157772"/>
        <c:crosses val="autoZero"/>
        <c:auto val="1"/>
        <c:lblAlgn val="ctr"/>
        <c:lblOffset val="100"/>
        <c:noMultiLvlLbl val="0"/>
      </c:catAx>
      <c:valAx>
        <c:axId val="2301577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28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253143-6352-4c4a-a446-192b5b75d85b}"/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excel)(1).xlsx]Customer Pivot Table!PivotTable3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Segment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254260800634166"/>
          <c:y val="0.362373062533405"/>
          <c:w val="0.437574316290131"/>
          <c:h val="0.590058792089792"/>
        </c:manualLayout>
      </c:layout>
      <c:pie3DChart>
        <c:varyColors val="1"/>
        <c:ser>
          <c:idx val="0"/>
          <c:order val="0"/>
          <c:tx>
            <c:strRef>
              <c:f>'Customer Pivot Table'!$B$6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shade val="65000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tint val="65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'Customer Pivot Table'!$A$7:$A$10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Pivot Table'!$B$7:$B$10</c:f>
              <c:numCache>
                <c:formatCode>General</c:formatCode>
                <c:ptCount val="3"/>
                <c:pt idx="0">
                  <c:v>409</c:v>
                </c:pt>
                <c:pt idx="1">
                  <c:v>236</c:v>
                </c:pt>
                <c:pt idx="2">
                  <c:v>148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a3d0fd-d444-4ce0-91d7-006c6380f489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excel)(1).xlsx]category 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IN" altLang="en-US"/>
              <a:t>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 pivot table'!$B$3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table'!$B$4:$B$7</c:f>
              <c:numCache>
                <c:formatCode>General</c:formatCode>
                <c:ptCount val="3"/>
                <c:pt idx="0">
                  <c:v>636</c:v>
                </c:pt>
                <c:pt idx="1">
                  <c:v>1749</c:v>
                </c:pt>
                <c:pt idx="2">
                  <c:v>492</c:v>
                </c:pt>
              </c:numCache>
            </c:numRef>
          </c:val>
        </c:ser>
        <c:ser>
          <c:idx val="1"/>
          <c:order val="1"/>
          <c:tx>
            <c:strRef>
              <c:f>'category pivot table'!$C$3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table'!$C$4:$C$7</c:f>
              <c:numCache>
                <c:formatCode>General</c:formatCode>
                <c:ptCount val="3"/>
                <c:pt idx="0">
                  <c:v>27.77</c:v>
                </c:pt>
                <c:pt idx="1">
                  <c:v>78.5000000000003</c:v>
                </c:pt>
                <c:pt idx="2">
                  <c:v>18</c:v>
                </c:pt>
              </c:numCache>
            </c:numRef>
          </c:val>
        </c:ser>
        <c:ser>
          <c:idx val="2"/>
          <c:order val="2"/>
          <c:tx>
            <c:strRef>
              <c:f>'category pivot table'!$D$3</c:f>
              <c:strCache>
                <c:ptCount val="1"/>
                <c:pt idx="0">
                  <c:v>Sum of Sales 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table'!$D$4:$D$7</c:f>
              <c:numCache>
                <c:formatCode>General</c:formatCode>
                <c:ptCount val="3"/>
                <c:pt idx="0">
                  <c:v>53148.0978</c:v>
                </c:pt>
                <c:pt idx="1">
                  <c:v>45556.807</c:v>
                </c:pt>
                <c:pt idx="2">
                  <c:v>69746.949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645172202"/>
        <c:axId val="235775835"/>
      </c:barChart>
      <c:catAx>
        <c:axId val="64517220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775835"/>
        <c:crosses val="autoZero"/>
        <c:auto val="1"/>
        <c:lblAlgn val="ctr"/>
        <c:lblOffset val="100"/>
        <c:noMultiLvlLbl val="0"/>
      </c:catAx>
      <c:valAx>
        <c:axId val="235775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172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c00c5f-d63f-4750-9a49-3da2f8e3e548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excel)(1).xlsx]Product Pivot Table!PivotTable2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Region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4561186650185"/>
          <c:y val="0.364989177489177"/>
          <c:w val="0.841153687680264"/>
          <c:h val="0.482251082251082"/>
        </c:manualLayout>
      </c:layout>
      <c:lineChart>
        <c:grouping val="standard"/>
        <c:varyColors val="0"/>
        <c:ser>
          <c:idx val="0"/>
          <c:order val="0"/>
          <c:tx>
            <c:strRef>
              <c:f>'Product Pivot Table'!$B$9</c:f>
              <c:strCache>
                <c:ptCount val="1"/>
                <c:pt idx="0">
                  <c:v>Sum of Sales </c:v>
                </c:pt>
              </c:strCache>
            </c:strRef>
          </c:tx>
          <c:spPr>
            <a:ln w="28575" cap="rnd">
              <a:solidFill>
                <a:schemeClr val="accent2">
                  <a:shade val="53333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Table'!$B$10:$B$14</c:f>
              <c:numCache>
                <c:formatCode>General</c:formatCode>
                <c:ptCount val="4"/>
                <c:pt idx="0">
                  <c:v>40825.4388</c:v>
                </c:pt>
                <c:pt idx="1">
                  <c:v>50894.336</c:v>
                </c:pt>
                <c:pt idx="2">
                  <c:v>34507.072</c:v>
                </c:pt>
                <c:pt idx="3">
                  <c:v>42225.007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'Product Pivot Table'!$C$9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2">
                  <a:shade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Table'!$C$10:$C$14</c:f>
              <c:numCache>
                <c:formatCode>General</c:formatCode>
                <c:ptCount val="4"/>
                <c:pt idx="0">
                  <c:v>41.82</c:v>
                </c:pt>
                <c:pt idx="1">
                  <c:v>32.1</c:v>
                </c:pt>
                <c:pt idx="2">
                  <c:v>20.2</c:v>
                </c:pt>
                <c:pt idx="3">
                  <c:v>30.1499999999999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'Product Pivot Table'!$D$9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Table'!$D$10:$D$14</c:f>
              <c:numCache>
                <c:formatCode>General</c:formatCode>
                <c:ptCount val="4"/>
                <c:pt idx="0">
                  <c:v>2647.1558</c:v>
                </c:pt>
                <c:pt idx="1">
                  <c:v>6235.8894</c:v>
                </c:pt>
                <c:pt idx="2">
                  <c:v>388.9234</c:v>
                </c:pt>
                <c:pt idx="3">
                  <c:v>5362.767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'Product Pivot Table'!$E$9</c:f>
              <c:strCache>
                <c:ptCount val="1"/>
                <c:pt idx="0">
                  <c:v>Average of Sales </c:v>
                </c:pt>
              </c:strCache>
            </c:strRef>
          </c:tx>
          <c:spPr>
            <a:ln w="28575" cap="rnd">
              <a:solidFill>
                <a:schemeClr val="accent2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Table'!$E$10:$E$14</c:f>
              <c:numCache>
                <c:formatCode>General</c:formatCode>
                <c:ptCount val="4"/>
                <c:pt idx="0">
                  <c:v>221.877384782609</c:v>
                </c:pt>
                <c:pt idx="1">
                  <c:v>231.337890909091</c:v>
                </c:pt>
                <c:pt idx="2">
                  <c:v>257.515462686567</c:v>
                </c:pt>
                <c:pt idx="3">
                  <c:v>165.588262745098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'Product Pivot Table'!$F$9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>
                  <a:tint val="53333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'Product Pivot Table'!$A$10:$A$14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'Product Pivot Table'!$F$10:$F$14</c:f>
              <c:numCache>
                <c:formatCode>General</c:formatCode>
                <c:ptCount val="4"/>
                <c:pt idx="0">
                  <c:v>715</c:v>
                </c:pt>
                <c:pt idx="1">
                  <c:v>781</c:v>
                </c:pt>
                <c:pt idx="2">
                  <c:v>480</c:v>
                </c:pt>
                <c:pt idx="3">
                  <c:v>901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1289768"/>
        <c:axId val="230157772"/>
      </c:lineChart>
      <c:catAx>
        <c:axId val="9812897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0157772"/>
        <c:crosses val="autoZero"/>
        <c:auto val="1"/>
        <c:lblAlgn val="ctr"/>
        <c:lblOffset val="100"/>
        <c:noMultiLvlLbl val="0"/>
      </c:catAx>
      <c:valAx>
        <c:axId val="2301577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28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253143-6352-4c4a-a446-192b5b75d85b}"/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excel)(1).xlsx]Customer Pivot Table!PivotTable3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Segment</a:t>
            </a:r>
            <a:endParaRPr lang="en-IN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>
        <c:manualLayout>
          <c:layoutTarget val="inner"/>
          <c:xMode val="edge"/>
          <c:yMode val="edge"/>
          <c:x val="0.254260800634166"/>
          <c:y val="0.362373062533405"/>
          <c:w val="0.437574316290131"/>
          <c:h val="0.590058792089792"/>
        </c:manualLayout>
      </c:layout>
      <c:pie3DChart>
        <c:varyColors val="1"/>
        <c:ser>
          <c:idx val="0"/>
          <c:order val="0"/>
          <c:tx>
            <c:strRef>
              <c:f>'Customer Pivot Table'!$B$6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shade val="65000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76200" dist="25400" dir="2700000" algn="tl" rotWithShape="0">
                  <a:schemeClr val="accent2">
                    <a:tint val="65000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'Customer Pivot Table'!$A$7:$A$10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Pivot Table'!$B$7:$B$10</c:f>
              <c:numCache>
                <c:formatCode>General</c:formatCode>
                <c:ptCount val="3"/>
                <c:pt idx="0">
                  <c:v>409</c:v>
                </c:pt>
                <c:pt idx="1">
                  <c:v>236</c:v>
                </c:pt>
                <c:pt idx="2">
                  <c:v>148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a3d0fd-d444-4ce0-91d7-006c6380f489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[Anulya Superstores(mini project excel)(1).xlsx]category 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IN" altLang="en-US"/>
              <a:t>ategory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 pivot table'!$B$3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table'!$B$4:$B$7</c:f>
              <c:numCache>
                <c:formatCode>General</c:formatCode>
                <c:ptCount val="3"/>
                <c:pt idx="0">
                  <c:v>636</c:v>
                </c:pt>
                <c:pt idx="1">
                  <c:v>1749</c:v>
                </c:pt>
                <c:pt idx="2">
                  <c:v>492</c:v>
                </c:pt>
              </c:numCache>
            </c:numRef>
          </c:val>
        </c:ser>
        <c:ser>
          <c:idx val="1"/>
          <c:order val="1"/>
          <c:tx>
            <c:strRef>
              <c:f>'category pivot table'!$C$3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table'!$C$4:$C$7</c:f>
              <c:numCache>
                <c:formatCode>General</c:formatCode>
                <c:ptCount val="3"/>
                <c:pt idx="0">
                  <c:v>27.77</c:v>
                </c:pt>
                <c:pt idx="1">
                  <c:v>78.5000000000003</c:v>
                </c:pt>
                <c:pt idx="2">
                  <c:v>18</c:v>
                </c:pt>
              </c:numCache>
            </c:numRef>
          </c:val>
        </c:ser>
        <c:ser>
          <c:idx val="2"/>
          <c:order val="2"/>
          <c:tx>
            <c:strRef>
              <c:f>'category pivot table'!$D$3</c:f>
              <c:strCache>
                <c:ptCount val="1"/>
                <c:pt idx="0">
                  <c:v>Sum of Sales 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'category pivot 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 table'!$D$4:$D$7</c:f>
              <c:numCache>
                <c:formatCode>General</c:formatCode>
                <c:ptCount val="3"/>
                <c:pt idx="0">
                  <c:v>53148.0978</c:v>
                </c:pt>
                <c:pt idx="1">
                  <c:v>45556.807</c:v>
                </c:pt>
                <c:pt idx="2">
                  <c:v>69746.949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645172202"/>
        <c:axId val="235775835"/>
      </c:barChart>
      <c:catAx>
        <c:axId val="64517220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775835"/>
        <c:crosses val="autoZero"/>
        <c:auto val="1"/>
        <c:lblAlgn val="ctr"/>
        <c:lblOffset val="100"/>
        <c:noMultiLvlLbl val="0"/>
      </c:catAx>
      <c:valAx>
        <c:axId val="235775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5172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c00c5f-d63f-4750-9a49-3da2f8e3e548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png"/><Relationship Id="rId8" Type="http://schemas.openxmlformats.org/officeDocument/2006/relationships/image" Target="../media/image5.jpeg"/><Relationship Id="rId7" Type="http://schemas.openxmlformats.org/officeDocument/2006/relationships/image" Target="../media/image4.jpeg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jpeg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0" Type="http://schemas.openxmlformats.org/officeDocument/2006/relationships/image" Target="../media/image7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83820</xdr:colOff>
      <xdr:row>15</xdr:row>
      <xdr:rowOff>60960</xdr:rowOff>
    </xdr:from>
    <xdr:to>
      <xdr:col>6</xdr:col>
      <xdr:colOff>482600</xdr:colOff>
      <xdr:row>27</xdr:row>
      <xdr:rowOff>183515</xdr:rowOff>
    </xdr:to>
    <xdr:graphicFrame>
      <xdr:nvGraphicFramePr>
        <xdr:cNvPr id="2" name="Chart 1"/>
        <xdr:cNvGraphicFramePr/>
      </xdr:nvGraphicFramePr>
      <xdr:xfrm>
        <a:off x="83820" y="2804160"/>
        <a:ext cx="6723380" cy="231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464820</xdr:colOff>
      <xdr:row>1</xdr:row>
      <xdr:rowOff>167640</xdr:rowOff>
    </xdr:from>
    <xdr:to>
      <xdr:col>6</xdr:col>
      <xdr:colOff>391160</xdr:colOff>
      <xdr:row>14</xdr:row>
      <xdr:rowOff>59690</xdr:rowOff>
    </xdr:to>
    <xdr:graphicFrame>
      <xdr:nvGraphicFramePr>
        <xdr:cNvPr id="2" name="Chart 1"/>
        <xdr:cNvGraphicFramePr/>
      </xdr:nvGraphicFramePr>
      <xdr:xfrm>
        <a:off x="2392680" y="350520"/>
        <a:ext cx="3675380" cy="2269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221615</xdr:colOff>
      <xdr:row>9</xdr:row>
      <xdr:rowOff>144780</xdr:rowOff>
    </xdr:from>
    <xdr:to>
      <xdr:col>3</xdr:col>
      <xdr:colOff>787400</xdr:colOff>
      <xdr:row>23</xdr:row>
      <xdr:rowOff>17145</xdr:rowOff>
    </xdr:to>
    <xdr:graphicFrame>
      <xdr:nvGraphicFramePr>
        <xdr:cNvPr id="2" name="Chart 1"/>
        <xdr:cNvGraphicFramePr/>
      </xdr:nvGraphicFramePr>
      <xdr:xfrm>
        <a:off x="221615" y="1790700"/>
        <a:ext cx="3667125" cy="243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160020</xdr:colOff>
      <xdr:row>15</xdr:row>
      <xdr:rowOff>60325</xdr:rowOff>
    </xdr:from>
    <xdr:to>
      <xdr:col>15</xdr:col>
      <xdr:colOff>177800</xdr:colOff>
      <xdr:row>28</xdr:row>
      <xdr:rowOff>0</xdr:rowOff>
    </xdr:to>
    <xdr:graphicFrame>
      <xdr:nvGraphicFramePr>
        <xdr:cNvPr id="3" name="Chart 2"/>
        <xdr:cNvGraphicFramePr/>
      </xdr:nvGraphicFramePr>
      <xdr:xfrm>
        <a:off x="2598420" y="2803525"/>
        <a:ext cx="6723380" cy="2317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1</xdr:row>
      <xdr:rowOff>160020</xdr:rowOff>
    </xdr:from>
    <xdr:to>
      <xdr:col>14</xdr:col>
      <xdr:colOff>281940</xdr:colOff>
      <xdr:row>8</xdr:row>
      <xdr:rowOff>31115</xdr:rowOff>
    </xdr:to>
    <xdr:sp>
      <xdr:nvSpPr>
        <xdr:cNvPr id="9" name="Text Box 8"/>
        <xdr:cNvSpPr txBox="1"/>
      </xdr:nvSpPr>
      <xdr:spPr>
        <a:xfrm>
          <a:off x="5013960" y="342900"/>
          <a:ext cx="3802380" cy="115125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sunset" dir="t">
              <a:rot lat="0" lon="0" rev="0"/>
            </a:lightRig>
          </a:scene3d>
          <a:sp3d prstMaterial="dkEdge"/>
        </a:bodyPr>
        <a:p>
          <a:pPr algn="l"/>
          <a:r>
            <a:rPr lang="en-IN" altLang="en-GB" sz="2800" b="1">
              <a:solidFill>
                <a:srgbClr val="C00000"/>
              </a:solidFill>
              <a:effectLst>
                <a:outerShdw blurRad="75057" dist="38100" dir="5400000" sy="-20000" rotWithShape="0">
                  <a:prstClr val="black">
                    <a:alpha val="25000"/>
                  </a:prstClr>
                </a:outerShdw>
              </a:effectLst>
            </a:rPr>
            <a:t>    </a:t>
          </a:r>
          <a:r>
            <a:rPr lang="en-IN" altLang="en-GB" sz="2800" b="1">
              <a:solidFill>
                <a:srgbClr val="C00000"/>
              </a:solidFill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</a:rPr>
            <a:t>SALES DASHBOARD</a:t>
          </a:r>
          <a:endParaRPr lang="en-IN" altLang="en-GB" sz="2800" b="1">
            <a:solidFill>
              <a:srgbClr val="C00000"/>
            </a:solidFill>
            <a:effectLst>
              <a:outerShdw blurRad="60007" dist="310007" dir="7680000" sy="30000" kx="1300200" algn="ctr" rotWithShape="0">
                <a:prstClr val="black">
                  <a:alpha val="32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7</xdr:col>
      <xdr:colOff>594360</xdr:colOff>
      <xdr:row>4</xdr:row>
      <xdr:rowOff>160020</xdr:rowOff>
    </xdr:from>
    <xdr:to>
      <xdr:col>10</xdr:col>
      <xdr:colOff>46990</xdr:colOff>
      <xdr:row>11</xdr:row>
      <xdr:rowOff>160655</xdr:rowOff>
    </xdr:to>
    <xdr:pic>
      <xdr:nvPicPr>
        <xdr:cNvPr id="10" name="Picture 9" descr="DISCOUNT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61560" y="891540"/>
          <a:ext cx="1281430" cy="1280795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9</xdr:col>
      <xdr:colOff>579120</xdr:colOff>
      <xdr:row>5</xdr:row>
      <xdr:rowOff>91440</xdr:rowOff>
    </xdr:from>
    <xdr:to>
      <xdr:col>11</xdr:col>
      <xdr:colOff>99695</xdr:colOff>
      <xdr:row>9</xdr:row>
      <xdr:rowOff>99695</xdr:rowOff>
    </xdr:to>
    <xdr:pic>
      <xdr:nvPicPr>
        <xdr:cNvPr id="11" name="Picture 10" descr="Thumbs Star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65520" y="1005840"/>
          <a:ext cx="739775" cy="739775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5</xdr:row>
      <xdr:rowOff>18415</xdr:rowOff>
    </xdr:from>
    <xdr:to>
      <xdr:col>14</xdr:col>
      <xdr:colOff>568960</xdr:colOff>
      <xdr:row>10</xdr:row>
      <xdr:rowOff>68580</xdr:rowOff>
    </xdr:to>
    <xdr:pic>
      <xdr:nvPicPr>
        <xdr:cNvPr id="13" name="Picture 12" descr="SALES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58100" y="932815"/>
          <a:ext cx="1445260" cy="964565"/>
        </a:xfrm>
        <a:prstGeom prst="rect">
          <a:avLst/>
        </a:prstGeom>
      </xdr:spPr>
    </xdr:pic>
    <xdr:clientData/>
  </xdr:twoCellAnchor>
  <xdr:twoCellAnchor editAs="oneCell">
    <xdr:from>
      <xdr:col>11</xdr:col>
      <xdr:colOff>46990</xdr:colOff>
      <xdr:row>4</xdr:row>
      <xdr:rowOff>114300</xdr:rowOff>
    </xdr:from>
    <xdr:to>
      <xdr:col>13</xdr:col>
      <xdr:colOff>0</xdr:colOff>
      <xdr:row>11</xdr:row>
      <xdr:rowOff>6350</xdr:rowOff>
    </xdr:to>
    <xdr:pic>
      <xdr:nvPicPr>
        <xdr:cNvPr id="15" name="Picture 14" descr="Total Employee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752590" y="845820"/>
          <a:ext cx="1172210" cy="1172210"/>
        </a:xfrm>
        <a:prstGeom prst="rect">
          <a:avLst/>
        </a:prstGeom>
      </xdr:spPr>
    </xdr:pic>
    <xdr:clientData/>
  </xdr:twoCellAnchor>
  <xdr:twoCellAnchor editAs="oneCell">
    <xdr:from>
      <xdr:col>10</xdr:col>
      <xdr:colOff>31750</xdr:colOff>
      <xdr:row>10</xdr:row>
      <xdr:rowOff>3175</xdr:rowOff>
    </xdr:from>
    <xdr:to>
      <xdr:col>12</xdr:col>
      <xdr:colOff>519430</xdr:colOff>
      <xdr:row>12</xdr:row>
      <xdr:rowOff>68580</xdr:rowOff>
    </xdr:to>
    <xdr:pic>
      <xdr:nvPicPr>
        <xdr:cNvPr id="16" name="Picture 15" descr="fiveStar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127750" y="1831975"/>
          <a:ext cx="1706880" cy="431165"/>
        </a:xfrm>
        <a:prstGeom prst="rect">
          <a:avLst/>
        </a:prstGeom>
      </xdr:spPr>
    </xdr:pic>
    <xdr:clientData/>
  </xdr:twoCellAnchor>
  <xdr:twoCellAnchor editAs="oneCell">
    <xdr:from>
      <xdr:col>0</xdr:col>
      <xdr:colOff>193675</xdr:colOff>
      <xdr:row>1</xdr:row>
      <xdr:rowOff>7620</xdr:rowOff>
    </xdr:from>
    <xdr:to>
      <xdr:col>3</xdr:col>
      <xdr:colOff>497205</xdr:colOff>
      <xdr:row>8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675" y="190500"/>
              <a:ext cx="2132330" cy="1316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170180</xdr:colOff>
      <xdr:row>8</xdr:row>
      <xdr:rowOff>137160</xdr:rowOff>
    </xdr:from>
    <xdr:to>
      <xdr:col>3</xdr:col>
      <xdr:colOff>490220</xdr:colOff>
      <xdr:row>27</xdr:row>
      <xdr:rowOff>148590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80" y="1600200"/>
              <a:ext cx="2148840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15</xdr:col>
      <xdr:colOff>414020</xdr:colOff>
      <xdr:row>15</xdr:row>
      <xdr:rowOff>67945</xdr:rowOff>
    </xdr:from>
    <xdr:to>
      <xdr:col>21</xdr:col>
      <xdr:colOff>431800</xdr:colOff>
      <xdr:row>27</xdr:row>
      <xdr:rowOff>142875</xdr:rowOff>
    </xdr:to>
    <xdr:graphicFrame>
      <xdr:nvGraphicFramePr>
        <xdr:cNvPr id="12" name="Chart 11"/>
        <xdr:cNvGraphicFramePr/>
      </xdr:nvGraphicFramePr>
      <xdr:xfrm>
        <a:off x="9558020" y="2811145"/>
        <a:ext cx="3675380" cy="2269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205740</xdr:colOff>
      <xdr:row>1</xdr:row>
      <xdr:rowOff>68580</xdr:rowOff>
    </xdr:from>
    <xdr:to>
      <xdr:col>7</xdr:col>
      <xdr:colOff>419100</xdr:colOff>
      <xdr:row>6</xdr:row>
      <xdr:rowOff>137795</xdr:rowOff>
    </xdr:to>
    <xdr:sp>
      <xdr:nvSpPr>
        <xdr:cNvPr id="14" name="Rounded Rectangle 13"/>
        <xdr:cNvSpPr/>
      </xdr:nvSpPr>
      <xdr:spPr>
        <a:xfrm>
          <a:off x="2644140" y="251460"/>
          <a:ext cx="2042160" cy="98361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000">
              <a:solidFill>
                <a:srgbClr val="FF0000"/>
              </a:solidFill>
              <a:cs typeface="+mn-lt"/>
            </a:rPr>
            <a:t> </a:t>
          </a:r>
          <a:endParaRPr lang="en-IN" altLang="en-US" sz="2000">
            <a:solidFill>
              <a:srgbClr val="FF0000"/>
            </a:solidFill>
            <a:cs typeface="+mn-lt"/>
          </a:endParaRPr>
        </a:p>
      </xdr:txBody>
    </xdr:sp>
    <xdr:clientData/>
  </xdr:twoCellAnchor>
  <xdr:twoCellAnchor>
    <xdr:from>
      <xdr:col>4</xdr:col>
      <xdr:colOff>220980</xdr:colOff>
      <xdr:row>8</xdr:row>
      <xdr:rowOff>45720</xdr:rowOff>
    </xdr:from>
    <xdr:to>
      <xdr:col>7</xdr:col>
      <xdr:colOff>434340</xdr:colOff>
      <xdr:row>13</xdr:row>
      <xdr:rowOff>114935</xdr:rowOff>
    </xdr:to>
    <xdr:sp>
      <xdr:nvSpPr>
        <xdr:cNvPr id="19" name="Rounded Rectangle 18"/>
        <xdr:cNvSpPr/>
      </xdr:nvSpPr>
      <xdr:spPr>
        <a:xfrm>
          <a:off x="2659380" y="1508760"/>
          <a:ext cx="2042160" cy="983615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altLang="en-US" sz="2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6</xdr:col>
      <xdr:colOff>205740</xdr:colOff>
      <xdr:row>9</xdr:row>
      <xdr:rowOff>38100</xdr:rowOff>
    </xdr:from>
    <xdr:to>
      <xdr:col>7</xdr:col>
      <xdr:colOff>263525</xdr:colOff>
      <xdr:row>12</xdr:row>
      <xdr:rowOff>100965</xdr:rowOff>
    </xdr:to>
    <xdr:pic>
      <xdr:nvPicPr>
        <xdr:cNvPr id="20" name="Picture 19" descr="sum of sal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63340" y="1684020"/>
          <a:ext cx="667385" cy="611505"/>
        </a:xfrm>
        <a:prstGeom prst="rect">
          <a:avLst/>
        </a:prstGeom>
      </xdr:spPr>
    </xdr:pic>
    <xdr:clientData/>
  </xdr:twoCellAnchor>
  <xdr:twoCellAnchor editAs="oneCell">
    <xdr:from>
      <xdr:col>6</xdr:col>
      <xdr:colOff>144780</xdr:colOff>
      <xdr:row>2</xdr:row>
      <xdr:rowOff>38100</xdr:rowOff>
    </xdr:from>
    <xdr:to>
      <xdr:col>7</xdr:col>
      <xdr:colOff>222885</xdr:colOff>
      <xdr:row>5</xdr:row>
      <xdr:rowOff>177165</xdr:rowOff>
    </xdr:to>
    <xdr:pic>
      <xdr:nvPicPr>
        <xdr:cNvPr id="21" name="Picture 20" descr="new sal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02380" y="403860"/>
          <a:ext cx="687705" cy="687705"/>
        </a:xfrm>
        <a:prstGeom prst="rect">
          <a:avLst/>
        </a:prstGeom>
      </xdr:spPr>
    </xdr:pic>
    <xdr:clientData/>
  </xdr:twoCellAnchor>
  <xdr:twoCellAnchor>
    <xdr:from>
      <xdr:col>4</xdr:col>
      <xdr:colOff>283210</xdr:colOff>
      <xdr:row>1</xdr:row>
      <xdr:rowOff>167640</xdr:rowOff>
    </xdr:from>
    <xdr:to>
      <xdr:col>6</xdr:col>
      <xdr:colOff>76835</xdr:colOff>
      <xdr:row>6</xdr:row>
      <xdr:rowOff>59690</xdr:rowOff>
    </xdr:to>
    <xdr:sp textlink="'Data Exploration'!$C$13">
      <xdr:nvSpPr>
        <xdr:cNvPr id="6" name="Text Box 5"/>
        <xdr:cNvSpPr txBox="1"/>
      </xdr:nvSpPr>
      <xdr:spPr>
        <a:xfrm>
          <a:off x="2721610" y="350520"/>
          <a:ext cx="1012825" cy="8064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IN" altLang="en-US" sz="2000" b="1">
              <a:solidFill>
                <a:srgbClr val="C00000"/>
              </a:solidFill>
            </a:rPr>
            <a:t>₹2,594 </a:t>
          </a:fld>
          <a:endParaRPr lang="en-IN" altLang="en-US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358775</xdr:colOff>
      <xdr:row>8</xdr:row>
      <xdr:rowOff>91440</xdr:rowOff>
    </xdr:from>
    <xdr:to>
      <xdr:col>5</xdr:col>
      <xdr:colOff>556260</xdr:colOff>
      <xdr:row>11</xdr:row>
      <xdr:rowOff>137160</xdr:rowOff>
    </xdr:to>
    <xdr:sp textlink="'Data Exploration'!$D$13">
      <xdr:nvSpPr>
        <xdr:cNvPr id="18" name="Text Box 17"/>
        <xdr:cNvSpPr txBox="1"/>
      </xdr:nvSpPr>
      <xdr:spPr>
        <a:xfrm>
          <a:off x="2797175" y="1554480"/>
          <a:ext cx="807085" cy="594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IN" altLang="en-US" sz="2000" b="1">
              <a:solidFill>
                <a:srgbClr val="C00000"/>
              </a:solidFill>
            </a:rPr>
            <a:t>₹244 </a:t>
          </a:fld>
          <a:endParaRPr lang="en-IN" altLang="en-US" sz="2000" b="1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373380</xdr:colOff>
      <xdr:row>3</xdr:row>
      <xdr:rowOff>106680</xdr:rowOff>
    </xdr:from>
    <xdr:to>
      <xdr:col>6</xdr:col>
      <xdr:colOff>45720</xdr:colOff>
      <xdr:row>6</xdr:row>
      <xdr:rowOff>91440</xdr:rowOff>
    </xdr:to>
    <xdr:sp>
      <xdr:nvSpPr>
        <xdr:cNvPr id="22" name="Text Box 21"/>
        <xdr:cNvSpPr txBox="1"/>
      </xdr:nvSpPr>
      <xdr:spPr>
        <a:xfrm>
          <a:off x="2811780" y="655320"/>
          <a:ext cx="891540" cy="5334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400">
              <a:solidFill>
                <a:srgbClr val="C00000"/>
              </a:solidFill>
            </a:rPr>
            <a:t>Sales</a:t>
          </a:r>
          <a:endParaRPr lang="en-IN" altLang="en-US" sz="1400">
            <a:solidFill>
              <a:srgbClr val="C00000"/>
            </a:solidFill>
          </a:endParaRPr>
        </a:p>
      </xdr:txBody>
    </xdr:sp>
    <xdr:clientData/>
  </xdr:twoCellAnchor>
  <xdr:twoCellAnchor>
    <xdr:from>
      <xdr:col>4</xdr:col>
      <xdr:colOff>381635</xdr:colOff>
      <xdr:row>10</xdr:row>
      <xdr:rowOff>15875</xdr:rowOff>
    </xdr:from>
    <xdr:to>
      <xdr:col>6</xdr:col>
      <xdr:colOff>83820</xdr:colOff>
      <xdr:row>12</xdr:row>
      <xdr:rowOff>46355</xdr:rowOff>
    </xdr:to>
    <xdr:sp>
      <xdr:nvSpPr>
        <xdr:cNvPr id="23" name="Text Box 22"/>
        <xdr:cNvSpPr txBox="1"/>
      </xdr:nvSpPr>
      <xdr:spPr>
        <a:xfrm>
          <a:off x="2820035" y="1844675"/>
          <a:ext cx="921385" cy="3962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1400">
              <a:solidFill>
                <a:srgbClr val="C00000"/>
              </a:solidFill>
            </a:rPr>
            <a:t>Profit</a:t>
          </a:r>
          <a:endParaRPr lang="en-IN" altLang="en-US" sz="1400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406400</xdr:colOff>
      <xdr:row>1</xdr:row>
      <xdr:rowOff>52705</xdr:rowOff>
    </xdr:from>
    <xdr:to>
      <xdr:col>21</xdr:col>
      <xdr:colOff>415925</xdr:colOff>
      <xdr:row>14</xdr:row>
      <xdr:rowOff>107950</xdr:rowOff>
    </xdr:to>
    <xdr:graphicFrame>
      <xdr:nvGraphicFramePr>
        <xdr:cNvPr id="24" name="Chart 23"/>
        <xdr:cNvGraphicFramePr/>
      </xdr:nvGraphicFramePr>
      <xdr:xfrm>
        <a:off x="9550400" y="235585"/>
        <a:ext cx="3667125" cy="243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6.8558796296" refreshedBy="dell_" recordCount="793">
  <cacheSource type="worksheet">
    <worksheetSource name="Table1"/>
  </cacheSource>
  <cacheFields count="21">
    <cacheField name="Row ID" numFmtId="180">
      <sharedItems containsSemiMixedTypes="0" containsString="0" containsNumber="1" containsInteger="1" minValue="1" maxValue="9559" count="793">
        <n v="1"/>
        <n v="3"/>
        <n v="4"/>
        <n v="6"/>
        <n v="13"/>
        <n v="14"/>
        <n v="15"/>
        <n v="17"/>
        <n v="18"/>
        <n v="19"/>
        <n v="22"/>
        <n v="24"/>
        <n v="25"/>
        <n v="26"/>
        <n v="28"/>
        <n v="35"/>
        <n v="36"/>
        <n v="38"/>
        <n v="42"/>
        <n v="43"/>
        <n v="44"/>
        <n v="45"/>
        <n v="47"/>
        <n v="48"/>
        <n v="50"/>
        <n v="54"/>
        <n v="56"/>
        <n v="63"/>
        <n v="67"/>
        <n v="68"/>
        <n v="70"/>
        <n v="71"/>
        <n v="73"/>
        <n v="76"/>
        <n v="80"/>
        <n v="82"/>
        <n v="84"/>
        <n v="85"/>
        <n v="87"/>
        <n v="89"/>
        <n v="90"/>
        <n v="93"/>
        <n v="96"/>
        <n v="97"/>
        <n v="98"/>
        <n v="99"/>
        <n v="100"/>
        <n v="103"/>
        <n v="104"/>
        <n v="107"/>
        <n v="110"/>
        <n v="111"/>
        <n v="112"/>
        <n v="114"/>
        <n v="118"/>
        <n v="119"/>
        <n v="120"/>
        <n v="125"/>
        <n v="126"/>
        <n v="127"/>
        <n v="129"/>
        <n v="131"/>
        <n v="134"/>
        <n v="141"/>
        <n v="142"/>
        <n v="145"/>
        <n v="146"/>
        <n v="147"/>
        <n v="148"/>
        <n v="152"/>
        <n v="154"/>
        <n v="157"/>
        <n v="158"/>
        <n v="159"/>
        <n v="161"/>
        <n v="162"/>
        <n v="163"/>
        <n v="164"/>
        <n v="165"/>
        <n v="172"/>
        <n v="175"/>
        <n v="177"/>
        <n v="180"/>
        <n v="181"/>
        <n v="183"/>
        <n v="186"/>
        <n v="187"/>
        <n v="188"/>
        <n v="190"/>
        <n v="195"/>
        <n v="196"/>
        <n v="198"/>
        <n v="199"/>
        <n v="201"/>
        <n v="202"/>
        <n v="204"/>
        <n v="205"/>
        <n v="206"/>
        <n v="207"/>
        <n v="212"/>
        <n v="213"/>
        <n v="218"/>
        <n v="220"/>
        <n v="226"/>
        <n v="229"/>
        <n v="231"/>
        <n v="237"/>
        <n v="238"/>
        <n v="245"/>
        <n v="250"/>
        <n v="251"/>
        <n v="253"/>
        <n v="255"/>
        <n v="259"/>
        <n v="262"/>
        <n v="263"/>
        <n v="265"/>
        <n v="266"/>
        <n v="267"/>
        <n v="269"/>
        <n v="271"/>
        <n v="275"/>
        <n v="277"/>
        <n v="283"/>
        <n v="287"/>
        <n v="290"/>
        <n v="294"/>
        <n v="305"/>
        <n v="307"/>
        <n v="309"/>
        <n v="310"/>
        <n v="314"/>
        <n v="315"/>
        <n v="317"/>
        <n v="318"/>
        <n v="323"/>
        <n v="324"/>
        <n v="326"/>
        <n v="327"/>
        <n v="332"/>
        <n v="335"/>
        <n v="338"/>
        <n v="346"/>
        <n v="347"/>
        <n v="350"/>
        <n v="355"/>
        <n v="360"/>
        <n v="362"/>
        <n v="366"/>
        <n v="367"/>
        <n v="371"/>
        <n v="373"/>
        <n v="377"/>
        <n v="378"/>
        <n v="379"/>
        <n v="382"/>
        <n v="384"/>
        <n v="385"/>
        <n v="387"/>
        <n v="389"/>
        <n v="390"/>
        <n v="392"/>
        <n v="394"/>
        <n v="395"/>
        <n v="396"/>
        <n v="399"/>
        <n v="403"/>
        <n v="405"/>
        <n v="406"/>
        <n v="415"/>
        <n v="417"/>
        <n v="418"/>
        <n v="423"/>
        <n v="425"/>
        <n v="428"/>
        <n v="429"/>
        <n v="430"/>
        <n v="435"/>
        <n v="437"/>
        <n v="439"/>
        <n v="447"/>
        <n v="448"/>
        <n v="454"/>
        <n v="457"/>
        <n v="463"/>
        <n v="468"/>
        <n v="471"/>
        <n v="472"/>
        <n v="479"/>
        <n v="480"/>
        <n v="482"/>
        <n v="483"/>
        <n v="485"/>
        <n v="488"/>
        <n v="489"/>
        <n v="492"/>
        <n v="494"/>
        <n v="495"/>
        <n v="496"/>
        <n v="501"/>
        <n v="507"/>
        <n v="511"/>
        <n v="514"/>
        <n v="520"/>
        <n v="523"/>
        <n v="526"/>
        <n v="527"/>
        <n v="529"/>
        <n v="532"/>
        <n v="533"/>
        <n v="534"/>
        <n v="536"/>
        <n v="537"/>
        <n v="539"/>
        <n v="541"/>
        <n v="543"/>
        <n v="547"/>
        <n v="552"/>
        <n v="554"/>
        <n v="556"/>
        <n v="557"/>
        <n v="560"/>
        <n v="562"/>
        <n v="564"/>
        <n v="566"/>
        <n v="567"/>
        <n v="571"/>
        <n v="575"/>
        <n v="576"/>
        <n v="579"/>
        <n v="581"/>
        <n v="582"/>
        <n v="587"/>
        <n v="589"/>
        <n v="593"/>
        <n v="595"/>
        <n v="599"/>
        <n v="600"/>
        <n v="603"/>
        <n v="608"/>
        <n v="611"/>
        <n v="613"/>
        <n v="615"/>
        <n v="617"/>
        <n v="622"/>
        <n v="623"/>
        <n v="627"/>
        <n v="628"/>
        <n v="631"/>
        <n v="636"/>
        <n v="637"/>
        <n v="641"/>
        <n v="642"/>
        <n v="644"/>
        <n v="646"/>
        <n v="649"/>
        <n v="652"/>
        <n v="655"/>
        <n v="658"/>
        <n v="664"/>
        <n v="666"/>
        <n v="669"/>
        <n v="674"/>
        <n v="677"/>
        <n v="681"/>
        <n v="684"/>
        <n v="686"/>
        <n v="689"/>
        <n v="690"/>
        <n v="693"/>
        <n v="695"/>
        <n v="704"/>
        <n v="705"/>
        <n v="708"/>
        <n v="711"/>
        <n v="712"/>
        <n v="713"/>
        <n v="717"/>
        <n v="719"/>
        <n v="721"/>
        <n v="724"/>
        <n v="725"/>
        <n v="726"/>
        <n v="728"/>
        <n v="733"/>
        <n v="740"/>
        <n v="743"/>
        <n v="749"/>
        <n v="750"/>
        <n v="754"/>
        <n v="757"/>
        <n v="759"/>
        <n v="760"/>
        <n v="763"/>
        <n v="764"/>
        <n v="769"/>
        <n v="771"/>
        <n v="777"/>
        <n v="782"/>
        <n v="788"/>
        <n v="793"/>
        <n v="794"/>
        <n v="796"/>
        <n v="800"/>
        <n v="801"/>
        <n v="804"/>
        <n v="805"/>
        <n v="814"/>
        <n v="816"/>
        <n v="823"/>
        <n v="825"/>
        <n v="838"/>
        <n v="840"/>
        <n v="843"/>
        <n v="847"/>
        <n v="849"/>
        <n v="850"/>
        <n v="851"/>
        <n v="856"/>
        <n v="859"/>
        <n v="861"/>
        <n v="866"/>
        <n v="868"/>
        <n v="869"/>
        <n v="870"/>
        <n v="873"/>
        <n v="879"/>
        <n v="884"/>
        <n v="885"/>
        <n v="886"/>
        <n v="888"/>
        <n v="895"/>
        <n v="897"/>
        <n v="898"/>
        <n v="899"/>
        <n v="900"/>
        <n v="910"/>
        <n v="913"/>
        <n v="919"/>
        <n v="922"/>
        <n v="925"/>
        <n v="926"/>
        <n v="928"/>
        <n v="933"/>
        <n v="934"/>
        <n v="939"/>
        <n v="941"/>
        <n v="953"/>
        <n v="954"/>
        <n v="956"/>
        <n v="957"/>
        <n v="960"/>
        <n v="961"/>
        <n v="962"/>
        <n v="965"/>
        <n v="979"/>
        <n v="982"/>
        <n v="985"/>
        <n v="988"/>
        <n v="991"/>
        <n v="995"/>
        <n v="997"/>
        <n v="1005"/>
        <n v="1007"/>
        <n v="1011"/>
        <n v="1014"/>
        <n v="1017"/>
        <n v="1025"/>
        <n v="1026"/>
        <n v="1034"/>
        <n v="1038"/>
        <n v="1039"/>
        <n v="1041"/>
        <n v="1042"/>
        <n v="1044"/>
        <n v="1051"/>
        <n v="1054"/>
        <n v="1060"/>
        <n v="1062"/>
        <n v="1068"/>
        <n v="1069"/>
        <n v="1071"/>
        <n v="1072"/>
        <n v="1073"/>
        <n v="1074"/>
        <n v="1077"/>
        <n v="1078"/>
        <n v="1081"/>
        <n v="1088"/>
        <n v="1094"/>
        <n v="1096"/>
        <n v="1099"/>
        <n v="1105"/>
        <n v="1117"/>
        <n v="1118"/>
        <n v="1137"/>
        <n v="1147"/>
        <n v="1160"/>
        <n v="1162"/>
        <n v="1163"/>
        <n v="1166"/>
        <n v="1177"/>
        <n v="1180"/>
        <n v="1185"/>
        <n v="1189"/>
        <n v="1206"/>
        <n v="1207"/>
        <n v="1213"/>
        <n v="1221"/>
        <n v="1232"/>
        <n v="1234"/>
        <n v="1239"/>
        <n v="1245"/>
        <n v="1246"/>
        <n v="1254"/>
        <n v="1261"/>
        <n v="1262"/>
        <n v="1264"/>
        <n v="1266"/>
        <n v="1270"/>
        <n v="1278"/>
        <n v="1286"/>
        <n v="1288"/>
        <n v="1296"/>
        <n v="1297"/>
        <n v="1299"/>
        <n v="1303"/>
        <n v="1304"/>
        <n v="1315"/>
        <n v="1319"/>
        <n v="1321"/>
        <n v="1323"/>
        <n v="1324"/>
        <n v="1325"/>
        <n v="1328"/>
        <n v="1329"/>
        <n v="1330"/>
        <n v="1331"/>
        <n v="1333"/>
        <n v="1336"/>
        <n v="1337"/>
        <n v="1338"/>
        <n v="1341"/>
        <n v="1351"/>
        <n v="1358"/>
        <n v="1359"/>
        <n v="1360"/>
        <n v="1361"/>
        <n v="1364"/>
        <n v="1369"/>
        <n v="1372"/>
        <n v="1382"/>
        <n v="1383"/>
        <n v="1394"/>
        <n v="1401"/>
        <n v="1410"/>
        <n v="1414"/>
        <n v="1415"/>
        <n v="1417"/>
        <n v="1420"/>
        <n v="1427"/>
        <n v="1436"/>
        <n v="1442"/>
        <n v="1443"/>
        <n v="1444"/>
        <n v="1451"/>
        <n v="1452"/>
        <n v="1456"/>
        <n v="1459"/>
        <n v="1462"/>
        <n v="1465"/>
        <n v="1473"/>
        <n v="1475"/>
        <n v="1478"/>
        <n v="1486"/>
        <n v="1487"/>
        <n v="1490"/>
        <n v="1492"/>
        <n v="1494"/>
        <n v="1496"/>
        <n v="1505"/>
        <n v="1507"/>
        <n v="1516"/>
        <n v="1518"/>
        <n v="1521"/>
        <n v="1522"/>
        <n v="1535"/>
        <n v="1536"/>
        <n v="1538"/>
        <n v="1544"/>
        <n v="1552"/>
        <n v="1554"/>
        <n v="1556"/>
        <n v="1557"/>
        <n v="1560"/>
        <n v="1563"/>
        <n v="1564"/>
        <n v="1567"/>
        <n v="1575"/>
        <n v="1577"/>
        <n v="1590"/>
        <n v="1591"/>
        <n v="1593"/>
        <n v="1595"/>
        <n v="1611"/>
        <n v="1621"/>
        <n v="1625"/>
        <n v="1628"/>
        <n v="1636"/>
        <n v="1639"/>
        <n v="1643"/>
        <n v="1651"/>
        <n v="1653"/>
        <n v="1659"/>
        <n v="1660"/>
        <n v="1664"/>
        <n v="1672"/>
        <n v="1674"/>
        <n v="1677"/>
        <n v="1683"/>
        <n v="1691"/>
        <n v="1693"/>
        <n v="1704"/>
        <n v="1707"/>
        <n v="1728"/>
        <n v="1741"/>
        <n v="1749"/>
        <n v="1752"/>
        <n v="1759"/>
        <n v="1764"/>
        <n v="1768"/>
        <n v="1784"/>
        <n v="1788"/>
        <n v="1794"/>
        <n v="1795"/>
        <n v="1800"/>
        <n v="1809"/>
        <n v="1813"/>
        <n v="1819"/>
        <n v="1828"/>
        <n v="1829"/>
        <n v="1838"/>
        <n v="1842"/>
        <n v="1845"/>
        <n v="1864"/>
        <n v="1871"/>
        <n v="1874"/>
        <n v="1877"/>
        <n v="1895"/>
        <n v="1897"/>
        <n v="1906"/>
        <n v="1910"/>
        <n v="1914"/>
        <n v="1920"/>
        <n v="1923"/>
        <n v="1938"/>
        <n v="1947"/>
        <n v="1973"/>
        <n v="1987"/>
        <n v="1996"/>
        <n v="2001"/>
        <n v="2012"/>
        <n v="2014"/>
        <n v="2021"/>
        <n v="2035"/>
        <n v="2046"/>
        <n v="2071"/>
        <n v="2072"/>
        <n v="2073"/>
        <n v="2077"/>
        <n v="2091"/>
        <n v="2103"/>
        <n v="2106"/>
        <n v="2118"/>
        <n v="2127"/>
        <n v="2130"/>
        <n v="2134"/>
        <n v="2137"/>
        <n v="2151"/>
        <n v="2152"/>
        <n v="2163"/>
        <n v="2169"/>
        <n v="2173"/>
        <n v="2176"/>
        <n v="2187"/>
        <n v="2207"/>
        <n v="2210"/>
        <n v="2218"/>
        <n v="2219"/>
        <n v="2222"/>
        <n v="2226"/>
        <n v="2232"/>
        <n v="2240"/>
        <n v="2243"/>
        <n v="2248"/>
        <n v="2260"/>
        <n v="2262"/>
        <n v="2263"/>
        <n v="2267"/>
        <n v="2268"/>
        <n v="2280"/>
        <n v="2286"/>
        <n v="2290"/>
        <n v="2308"/>
        <n v="2309"/>
        <n v="2314"/>
        <n v="2326"/>
        <n v="2329"/>
        <n v="2335"/>
        <n v="2354"/>
        <n v="2383"/>
        <n v="2390"/>
        <n v="2408"/>
        <n v="2412"/>
        <n v="2417"/>
        <n v="2422"/>
        <n v="2433"/>
        <n v="2438"/>
        <n v="2461"/>
        <n v="2471"/>
        <n v="2478"/>
        <n v="2490"/>
        <n v="2493"/>
        <n v="2496"/>
        <n v="2501"/>
        <n v="2504"/>
        <n v="2513"/>
        <n v="2525"/>
        <n v="2536"/>
        <n v="2542"/>
        <n v="2543"/>
        <n v="2566"/>
        <n v="2573"/>
        <n v="2602"/>
        <n v="2606"/>
        <n v="2614"/>
        <n v="2615"/>
        <n v="2623"/>
        <n v="2624"/>
        <n v="2632"/>
        <n v="2637"/>
        <n v="2638"/>
        <n v="2663"/>
        <n v="2667"/>
        <n v="2669"/>
        <n v="2671"/>
        <n v="2675"/>
        <n v="2678"/>
        <n v="2696"/>
        <n v="2717"/>
        <n v="2724"/>
        <n v="2730"/>
        <n v="2743"/>
        <n v="2749"/>
        <n v="2753"/>
        <n v="2759"/>
        <n v="2761"/>
        <n v="2769"/>
        <n v="2803"/>
        <n v="2807"/>
        <n v="2816"/>
        <n v="2820"/>
        <n v="2834"/>
        <n v="2843"/>
        <n v="2848"/>
        <n v="2852"/>
        <n v="2858"/>
        <n v="2871"/>
        <n v="2891"/>
        <n v="2927"/>
        <n v="2950"/>
        <n v="2957"/>
        <n v="2963"/>
        <n v="2980"/>
        <n v="2986"/>
        <n v="3005"/>
        <n v="3011"/>
        <n v="3024"/>
        <n v="3031"/>
        <n v="3049"/>
        <n v="3054"/>
        <n v="3062"/>
        <n v="3065"/>
        <n v="3080"/>
        <n v="3102"/>
        <n v="3105"/>
        <n v="3127"/>
        <n v="3133"/>
        <n v="3146"/>
        <n v="3156"/>
        <n v="3161"/>
        <n v="3194"/>
        <n v="3200"/>
        <n v="3237"/>
        <n v="3239"/>
        <n v="3244"/>
        <n v="3252"/>
        <n v="3260"/>
        <n v="3261"/>
        <n v="3268"/>
        <n v="3320"/>
        <n v="3335"/>
        <n v="3366"/>
        <n v="3378"/>
        <n v="3399"/>
        <n v="3445"/>
        <n v="3447"/>
        <n v="3464"/>
        <n v="3470"/>
        <n v="3503"/>
        <n v="3506"/>
        <n v="3526"/>
        <n v="3573"/>
        <n v="3602"/>
        <n v="3612"/>
        <n v="3632"/>
        <n v="3702"/>
        <n v="3735"/>
        <n v="3737"/>
        <n v="3795"/>
        <n v="3801"/>
        <n v="3832"/>
        <n v="3842"/>
        <n v="3852"/>
        <n v="3881"/>
        <n v="3904"/>
        <n v="3944"/>
        <n v="3971"/>
        <n v="3989"/>
        <n v="3995"/>
        <n v="4006"/>
        <n v="4021"/>
        <n v="4107"/>
        <n v="4161"/>
        <n v="4165"/>
        <n v="4176"/>
        <n v="4182"/>
        <n v="4187"/>
        <n v="4211"/>
        <n v="4237"/>
        <n v="4251"/>
        <n v="4271"/>
        <n v="4334"/>
        <n v="4353"/>
        <n v="4499"/>
        <n v="4510"/>
        <n v="4543"/>
        <n v="4584"/>
        <n v="4648"/>
        <n v="4722"/>
        <n v="4769"/>
        <n v="4795"/>
        <n v="4820"/>
        <n v="4926"/>
        <n v="4936"/>
        <n v="4962"/>
        <n v="5009"/>
        <n v="5018"/>
        <n v="5083"/>
        <n v="5343"/>
        <n v="5382"/>
        <n v="5401"/>
        <n v="5428"/>
        <n v="5431"/>
        <n v="5503"/>
        <n v="5531"/>
        <n v="5597"/>
        <n v="5610"/>
        <n v="5758"/>
        <n v="5789"/>
        <n v="5838"/>
        <n v="5888"/>
        <n v="6051"/>
        <n v="6130"/>
        <n v="6134"/>
        <n v="6171"/>
        <n v="6498"/>
        <n v="6506"/>
        <n v="6623"/>
        <n v="6756"/>
        <n v="6791"/>
        <n v="6957"/>
        <n v="7546"/>
        <n v="7654"/>
        <n v="8086"/>
        <n v="8176"/>
        <n v="8486"/>
        <n v="8537"/>
        <n v="8667"/>
        <n v="9210"/>
        <n v="9400"/>
        <n v="9442"/>
        <n v="9559"/>
      </sharedItems>
    </cacheField>
    <cacheField name="State" numFmtId="0">
      <sharedItems count="2">
        <s v="CA"/>
        <s v="US"/>
      </sharedItems>
    </cacheField>
    <cacheField name="Order Date" numFmtId="182">
      <sharedItems containsSemiMixedTypes="0" containsString="0" containsNonDate="0" containsDate="1" minDate="2014-01-04T00:00:00" maxDate="2017-12-30T00:00:00" count="552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5-04-26T00:00:00"/>
        <d v="2017-12-09T00:00:00"/>
        <d v="2014-10-12T00:00:00"/>
        <d v="2015-09-03T00:00:00"/>
        <d v="2017-11-13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7-12-28T00:00:00"/>
        <d v="2017-09-16T00:00:00"/>
        <d v="2017-10-13T00:00:00"/>
        <d v="2015-11-02T00:00:00"/>
        <d v="2016-12-18T00:00:00"/>
        <d v="2015-05-04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7-12-24T00:00:00"/>
        <d v="2017-12-08T00:00:00"/>
        <d v="2016-04-14T00:00:00"/>
        <d v="2017-08-21T00:00:00"/>
        <d v="2014-09-12T00:00:00"/>
        <d v="2017-10-01T00:00:00"/>
        <d v="2016-04-15T00:00:00"/>
        <d v="2014-12-19T00:00:00"/>
        <d v="2017-09-15T00:00:00"/>
        <d v="2017-03-20T00:00:00"/>
        <d v="2016-04-01T00:00:00"/>
        <d v="2017-10-20T00:00:00"/>
        <d v="2014-02-12T00:00:00"/>
        <d v="2016-04-22T00:00:00"/>
        <d v="2015-01-17T00:00:00"/>
        <d v="2015-12-20T00:00:00"/>
        <d v="2014-11-09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5-30T00:00:00"/>
        <d v="2015-03-16T00:00:00"/>
        <d v="2017-11-26T00:00:00"/>
        <d v="2017-12-21T00:00:00"/>
        <d v="2015-03-22T00:00:00"/>
        <d v="2017-01-23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5-12-18T00:00:00"/>
        <d v="2017-11-19T00:00:00"/>
        <d v="2017-11-24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6-07-14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5-10-04T00:00:00"/>
        <d v="2016-08-15T00:00:00"/>
        <d v="2017-07-30T00:00:00"/>
        <d v="2017-12-30T00:00:00"/>
        <d v="2016-10-23T00:00:00"/>
        <d v="2016-08-22T00:00:00"/>
        <d v="2016-09-19T00:00:00"/>
        <d v="2016-03-26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5-04-09T00:00:00"/>
        <d v="2014-12-02T00:00:00"/>
        <d v="2014-04-05T00:00:00"/>
        <d v="2014-01-11T00:00:00"/>
        <d v="2014-06-02T00:00:00"/>
        <d v="2016-02-13T00:00:00"/>
        <d v="2014-10-07T00:00:00"/>
        <d v="2016-07-07T00:00:00"/>
        <d v="2016-12-03T00:00:00"/>
        <d v="2017-01-21T00:00:00"/>
        <d v="2014-01-04T00:00:00"/>
        <d v="2016-08-27T00:00:00"/>
        <d v="2017-10-02T00:00:00"/>
        <d v="2016-04-07T00:00:00"/>
        <d v="2014-12-29T00:00:00"/>
        <d v="2017-07-23T00:00:00"/>
        <d v="2015-02-08T00:00:00"/>
        <d v="2014-01-13T00:00:00"/>
        <d v="2014-05-14T00:00:00"/>
        <d v="2017-01-30T00:00:00"/>
        <d v="2014-06-29T00:00:00"/>
        <d v="2015-10-03T00:00:00"/>
        <d v="2015-12-12T00:00:00"/>
        <d v="2016-05-20T00:00:00"/>
        <d v="2017-09-21T00:00:00"/>
        <d v="2017-02-20T00:00:00"/>
        <d v="2016-03-12T00:00:00"/>
        <d v="2017-04-22T00:00:00"/>
        <d v="2017-05-14T00:00:00"/>
        <d v="2015-03-20T00:00:00"/>
        <d v="2017-06-20T00:00:00"/>
        <d v="2014-05-09T00:00:00"/>
        <d v="2015-11-20T00:00:00"/>
        <d v="2015-10-13T00:00:00"/>
        <d v="2017-01-01T00:00:00"/>
        <d v="2014-02-07T00:00:00"/>
        <d v="2017-04-10T00:00:00"/>
        <d v="2014-01-10T00:00:00"/>
        <d v="2016-09-29T00:00:00"/>
        <d v="2014-04-06T00:00:00"/>
        <d v="2016-09-03T00:00:00"/>
        <d v="2014-12-10T00:00:00"/>
        <d v="2014-09-17T00:00:00"/>
        <d v="2016-10-22T00:00:00"/>
        <d v="2014-04-29T00:00:00"/>
        <d v="2015-04-25T00:00:00"/>
        <d v="2017-10-14T00:00:00"/>
        <d v="2016-11-10T00:00:00"/>
        <d v="2016-10-03T00:00:00"/>
        <d v="2014-09-09T00:00:00"/>
        <d v="2017-10-29T00:00:00"/>
        <d v="2016-04-10T00:00:00"/>
        <d v="2017-09-02T00:00:00"/>
        <d v="2016-03-05T00:00:00"/>
        <d v="2015-04-11T00:00:00"/>
        <d v="2016-09-15T00:00:00"/>
        <d v="2015-10-05T00:00:00"/>
        <d v="2015-12-13T00:00:00"/>
        <d v="2016-06-19T00:00:00"/>
        <d v="2017-04-03T00:00:00"/>
        <d v="2017-11-30T00:00:00"/>
        <d v="2017-05-15T00:00:00"/>
        <d v="2015-09-22T00:00:00"/>
        <d v="2017-04-09T00:00:00"/>
        <d v="2017-09-29T00:00:00"/>
        <d v="2015-03-10T00:00:00"/>
        <d v="2015-03-29T00:00:00"/>
        <d v="2014-05-21T00:00:00"/>
        <d v="2015-10-28T00:00:00"/>
        <d v="2015-08-27T00:00:00"/>
        <d v="2015-11-06T00:00:00"/>
        <d v="2015-12-21T00:00:00"/>
        <d v="2015-07-06T00:00:00"/>
        <d v="2016-01-11T00:00:00"/>
        <d v="2015-06-13T00:00:00"/>
        <d v="2017-07-09T00:00:00"/>
        <d v="2015-04-04T00:00:00"/>
        <d v="2016-11-24T00:00:00"/>
        <d v="2015-04-16T00:00:00"/>
        <d v="2016-10-01T00:00:00"/>
        <d v="2017-09-28T00:00:00"/>
        <d v="2016-11-12T00:00:00"/>
        <d v="2017-09-23T00:00:00"/>
        <d v="2016-06-14T00:00:00"/>
        <d v="2016-07-22T00:00:00"/>
        <d v="2015-09-04T00:00:00"/>
        <d v="2017-06-29T00:00:00"/>
        <d v="2014-09-01T00:00:00"/>
        <d v="2014-05-04T00:00:00"/>
        <d v="2014-12-27T00:00:00"/>
        <d v="2016-04-24T00:00:00"/>
        <d v="2017-02-26T00:00:00"/>
        <d v="2017-08-01T00:00:00"/>
        <d v="2017-09-09T00:00:00"/>
        <d v="2014-08-11T00:00:00"/>
        <d v="2014-12-12T00:00:00"/>
        <d v="2017-03-10T00:00:00"/>
        <d v="2017-10-23T00:00:00"/>
        <d v="2017-06-04T00:00:00"/>
        <d v="2016-05-02T00:00:00"/>
        <d v="2016-11-22T00:00:00"/>
        <d v="2015-05-25T00:00:00"/>
        <d v="2015-09-19T00:00:00"/>
        <d v="2017-07-03T00:00:00"/>
        <d v="2014-07-01T00:00:00"/>
        <d v="2017-02-03T00:00:00"/>
        <d v="2017-03-03T00:00:00"/>
        <d v="2017-10-09T00:00:00"/>
        <d v="2014-09-28T00:00:00"/>
        <d v="2016-03-30T00:00:00"/>
        <d v="2017-10-15T00:00:00"/>
        <d v="2016-05-23T00:00:00"/>
        <d v="2017-06-02T00:00:00"/>
        <d v="2014-02-16T00:00:00"/>
        <d v="2016-05-16T00:00:00"/>
        <d v="2017-04-02T00:00:00"/>
        <d v="2017-03-31T00:00:00"/>
        <d v="2017-01-02T00:00:00"/>
        <d v="2014-10-03T00:00:00"/>
        <d v="2016-05-05T00:00:00"/>
        <d v="2017-04-26T00:00:00"/>
        <d v="2014-09-26T00:00:00"/>
        <d v="2017-11-10T00:00:00"/>
        <d v="2017-03-07T00:00:00"/>
        <d v="2016-02-05T00:00:00"/>
        <d v="2016-11-01T00:00:00"/>
        <d v="2016-09-25T00:00:00"/>
        <d v="2014-06-30T00:00:00"/>
        <d v="2017-01-28T00:00:00"/>
        <d v="2015-09-21T00:00:00"/>
        <d v="2015-09-26T00:00:00"/>
        <d v="2017-12-19T00:00:00"/>
        <d v="2017-08-05T00:00:00"/>
        <d v="2015-10-01T00:00:00"/>
        <d v="2015-07-19T00:00:00"/>
        <d v="2016-11-26T00:00:00"/>
        <d v="2017-06-12T00:00:00"/>
        <d v="2016-12-16T00:00:00"/>
        <d v="2017-07-11T00:00:00"/>
        <d v="2016-11-13T00:00:00"/>
        <d v="2014-11-27T00:00:00"/>
        <d v="2015-11-03T00:00:00"/>
        <d v="2014-11-29T00:00:00"/>
        <d v="2017-10-30T00:00:00"/>
        <d v="2017-09-04T00:00:00"/>
        <d v="2015-08-01T00:00:00"/>
        <d v="2014-02-03T00:00:00"/>
        <d v="2017-04-16T00:00:00"/>
        <d v="2015-12-06T00:00:00"/>
        <d v="2017-02-10T00:00:00"/>
        <d v="2016-10-29T00:00:00"/>
        <d v="2014-02-04T00:00:00"/>
        <d v="2017-10-16T00:00:00"/>
        <d v="2016-04-09T00:00:00"/>
        <d v="2015-11-09T00:00:00"/>
        <d v="2014-12-15T00:00:00"/>
        <d v="2016-05-12T00:00:00"/>
        <d v="2015-06-23T00:00:00"/>
        <d v="2015-03-24T00:00:00"/>
        <d v="2014-05-26T00:00:00"/>
        <d v="2015-12-19T00:00:00"/>
        <d v="2015-09-24T00:00:00"/>
        <d v="2014-11-26T00:00:00"/>
        <d v="2016-05-26T00:00:00"/>
        <d v="2014-08-29T00:00:00"/>
        <d v="2017-11-18T00:00:00"/>
        <d v="2017-01-20T00:00:00"/>
        <d v="2016-03-22T00:00:00"/>
        <d v="2015-12-11T00:00:00"/>
        <d v="2016-05-18T00:00:00"/>
        <d v="2016-03-14T00:00:00"/>
        <d v="2014-02-02T00:00:00"/>
        <d v="2017-04-29T00:00:00"/>
        <d v="2014-04-25T00:00:00"/>
        <d v="2014-05-11T00:00:00"/>
        <d v="2016-08-04T00:00:00"/>
        <d v="2014-03-22T00:00:00"/>
        <d v="2017-09-22T00:00:00"/>
        <d v="2015-02-15T00:00:00"/>
        <d v="2014-12-08T00:00:00"/>
        <d v="2016-08-08T00:00:00"/>
        <d v="2016-02-11T00:00:00"/>
        <d v="2014-05-25T00:00:00"/>
        <d v="2016-02-08T00:00:00"/>
        <d v="2015-07-13T00:00:00"/>
        <d v="2014-08-01T00:00:00"/>
        <d v="2016-07-18T00:00:00"/>
        <d v="2017-07-29T00:00:00"/>
        <d v="2014-07-21T00:00:00"/>
        <d v="2017-11-21T00:00:00"/>
        <d v="2017-03-25T00:00:00"/>
        <d v="2017-12-02T00:00:00"/>
        <d v="2017-10-03T00:00:00"/>
        <d v="2017-12-18T00:00:00"/>
        <d v="2014-01-15T00:00:00"/>
        <d v="2017-08-17T00:00:00"/>
        <d v="2016-07-08T00:00:00"/>
        <d v="2014-12-14T00:00:00"/>
        <d v="2016-07-25T00:00:00"/>
        <d v="2017-04-11T00:00:00"/>
        <d v="2016-07-21T00:00:00"/>
        <d v="2017-09-12T00:00:00"/>
        <d v="2017-07-15T00:00:00"/>
        <d v="2014-07-18T00:00:00"/>
        <d v="2014-09-30T00:00:00"/>
        <d v="2014-06-23T00:00:00"/>
        <d v="2014-05-20T00:00:00"/>
        <d v="2015-11-30T00:00:00"/>
        <d v="2015-12-31T00:00:00"/>
        <d v="2017-03-13T00:00:00"/>
        <d v="2017-01-27T00:00:00"/>
        <d v="2016-10-15T00:00:00"/>
        <d v="2014-07-14T00:00:00"/>
        <d v="2014-11-14T00:00:00"/>
        <d v="2017-07-28T00:00:00"/>
        <d v="2016-03-19T00:00:00"/>
        <d v="2017-06-26T00:00:00"/>
        <d v="2016-11-15T00:00:00"/>
        <d v="2015-11-08T00:00:00"/>
        <d v="2017-02-06T00:00:00"/>
        <d v="2017-10-12T00:00:00"/>
        <d v="2017-09-17T00:00:00"/>
        <d v="2017-01-08T00:00:00"/>
        <d v="2017-06-11T00:00:00"/>
        <d v="2015-09-15T00:00:00"/>
        <d v="2015-08-31T00:00:00"/>
        <d v="2015-06-07T00:00:00"/>
        <d v="2016-04-18T00:00:00"/>
        <d v="2014-03-25T00:00:00"/>
        <d v="2014-11-18T00:00:00"/>
        <d v="2015-07-11T00:00:00"/>
        <d v="2016-01-22T00:00:00"/>
        <d v="2015-10-09T00:00:00"/>
        <d v="2014-06-16T00:00:00"/>
        <d v="2016-11-14T00:00:00"/>
        <d v="2015-04-06T00:00:00"/>
        <d v="2015-09-06T00:00:00"/>
        <d v="2016-04-30T00:00:00"/>
        <d v="2016-08-12T00:00:00"/>
        <d v="2014-12-16T00:00:00"/>
        <d v="2014-04-26T00:00:00"/>
        <d v="2014-12-03T00:00:00"/>
        <d v="2017-10-22T00:00:00"/>
        <d v="2015-08-15T00:00:00"/>
        <d v="2017-04-14T00:00:00"/>
        <d v="2015-08-25T00:00:00"/>
        <d v="2017-12-03T00:00:00"/>
        <d v="2016-02-07T00:00:00"/>
        <d v="2017-08-26T00:00:00"/>
        <d v="2014-10-04T00:00:00"/>
        <d v="2017-02-13T00:00:00"/>
        <d v="2015-12-04T00:00:00"/>
        <d v="2015-04-17T00:00:00"/>
        <d v="2015-04-02T00:00:00"/>
        <d v="2015-07-25T00:00:00"/>
        <d v="2017-01-26T00:00:00"/>
        <d v="2017-03-23T00:00:00"/>
        <d v="2017-04-08T00:00:00"/>
        <d v="2017-07-10T00:00:00"/>
        <d v="2017-06-27T00:00:00"/>
        <d v="2017-12-16T00:00:00"/>
        <d v="2015-06-12T00:00:00"/>
        <d v="2016-05-25T00:00:00"/>
        <d v="2017-04-17T00:00:00"/>
        <d v="2017-11-17T00:00:00"/>
        <d v="2017-09-08T00:00:00"/>
        <d v="2014-08-24T00:00:00"/>
        <d v="2017-02-11T00:00:00"/>
        <d v="2014-05-22T00:00:00"/>
        <d v="2014-12-20T00:00:00"/>
        <d v="2014-01-31T00:00:00"/>
        <d v="2014-11-21T00:00:00"/>
        <d v="2016-07-29T00:00:00"/>
        <d v="2016-08-06T00:00:00"/>
        <d v="2016-11-25T00:00:00"/>
        <d v="2014-06-20T00:00:00"/>
        <d v="2017-12-10T00:00:00"/>
        <d v="2014-11-17T00:00:00"/>
        <d v="2016-11-29T00:00:00"/>
        <d v="2017-05-03T00:00:00"/>
        <d v="2016-01-09T00:00:00"/>
        <d v="2017-03-06T00:00:00"/>
        <d v="2016-03-17T00:00:00"/>
        <d v="2014-01-27T00:00:00"/>
        <d v="2016-10-14T00:00:00"/>
        <d v="2015-11-14T00:00:00"/>
        <d v="2014-06-08T00:00:00"/>
        <d v="2015-06-15T00:00:00"/>
        <d v="2016-06-23T00:00:00"/>
        <d v="2014-11-22T00:00:00"/>
        <d v="2016-04-17T00:00:00"/>
        <d v="2015-03-08T00:00:00"/>
        <d v="2015-12-10T00:00:00"/>
        <d v="2014-06-22T00:00:00"/>
        <d v="2017-01-14T00:00:00"/>
        <d v="2017-10-06T00:00:00"/>
        <d v="2017-05-18T00:00:00"/>
        <d v="2016-07-23T00:00:00"/>
        <d v="2015-11-26T00:00:00"/>
        <d v="2017-05-23T00:00:00"/>
        <d v="2017-03-30T00:00:00"/>
        <d v="2016-08-26T00:00:00"/>
        <d v="2016-04-26T00:00:00"/>
        <d v="2015-03-15T00:00:00"/>
        <d v="2014-03-07T00:00:00"/>
        <d v="2014-11-15T00:00:00"/>
        <d v="2017-11-02T00:00:00"/>
        <d v="2017-08-31T00:00:00"/>
        <d v="2015-08-11T00:00:00"/>
        <d v="2017-11-27T00:00:00"/>
        <d v="2017-10-08T00:00:00"/>
        <d v="2017-03-26T00:00:00"/>
        <d v="2016-08-16T00:00:00"/>
        <d v="2016-12-19T00:00:00"/>
        <d v="2015-07-24T00:00:00"/>
        <d v="2014-09-06T00:00:00"/>
        <d v="2014-10-10T00:00:00"/>
        <d v="2016-10-20T00:00:00"/>
        <d v="2016-01-30T00:00:00"/>
        <d v="2017-03-27T00:00:00"/>
        <d v="2016-12-30T00:00:00"/>
        <d v="2016-11-11T00:00:00"/>
        <d v="2016-05-03T00:00:00"/>
      </sharedItems>
    </cacheField>
    <cacheField name="Ship Date" numFmtId="182">
      <sharedItems containsSemiMixedTypes="0" containsString="0" containsNonDate="0" containsDate="1" minDate="2014-01-08T00:00:00" maxDate="2018-01-05T00:00:00" count="569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5-05-02T00:00:00"/>
        <d v="2017-12-11T00:00:00"/>
        <d v="2016-06-15T00:00:00"/>
        <d v="2014-10-16T00:00:00"/>
        <d v="2015-09-08T00:00:00"/>
        <d v="2017-11-16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7-12-13T00:00:00"/>
        <d v="2018-01-02T00:00:00"/>
        <d v="2017-09-17T00:00:00"/>
        <d v="2017-10-17T00:00:00"/>
        <d v="2016-12-20T00:00:00"/>
        <d v="2015-05-09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7-06-19T00:00:00"/>
        <d v="2017-07-12T00:00:00"/>
        <d v="2016-09-03T00:00:00"/>
        <d v="2016-04-13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6-09-10T00:00:00"/>
        <d v="2014-12-26T00:00:00"/>
        <d v="2017-12-29T00:00:00"/>
        <d v="2017-12-12T00:00:00"/>
        <d v="2017-11-07T00:00:00"/>
        <d v="2017-06-28T00:00:00"/>
        <d v="2016-04-18T00:00:00"/>
        <d v="2017-08-23T00:00:00"/>
        <d v="2014-09-13T00:00:00"/>
        <d v="2017-10-08T00:00:00"/>
        <d v="2016-04-21T00:00:00"/>
        <d v="2014-12-25T00:00:00"/>
        <d v="2016-06-14T00:00:00"/>
        <d v="2017-09-19T00:00:00"/>
        <d v="2017-03-25T00:00:00"/>
        <d v="2016-04-03T00:00:00"/>
        <d v="2017-10-24T00:00:00"/>
        <d v="2014-02-18T00:00:00"/>
        <d v="2015-01-24T00:00:00"/>
        <d v="2015-12-24T00:00:00"/>
        <d v="2014-11-11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6-04T00:00:00"/>
        <d v="2015-03-22T00:00:00"/>
        <d v="2017-11-27T00:00:00"/>
        <d v="2017-12-25T00:00:00"/>
        <d v="2015-03-26T00:00:00"/>
        <d v="2017-01-25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11T00:00:00"/>
        <d v="2014-02-03T00:00:00"/>
        <d v="2015-12-23T00:00:00"/>
        <d v="2017-11-22T00:00:00"/>
        <d v="2016-04-17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5-10-09T00:00:00"/>
        <d v="2016-08-21T00:00:00"/>
        <d v="2016-12-22T00:00:00"/>
        <d v="2017-08-03T00:00:00"/>
        <d v="2017-06-15T00:00:00"/>
        <d v="2018-01-05T00:00:00"/>
        <d v="2016-12-16T00:00:00"/>
        <d v="2016-08-28T00:00:00"/>
        <d v="2016-09-19T00:00:00"/>
        <d v="2016-03-30T00:00:00"/>
        <d v="2017-06-10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5-04-14T00:00:00"/>
        <d v="2014-12-04T00:00:00"/>
        <d v="2014-04-07T00:00:00"/>
        <d v="2017-09-07T00:00:00"/>
        <d v="2017-05-24T00:00:00"/>
        <d v="2014-01-14T00:00:00"/>
        <d v="2014-06-07T00:00:00"/>
        <d v="2016-02-18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01-02T00:00:00"/>
        <d v="2017-07-28T00:00:00"/>
        <d v="2017-09-22T00:00:00"/>
        <d v="2014-01-15T00:00:00"/>
        <d v="2014-05-20T00:00:00"/>
        <d v="2014-07-06T00:00:00"/>
        <d v="2015-10-06T00:00:00"/>
        <d v="2015-12-16T00:00:00"/>
        <d v="2016-05-20T00:00:00"/>
        <d v="2014-09-26T00:00:00"/>
        <d v="2017-09-26T00:00:00"/>
        <d v="2017-02-23T00:00:00"/>
        <d v="2016-03-17T00:00:00"/>
        <d v="2017-04-24T00:00:00"/>
        <d v="2017-05-14T00:00:00"/>
        <d v="2015-03-23T00:00:00"/>
        <d v="2017-06-27T00:00:00"/>
        <d v="2015-11-25T00:00:00"/>
        <d v="2016-11-09T00:00:00"/>
        <d v="2015-10-17T00:00:00"/>
        <d v="2017-01-06T00:00:00"/>
        <d v="2014-02-12T00:00:00"/>
        <d v="2014-08-08T00:00:00"/>
        <d v="2017-04-15T00:00:00"/>
        <d v="2014-06-16T00:00:00"/>
        <d v="2016-10-02T00:00:00"/>
        <d v="2014-04-10T00:00:00"/>
        <d v="2016-09-05T00:00:00"/>
        <d v="2014-12-15T00:00:00"/>
        <d v="2016-10-24T00:00:00"/>
        <d v="2014-05-04T00:00:00"/>
        <d v="2015-04-28T00:00:00"/>
        <d v="2016-11-12T00:00:00"/>
        <d v="2016-10-06T00:00:00"/>
        <d v="2014-09-15T00:00:00"/>
        <d v="2017-10-31T00:00:00"/>
        <d v="2016-04-12T00:00:00"/>
        <d v="2015-06-07T00:00:00"/>
        <d v="2016-03-11T00:00:00"/>
        <d v="2015-04-15T00:00:00"/>
        <d v="2016-09-20T00:00:00"/>
        <d v="2014-09-16T00:00:00"/>
        <d v="2017-09-06T00:00:00"/>
        <d v="2016-06-24T00:00:00"/>
        <d v="2015-12-17T00:00:00"/>
        <d v="2016-06-20T00:00:00"/>
        <d v="2017-04-07T00:00:00"/>
        <d v="2018-01-01T00:00:00"/>
        <d v="2017-12-04T00:00:00"/>
        <d v="2017-05-18T00:00:00"/>
        <d v="2017-11-19T00:00:00"/>
        <d v="2015-12-01T00:00:00"/>
        <d v="2017-04-11T00:00:00"/>
        <d v="2016-05-31T00:00:00"/>
        <d v="2014-11-14T00:00:00"/>
        <d v="2017-10-05T00:00:00"/>
        <d v="2015-03-10T00:00:00"/>
        <d v="2015-03-31T00:00:00"/>
        <d v="2014-05-25T00:00:00"/>
        <d v="2015-11-03T00:00:00"/>
        <d v="2015-08-31T00:00:00"/>
        <d v="2015-07-10T00:00:00"/>
        <d v="2017-12-20T00:00:00"/>
        <d v="2016-01-13T00:00:00"/>
        <d v="2016-11-22T00:00:00"/>
        <d v="2015-06-14T00:00:00"/>
        <d v="2017-11-21T00:00:00"/>
        <d v="2016-09-09T00:00:00"/>
        <d v="2015-07-05T00:00:00"/>
        <d v="2015-04-08T00:00:00"/>
        <d v="2016-12-01T00:00:00"/>
        <d v="2015-04-21T00:00:00"/>
        <d v="2017-09-30T00:00:00"/>
        <d v="2016-05-02T00:00:00"/>
        <d v="2016-11-19T00:00:00"/>
        <d v="2016-09-30T00:00:00"/>
        <d v="2017-09-25T00:00:00"/>
        <d v="2016-08-20T00:00:00"/>
        <d v="2017-01-26T00:00:00"/>
        <d v="2016-06-17T00:00:00"/>
        <d v="2016-10-27T00:00:00"/>
        <d v="2016-07-24T00:00:00"/>
        <d v="2016-11-15T00:00:00"/>
        <d v="2015-04-04T00:00:00"/>
        <d v="2017-07-04T00:00:00"/>
        <d v="2014-09-05T00:00:00"/>
        <d v="2014-03-08T00:00:00"/>
        <d v="2014-05-08T00:00:00"/>
        <d v="2014-11-30T00:00:00"/>
        <d v="2017-02-28T00:00:00"/>
        <d v="2017-08-04T00:00:00"/>
        <d v="2016-07-18T00:00:00"/>
        <d v="2017-09-13T00:00:00"/>
        <d v="2014-07-16T00:00:00"/>
        <d v="2015-11-02T00:00:00"/>
        <d v="2017-05-21T00:00:00"/>
        <d v="2014-12-14T00:00:00"/>
        <d v="2017-03-14T00:00:00"/>
        <d v="2017-10-27T00:00:00"/>
        <d v="2016-11-04T00:00:00"/>
        <d v="2017-06-08T00:00:00"/>
        <d v="2016-05-07T00:00:00"/>
        <d v="2016-07-03T00:00:00"/>
        <d v="2016-11-26T00:00:00"/>
        <d v="2015-05-29T00:00:00"/>
        <d v="2018-01-03T00:00:00"/>
        <d v="2016-12-12T00:00:00"/>
        <d v="2015-09-24T00:00:00"/>
        <d v="2017-07-07T00:00:00"/>
        <d v="2016-12-23T00:00:00"/>
        <d v="2014-07-05T00:00:00"/>
        <d v="2017-02-08T00:00:00"/>
        <d v="2017-03-08T00:00:00"/>
        <d v="2017-10-10T00:00:00"/>
        <d v="2016-04-01T00:00:00"/>
        <d v="2017-10-18T00:00:00"/>
        <d v="2016-05-27T00:00:00"/>
        <d v="2017-06-06T00:00:00"/>
        <d v="2014-02-21T00:00:00"/>
        <d v="2016-05-23T00:00:00"/>
        <d v="2017-04-02T00:00:00"/>
        <d v="2017-01-04T00:00:00"/>
        <d v="2014-10-08T00:00:00"/>
        <d v="2017-04-27T00:00:00"/>
        <d v="2014-10-01T00:00:00"/>
        <d v="2017-10-25T00:00:00"/>
        <d v="2017-07-11T00:00:00"/>
        <d v="2017-03-12T00:00:00"/>
        <d v="2016-02-05T00:00:00"/>
        <d v="2016-11-05T00:00:00"/>
        <d v="2017-01-31T00:00:00"/>
        <d v="2015-11-04T00:00:00"/>
        <d v="2017-12-24T00:00:00"/>
        <d v="2017-08-08T00:00:00"/>
        <d v="2015-07-20T00:00:00"/>
        <d v="2016-11-29T00:00:00"/>
        <d v="2016-03-15T00:00:00"/>
        <d v="2016-12-19T00:00:00"/>
        <d v="2017-07-15T00:00:00"/>
        <d v="2016-11-25T00:00:00"/>
        <d v="2016-11-17T00:00:00"/>
        <d v="2014-12-03T00:00:00"/>
        <d v="2015-11-07T00:00:00"/>
        <d v="2014-12-06T00:00:00"/>
        <d v="2017-11-03T00:00:00"/>
        <d v="2015-08-07T00:00:00"/>
        <d v="2017-12-17T00:00:00"/>
        <d v="2014-02-06T00:00:00"/>
        <d v="2017-04-21T00:00:00"/>
        <d v="2017-02-14T00:00:00"/>
        <d v="2014-02-08T00:00:00"/>
        <d v="2016-06-22T00:00:00"/>
        <d v="2017-10-21T00:00:00"/>
        <d v="2016-05-15T00:00:00"/>
        <d v="2017-06-30T00:00:00"/>
        <d v="2014-12-18T00:00:00"/>
        <d v="2016-05-16T00:00:00"/>
        <d v="2016-04-19T00:00:00"/>
        <d v="2015-06-25T00:00:00"/>
        <d v="2015-03-27T00:00:00"/>
        <d v="2014-05-30T00:00:00"/>
        <d v="2014-12-02T00:00:00"/>
        <d v="2014-08-29T00:00:00"/>
        <d v="2017-11-06T00:00:00"/>
        <d v="2016-03-25T00:00:00"/>
        <d v="2015-12-12T00:00:00"/>
        <d v="2016-05-24T00:00:00"/>
        <d v="2016-03-19T00:00:00"/>
        <d v="2017-05-04T00:00:00"/>
        <d v="2014-04-29T00:00:00"/>
        <d v="2014-05-17T00:00:00"/>
        <d v="2016-08-08T00:00:00"/>
        <d v="2014-03-26T00:00:00"/>
        <d v="2015-02-19T00:00:00"/>
        <d v="2014-12-13T00:00:00"/>
        <d v="2016-08-10T00:00:00"/>
        <d v="2016-02-13T00:00:00"/>
        <d v="2017-11-26T00:00:00"/>
        <d v="2014-05-29T00:00:00"/>
        <d v="2016-02-11T00:00:00"/>
        <d v="2015-07-15T00:00:00"/>
        <d v="2016-07-23T00:00:00"/>
        <d v="2017-08-02T00:00:00"/>
        <d v="2016-10-17T00:00:00"/>
        <d v="2014-07-25T00:00:00"/>
        <d v="2017-11-25T00:00:00"/>
        <d v="2017-03-29T00:00:00"/>
        <d v="2017-12-23T00:00:00"/>
        <d v="2014-01-17T00:00:00"/>
        <d v="2017-08-19T00:00:00"/>
        <d v="2016-07-10T00:00:00"/>
        <d v="2014-12-19T00:00:00"/>
        <d v="2016-07-27T00:00:00"/>
        <d v="2017-04-18T00:00:00"/>
        <d v="2016-09-21T00:00:00"/>
        <d v="2017-09-29T00:00:00"/>
        <d v="2017-07-19T00:00:00"/>
        <d v="2014-07-18T00:00:00"/>
        <d v="2014-10-05T00:00:00"/>
        <d v="2014-06-28T00:00:00"/>
        <d v="2014-05-22T00:00:00"/>
        <d v="2016-01-05T00:00:00"/>
        <d v="2014-11-29T00:00:00"/>
        <d v="2017-03-19T00:00:00"/>
        <d v="2017-01-30T00:00:00"/>
        <d v="2014-08-03T00:00:00"/>
        <d v="2016-07-14T00:00:00"/>
        <d v="2014-07-20T00:00:00"/>
        <d v="2014-11-16T00:00:00"/>
        <d v="2017-08-01T00:00:00"/>
        <d v="2015-12-06T00:00:00"/>
        <d v="2017-07-01T00:00:00"/>
        <d v="2015-02-18T00:00:00"/>
        <d v="2015-11-10T00:00:00"/>
        <d v="2015-12-18T00:00:00"/>
        <d v="2017-02-09T00:00:00"/>
        <d v="2017-10-12T00:00:00"/>
        <d v="2016-05-08T00:00:00"/>
        <d v="2017-01-11T00:00:00"/>
        <d v="2017-11-09T00:00:00"/>
        <d v="2017-07-25T00:00:00"/>
        <d v="2015-09-19T00:00:00"/>
        <d v="2014-10-04T00:00:00"/>
        <d v="2015-09-02T00:00:00"/>
        <d v="2017-03-26T00:00:00"/>
        <d v="2015-12-10T00:00:00"/>
        <d v="2015-06-09T00:00:00"/>
        <d v="2016-04-23T00:00:00"/>
        <d v="2014-04-01T00:00:00"/>
        <d v="2014-11-20T00:00:00"/>
        <d v="2015-07-13T00:00:00"/>
        <d v="2016-01-28T00:00:00"/>
        <d v="2015-10-13T00:00:00"/>
        <d v="2014-11-23T00:00:00"/>
        <d v="2014-06-22T00:00:00"/>
        <d v="2017-12-06T00:00:00"/>
        <d v="2016-05-04T00:00:00"/>
        <d v="2016-08-15T00:00:00"/>
        <d v="2014-12-21T00:00:00"/>
        <d v="2016-05-05T00:00:00"/>
        <d v="2014-05-03T00:00:00"/>
        <d v="2017-05-20T00:00:00"/>
        <d v="2015-08-19T00:00:00"/>
        <d v="2017-06-18T00:00:00"/>
        <d v="2015-08-30T00:00:00"/>
        <d v="2014-06-21T00:00:00"/>
        <d v="2016-02-09T00:00:00"/>
        <d v="2017-02-19T00:00:00"/>
        <d v="2014-11-08T00:00:00"/>
        <d v="2015-12-08T00:00:00"/>
        <d v="2015-04-07T00:00:00"/>
        <d v="2017-11-08T00:00:00"/>
        <d v="2015-07-27T00:00:00"/>
        <d v="2017-03-27T00:00:00"/>
        <d v="2017-12-22T00:00:00"/>
        <d v="2016-08-17T00:00:00"/>
        <d v="2014-05-01T00:00:00"/>
        <d v="2017-07-14T00:00:00"/>
        <d v="2015-06-17T00:00:00"/>
        <d v="2016-05-30T00:00:00"/>
        <d v="2017-04-23T00:00:00"/>
        <d v="2017-11-23T00:00:00"/>
        <d v="2015-09-27T00:00:00"/>
        <d v="2017-04-04T00:00:00"/>
        <d v="2016-04-14T00:00:00"/>
        <d v="2017-03-07T00:00:00"/>
        <d v="2017-03-18T00:00:00"/>
        <d v="2017-09-05T00:00:00"/>
        <d v="2017-09-12T00:00:00"/>
        <d v="2014-08-26T00:00:00"/>
        <d v="2017-02-13T00:00:00"/>
        <d v="2014-09-04T00:00:00"/>
        <d v="2016-11-27T00:00:00"/>
        <d v="2017-04-19T00:00:00"/>
        <d v="2014-11-15T00:00:00"/>
        <d v="2017-08-22T00:00:00"/>
        <d v="2014-02-02T00:00:00"/>
        <d v="2016-08-02T00:00:00"/>
        <d v="2016-08-07T00:00:00"/>
        <d v="2016-11-30T00:00:00"/>
        <d v="2017-04-10T00:00:00"/>
        <d v="2014-06-24T00:00:00"/>
        <d v="2017-05-08T00:00:00"/>
        <d v="2016-10-20T00:00:00"/>
        <d v="2015-11-19T00:00:00"/>
        <d v="2014-06-12T00:00:00"/>
        <d v="2015-06-20T00:00:00"/>
        <d v="2016-06-30T00:00:00"/>
        <d v="2016-04-22T00:00:00"/>
        <d v="2015-03-12T00:00:00"/>
        <d v="2014-06-27T00:00:00"/>
        <d v="2016-08-26T00:00:00"/>
        <d v="2017-01-16T00:00:00"/>
        <d v="2017-05-29T00:00:00"/>
        <d v="2017-03-31T00:00:00"/>
        <d v="2014-06-11T00:00:00"/>
        <d v="2017-06-03T00:00:00"/>
        <d v="2017-06-14T00:00:00"/>
        <d v="2015-03-21T00:00:00"/>
        <d v="2016-09-12T00:00:00"/>
        <d v="2014-11-27T00:00:00"/>
        <d v="2015-09-29T00:00:00"/>
        <d v="2017-04-14T00:00:00"/>
        <d v="2017-10-11T00:00:00"/>
        <d v="2015-04-30T00:00:00"/>
        <d v="2016-08-19T00:00:00"/>
        <d v="2016-12-24T00:00:00"/>
        <d v="2015-07-28T00:00:00"/>
        <d v="2014-09-09T00:00:00"/>
        <d v="2016-07-19T00:00:00"/>
        <d v="2014-10-15T00:00:00"/>
        <d v="2016-10-26T00:00:00"/>
        <d v="2016-02-04T00:00:00"/>
        <d v="2015-06-11T00:00:00"/>
        <d v="2017-01-02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183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25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Memphis"/>
        <s v="Decatur"/>
        <s v="Durham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Columbia"/>
        <s v="Santa Clara"/>
        <s v="Lakeville"/>
        <s v="San Diego"/>
        <s v="Brentwood"/>
        <s v="Chapel Hill"/>
        <s v="Cincinnati"/>
        <s v="Inglewood"/>
        <s v="Tamarac"/>
        <s v="Colorado Springs"/>
        <s v="Lakewood"/>
        <s v="Arlington"/>
        <s v="Arvada"/>
        <s v="Hackensack"/>
        <s v="Saint Petersburg"/>
        <s v="Long Beach"/>
        <s v="Hesperia"/>
        <s v="Murfreesboro"/>
        <s v="Lowell"/>
        <s v="Manchester"/>
        <s v="Harlingen"/>
        <s v="Tucson"/>
        <s v="Quincy"/>
        <s v="Taylor"/>
        <s v="Pembroke Pines"/>
        <s v="Des Moines"/>
        <s v="Peoria"/>
        <s v="Las Vegas"/>
        <s v="Warwick"/>
        <s v="Miami"/>
        <s v="Huntington Beach"/>
        <s v="Lawrence"/>
        <s v="Jackson"/>
        <s v="New Rochelle"/>
        <s v="Gastonia"/>
        <s v="Jacksonville"/>
        <s v="Auburn"/>
        <s v="Park Ridge"/>
        <s v="Lindenhurst"/>
        <s v="Huntsville"/>
        <s v="Fayetteville"/>
        <s v="Parker"/>
        <s v="Atlanta"/>
        <s v="Gladstone"/>
        <s v="Lakeland"/>
        <s v="Montgomery"/>
        <s v="Mesa"/>
        <s v="Green Bay"/>
        <s v="Tampa"/>
        <s v="Marysville"/>
        <s v="Richmond"/>
        <s v="Salem"/>
        <s v="Laredo"/>
        <s v="Grove City"/>
        <s v="Dearborn"/>
        <s v="Warner Robins"/>
        <s v="Mission Viejo"/>
        <s v="Rochester Hills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Austin"/>
        <s v="Oceanside"/>
        <s v="Evanston"/>
        <s v="Trenton"/>
        <s v="Cottage Grove"/>
        <s v="Bossier City"/>
        <s v="Lancaster"/>
        <s v="Asheville"/>
        <s v="Lake Elsinore"/>
        <s v="Santa Ana"/>
        <s v="Milwaukee"/>
        <s v="Belleville"/>
        <s v="Louisville"/>
        <s v="Lorain"/>
        <s v="Linden"/>
        <s v="Salinas"/>
        <s v="New Brunswick"/>
        <s v="Norwich"/>
        <s v="Riverside"/>
        <s v="Round Rock"/>
        <s v="Virginia Beach"/>
        <s v="Murrieta"/>
        <s v="Saint Peters"/>
        <s v="Toledo"/>
        <s v="Brownsville"/>
        <s v="Oakland"/>
        <s v="Clinton"/>
        <s v="Roswell"/>
        <s v="La Porte"/>
        <s v="Lansing"/>
        <s v="Escondido"/>
        <s v="Buffalo"/>
        <s v="Gulfport"/>
        <s v="Fresno"/>
        <s v="Greenville"/>
        <s v="Florence"/>
        <s v="Providence"/>
        <s v="Pueblo"/>
        <s v="Deltona"/>
        <s v="Murray"/>
        <s v="Middletown"/>
        <s v="Pico Rivera"/>
        <s v="Smyrna"/>
        <s v="Costa Mesa"/>
        <s v="Parma"/>
        <s v="Mobile"/>
        <s v="Irving"/>
        <s v="Vineland"/>
        <s v="Niagara Falls"/>
        <s v="Thomasville"/>
        <s v="Coppell"/>
        <s v="Laguna Niguel"/>
        <s v="Bridgeton"/>
        <s v="Everett"/>
        <s v="Allen"/>
        <s v="El Paso"/>
        <s v="Grapevine"/>
        <s v="Olympia"/>
        <s v="Kent"/>
        <s v="Lafayette"/>
        <s v="Tigard"/>
        <s v="Washington"/>
        <s v="Skokie"/>
        <s v="North Las Vegas"/>
        <s v="Suffolk"/>
        <s v="Indianapolis"/>
        <s v="Greensboro"/>
        <s v="Kenosha"/>
        <s v="Olathe"/>
        <s v="Tulsa"/>
        <s v="Raleigh"/>
        <s v="Macon"/>
        <s v="Bowling Green"/>
        <s v="Spokane"/>
        <s v="Charlottesville"/>
        <s v="Watertown"/>
        <s v="Broomfield"/>
        <s v="Perth Amboy"/>
        <s v="Ontario"/>
        <s v="Baltimore"/>
        <s v="Boynton Beach"/>
        <s v="Stockton"/>
        <s v="College Station"/>
        <s v="Saint Louis"/>
        <s v="Manteca"/>
        <s v="Salt Lake City"/>
        <s v="Marion"/>
        <s v="Littleton"/>
        <s v="Sioux Falls"/>
        <s v="Fort Collins"/>
        <s v="Clarksville"/>
        <s v="Albuquerque"/>
        <s v="Elmhurst"/>
        <s v="Jamestown"/>
        <s v="Mishawaka"/>
        <s v="La Quinta"/>
        <s v="Carrollton"/>
        <s v="Amarillo"/>
        <s v="Vallejo"/>
        <s v="Tallahassee"/>
        <s v="Las Cruces"/>
        <s v="Encinitas"/>
        <s v="Hoover"/>
        <s v="Lake Charles"/>
        <s v="Glendale"/>
        <s v="Lincoln Park"/>
        <s v="Apple Valley"/>
        <s v="Highland Park"/>
        <s v="Conroe"/>
        <s v="Plano"/>
        <s v="Mesquite"/>
        <s v="Mcallen"/>
        <s v="Rockford"/>
        <s v="Daytona Beach"/>
        <s v="Oklahoma City"/>
        <s v="Lehi"/>
        <s v="Omaha"/>
        <s v="Cranston"/>
        <s v="Arlington Heights"/>
      </sharedItems>
    </cacheField>
    <cacheField name="State2" numFmtId="0">
      <sharedItems count="4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aryland"/>
        <s v="District of Columbia"/>
        <s v="Kansas"/>
        <s v="New Hampshire"/>
        <s v="South Dakota"/>
      </sharedItems>
    </cacheField>
    <cacheField name="Postal Code" numFmtId="180">
      <sharedItems containsSemiMixedTypes="0" containsString="0" containsNumber="1" containsInteger="1" minValue="1841" maxValue="99207" count="314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38109"/>
        <n v="35601"/>
        <n v="94122"/>
        <n v="27707"/>
        <n v="6062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95051"/>
        <n v="55044"/>
        <n v="92037"/>
        <n v="77506"/>
        <n v="94513"/>
        <n v="27514"/>
        <n v="45231"/>
        <n v="94110"/>
        <n v="90301"/>
        <n v="33319"/>
        <n v="80906"/>
        <n v="8701"/>
        <n v="22204"/>
        <n v="80004"/>
        <n v="7601"/>
        <n v="33710"/>
        <n v="19143"/>
        <n v="90805"/>
        <n v="92345"/>
        <n v="37130"/>
        <n v="1852"/>
        <n v="31907"/>
        <n v="6040"/>
        <n v="78550"/>
        <n v="85705"/>
        <n v="62301"/>
        <n v="2038"/>
        <n v="48180"/>
        <n v="33024"/>
        <n v="98198"/>
        <n v="61604"/>
        <n v="89115"/>
        <n v="2886"/>
        <n v="33180"/>
        <n v="92646"/>
        <n v="1841"/>
        <n v="39212"/>
        <n v="10801"/>
        <n v="28052"/>
        <n v="32216"/>
        <n v="77070"/>
        <n v="47201"/>
        <n v="13021"/>
        <n v="94521"/>
        <n v="60068"/>
        <n v="11757"/>
        <n v="92024"/>
        <n v="77340"/>
        <n v="14609"/>
        <n v="72701"/>
        <n v="80134"/>
        <n v="30318"/>
        <n v="64118"/>
        <n v="48234"/>
        <n v="33801"/>
        <n v="36116"/>
        <n v="85204"/>
        <n v="60653"/>
        <n v="54302"/>
        <n v="45503"/>
        <n v="28403"/>
        <n v="33614"/>
        <n v="90008"/>
        <n v="98270"/>
        <n v="40475"/>
        <n v="97301"/>
        <n v="78041"/>
        <n v="75217"/>
        <n v="43123"/>
        <n v="10011"/>
        <n v="48126"/>
        <n v="31088"/>
        <n v="92691"/>
        <n v="48307"/>
        <n v="98661"/>
        <n v="60505"/>
        <n v="75081"/>
        <n v="44105"/>
        <n v="75701"/>
        <n v="27217"/>
        <n v="22980"/>
        <n v="19013"/>
        <n v="27511"/>
        <n v="32137"/>
        <n v="10550"/>
        <n v="33012"/>
        <n v="78745"/>
        <n v="11572"/>
        <n v="60201"/>
        <n v="48183"/>
        <n v="55016"/>
        <n v="71111"/>
        <n v="50315"/>
        <n v="93534"/>
        <n v="28806"/>
        <n v="92530"/>
        <n v="92105"/>
        <n v="92704"/>
        <n v="53209"/>
        <n v="7109"/>
        <n v="40214"/>
        <n v="44052"/>
        <n v="7036"/>
        <n v="93905"/>
        <n v="8901"/>
        <n v="17602"/>
        <n v="21044"/>
        <n v="49201"/>
        <n v="6360"/>
        <n v="92503"/>
        <n v="78664"/>
        <n v="92054"/>
        <n v="80027"/>
        <n v="23464"/>
        <n v="92563"/>
        <n v="63376"/>
        <n v="43615"/>
        <n v="78521"/>
        <n v="94601"/>
        <n v="20735"/>
        <n v="30076"/>
        <n v="46350"/>
        <n v="48911"/>
        <n v="92025"/>
        <n v="14215"/>
        <n v="39503"/>
        <n v="93727"/>
        <n v="27834"/>
        <n v="35630"/>
        <n v="2908"/>
        <n v="81001"/>
        <n v="94533"/>
        <n v="32725"/>
        <n v="42071"/>
        <n v="6457"/>
        <n v="28540"/>
        <n v="90660"/>
        <n v="30080"/>
        <n v="24153"/>
        <n v="92627"/>
        <n v="44134"/>
        <n v="36608"/>
        <n v="75061"/>
        <n v="8360"/>
        <n v="14304"/>
        <n v="27360"/>
        <n v="75019"/>
        <n v="92677"/>
        <n v="8302"/>
        <n v="2149"/>
        <n v="11561"/>
        <n v="75002"/>
        <n v="79907"/>
        <n v="76051"/>
        <n v="98502"/>
        <n v="98031"/>
        <n v="70506"/>
        <n v="97224"/>
        <n v="20016"/>
        <n v="60076"/>
        <n v="89031"/>
        <n v="23434"/>
        <n v="46203"/>
        <n v="27405"/>
        <n v="53142"/>
        <n v="66062"/>
        <n v="74133"/>
        <n v="27604"/>
        <n v="31204"/>
        <n v="42104"/>
        <n v="99207"/>
        <n v="22901"/>
        <n v="13601"/>
        <n v="76017"/>
        <n v="80020"/>
        <n v="36830"/>
        <n v="8861"/>
        <n v="91761"/>
        <n v="21215"/>
        <n v="33437"/>
        <n v="95207"/>
        <n v="3820"/>
        <n v="77840"/>
        <n v="63116"/>
        <n v="95336"/>
        <n v="44240"/>
        <n v="84106"/>
        <n v="35810"/>
        <n v="43302"/>
        <n v="80122"/>
        <n v="28110"/>
        <n v="85345"/>
        <n v="57103"/>
        <n v="80525"/>
        <n v="37042"/>
        <n v="87105"/>
        <n v="60126"/>
        <n v="28314"/>
        <n v="14701"/>
        <n v="46544"/>
        <n v="92253"/>
        <n v="75007"/>
        <n v="65807"/>
        <n v="79109"/>
        <n v="43130"/>
        <n v="94591"/>
        <n v="32303"/>
        <n v="84107"/>
        <n v="88001"/>
        <n v="35244"/>
        <n v="70601"/>
        <n v="85301"/>
        <n v="48146"/>
        <n v="92307"/>
        <n v="60035"/>
        <n v="77301"/>
        <n v="75023"/>
        <n v="75150"/>
        <n v="19711"/>
        <n v="2169"/>
        <n v="78501"/>
        <n v="61107"/>
        <n v="38301"/>
        <n v="32114"/>
        <n v="73120"/>
        <n v="84043"/>
        <n v="44107"/>
        <n v="68104"/>
        <n v="3301"/>
        <n v="2920"/>
        <n v="52601"/>
        <n v="60004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183">
      <sharedItems count="641">
        <s v="FUR-BO-10001798"/>
        <s v="OFF-LA-10000240"/>
        <s v="FUR-TA-10000577"/>
        <s v="FUR-FU-10001487"/>
        <s v="OFF-PA-10002365"/>
        <s v="OFF-BI-10003656"/>
        <s v="OFF-AP-10002311"/>
        <s v="OFF-ST-10004186"/>
        <s v="OFF-ST-10000107"/>
        <s v="OFF-AR-10003056"/>
        <s v="OFF-AR-10000246"/>
        <s v="FUR-CH-10002774"/>
        <s v="OFF-BI-10001634"/>
        <s v="FUR-BO-10004834"/>
        <s v="OFF-PA-10000249"/>
        <s v="TEC-PH-10004977"/>
        <s v="OFF-EN-10002986"/>
        <s v="TEC-PH-10004093"/>
        <s v="OFF-ST-10003479"/>
        <s v="OFF-ST-10003282"/>
        <s v="TEC-AC-10000171"/>
        <s v="OFF-ST-10001713"/>
        <s v="TEC-AC-10002167"/>
        <s v="OFF-BI-10004410"/>
        <s v="OFF-FA-10000304"/>
        <s v="OFF-ST-10000604"/>
        <s v="TEC-AC-10004633"/>
        <s v="FUR-CH-10001146"/>
        <s v="OFF-AR-10002671"/>
        <s v="OFF-PA-10000482"/>
        <s v="OFF-BI-10004654"/>
        <s v="FUR-CH-10000513"/>
        <s v="OFF-BI-10004182"/>
        <s v="OFF-AP-10002118"/>
        <s v="OFF-AR-10002053"/>
        <s v="OFF-EN-10000927"/>
        <s v="OFF-ST-10003656"/>
        <s v="TEC-AC-10001998"/>
        <s v="OFF-ST-10003442"/>
        <s v="OFF-AR-10004930"/>
        <s v="OFF-PA-10003177"/>
        <s v="OFF-BI-10004738"/>
        <s v="FUR-FU-10000629"/>
        <s v="OFF-BI-10001721"/>
        <s v="OFF-AP-10000358"/>
        <s v="OFF-PA-10003256"/>
        <s v="OFF-PA-10004040"/>
        <s v="TEC-AC-10001552"/>
        <s v="TEC-AC-10003499"/>
        <s v="TEC-AC-10000844"/>
        <s v="FUR-FU-10001934"/>
        <s v="OFF-AR-10000380"/>
        <s v="OFF-FA-10000621"/>
        <s v="FUR-TA-10001768"/>
        <s v="OFF-BI-10003650"/>
        <s v="FUR-FU-10002157"/>
        <s v="FUR-CH-10004063"/>
        <s v="FUR-TA-10004534"/>
        <s v="OFF-BI-10003274"/>
        <s v="TEC-PH-10002293"/>
        <s v="OFF-PA-10001804"/>
        <s v="FUR-FU-10004848"/>
        <s v="OFF-AR-10000940"/>
        <s v="OFF-AP-10001058"/>
        <s v="FUR-FU-10000521"/>
        <s v="TEC-PH-10000215"/>
        <s v="OFF-AP-10000326"/>
        <s v="OFF-PA-10001950"/>
        <s v="OFF-AR-10001547"/>
        <s v="OFF-LA-10002475"/>
        <s v="OFF-PA-10002751"/>
        <s v="TEC-AC-10003657"/>
        <s v="OFF-EN-10001990"/>
        <s v="OFF-BI-10004002"/>
        <s v="OFF-AR-10004441"/>
        <s v="OFF-PA-10000659"/>
        <s v="OFF-AP-10000891"/>
        <s v="OFF-AP-10002684"/>
        <s v="OFF-AR-10001940"/>
        <s v="OFF-ST-10003455"/>
        <s v="TEC-PH-10003273"/>
        <s v="OFF-BI-10001890"/>
        <s v="TEC-AC-10002323"/>
        <s v="OFF-ST-10001328"/>
        <s v="FUR-BO-10002613"/>
        <s v="OFF-EN-10001509"/>
        <s v="OFF-AR-10004685"/>
        <s v="OFF-ST-10001414"/>
        <s v="OFF-BI-10000343"/>
        <s v="OFF-PA-10002666"/>
        <s v="FUR-TA-10004289"/>
        <s v="OFF-AP-10003217"/>
        <s v="FUR-FU-10002960"/>
        <s v="TEC-PH-10001918"/>
        <s v="OFF-ST-10000642"/>
        <s v="TEC-AC-10001266"/>
        <s v="OFF-LA-10004544"/>
        <s v="OFF-FA-10000585"/>
        <s v="OFF-AR-10001026"/>
        <s v="FUR-CH-10004860"/>
        <s v="OFF-BI-10001679"/>
        <s v="OFF-PA-10002479"/>
        <s v="OFF-PA-10003349"/>
        <s v="FUR-CH-10002965"/>
        <s v="OFF-PA-10004569"/>
        <s v="OFF-ST-10001228"/>
        <s v="FUR-FU-10002505"/>
        <s v="TEC-AC-10000290"/>
        <s v="OFF-AP-10002203"/>
        <s v="TEC-MA-10000822"/>
        <s v="TEC-PH-10001433"/>
        <s v="TEC-AC-10004469"/>
        <s v="OFF-AR-10003602"/>
        <s v="OFF-ST-10004180"/>
        <s v="OFF-ST-10003208"/>
        <s v="OFF-PA-10002615"/>
        <s v="OFF-PA-10000673"/>
        <s v="FUR-TA-10002903"/>
        <s v="OFF-BI-10000778"/>
        <s v="OFF-FA-10002983"/>
        <s v="FUR-FU-10004091"/>
        <s v="FUR-FU-10002671"/>
        <s v="OFF-BI-10001072"/>
        <s v="OFF-AR-10002804"/>
        <s v="FUR-FU-10001918"/>
        <s v="FUR-FU-10001588"/>
        <s v="TEC-PH-10002398"/>
        <s v="OFF-AR-10003373"/>
        <s v="FUR-CH-10002602"/>
        <s v="OFF-FA-10000624"/>
        <s v="OFF-BI-10004593"/>
        <s v="FUR-FU-10001967"/>
        <s v="TEC-PH-10003645"/>
        <s v="TEC-PH-10004614"/>
        <s v="OFF-BI-10001922"/>
        <s v="OFF-BI-10003314"/>
        <s v="OFF-AR-10004027"/>
        <s v="FUR-BO-10002268"/>
        <s v="OFF-AP-10001124"/>
        <s v="OFF-LA-10001158"/>
        <s v="OFF-BI-10002412"/>
        <s v="OFF-PA-10002036"/>
        <s v="OFF-BI-10001982"/>
        <s v="OFF-PA-10003039"/>
        <s v="FUR-TA-10004915"/>
        <s v="OFF-AP-10000696"/>
        <s v="OFF-PA-10004734"/>
        <s v="TEC-AC-10004708"/>
        <s v="FUR-TA-10000617"/>
        <s v="TEC-MA-10001681"/>
        <s v="OFF-AR-10004757"/>
        <s v="OFF-BI-10000050"/>
        <s v="TEC-PH-10003012"/>
        <s v="OFF-BI-10003982"/>
        <s v="OFF-BI-10004492"/>
        <s v="OFF-ST-10000798"/>
        <s v="OFF-ST-10001580"/>
        <s v="OFF-PA-10001947"/>
        <s v="OFF-AP-10004249"/>
        <s v="TEC-AC-10000158"/>
        <s v="OFF-PA-10000157"/>
        <s v="OFF-AR-10004344"/>
        <s v="FUR-CH-10004886"/>
        <s v="FUR-FU-10004712"/>
        <s v="FUR-CH-10000015"/>
        <s v="TEC-MA-10000029"/>
        <s v="OFF-AR-10000369"/>
        <s v="OFF-BI-10004584"/>
        <s v="OFF-BI-10000773"/>
        <s v="TEC-MA-10002937"/>
        <s v="OFF-PA-10002230"/>
        <s v="FUR-FU-10000206"/>
        <s v="OFF-AR-10000588"/>
        <s v="FUR-TA-10001539"/>
        <s v="FUR-CH-10000225"/>
        <s v="FUR-FU-10000023"/>
        <s v="FUR-FU-10002918"/>
        <s v="OFF-PA-10004071"/>
        <s v="OFF-ST-10002743"/>
        <s v="OFF-AR-10003045"/>
        <s v="TEC-AC-10001445"/>
        <s v="OFF-LA-10003923"/>
        <s v="TEC-PH-10001363"/>
        <s v="TEC-PH-10000376"/>
        <s v="OFF-ST-10001809"/>
        <s v="TEC-AC-10000991"/>
        <s v="FUR-TA-10001857"/>
        <s v="OFF-EN-10001434"/>
        <s v="OFF-BI-10001670"/>
        <s v="OFF-AR-10001662"/>
        <s v="FUR-FU-10001290"/>
        <s v="OFF-AR-10003811"/>
        <s v="OFF-FA-10002815"/>
        <s v="FUR-CH-10003379"/>
        <s v="OFF-ST-10004963"/>
        <s v="FUR-CH-10000595"/>
        <s v="FUR-FU-10000448"/>
        <s v="TEC-PH-10000984"/>
        <s v="OFF-ST-10001325"/>
        <s v="OFF-BI-10002429"/>
        <s v="OFF-AP-10001271"/>
        <s v="TEC-AC-10001432"/>
        <s v="OFF-BI-10000404"/>
        <s v="FUR-CH-10002024"/>
        <s v="OFF-FA-10004248"/>
        <s v="OFF-AR-10003560"/>
        <s v="OFF-LA-10001297"/>
        <s v="FUR-FU-10003347"/>
        <s v="OFF-AP-10003914"/>
        <s v="OFF-FA-10003467"/>
        <s v="TEC-PH-10002496"/>
        <s v="OFF-PA-10004530"/>
        <s v="OFF-AR-10003394"/>
        <s v="OFF-ST-10002974"/>
        <s v="OFF-SU-10004498"/>
        <s v="FUR-CH-10003956"/>
        <s v="TEC-PH-10003800"/>
        <s v="OFF-AR-10004078"/>
        <s v="OFF-AP-10004708"/>
        <s v="OFF-SU-10004115"/>
        <s v="TEC-PH-10001425"/>
        <s v="OFF-ST-10001490"/>
        <s v="OFF-BI-10000848"/>
        <s v="OFF-PA-10001204"/>
        <s v="TEC-PH-10000011"/>
        <s v="FUR-FU-10003849"/>
        <s v="OFF-BI-10002103"/>
        <s v="FUR-CH-10004853"/>
        <s v="FUR-FU-10000221"/>
        <s v="OFF-AP-10001563"/>
        <s v="OFF-ST-10001963"/>
        <s v="FUR-CH-10001482"/>
        <s v="OFF-BI-10001989"/>
        <s v="FUR-FU-10000732"/>
        <s v="OFF-ST-10000585"/>
        <s v="TEC-AC-10003832"/>
        <s v="OFF-AP-10002457"/>
        <s v="FUR-FU-10001935"/>
        <s v="OFF-AP-10002439"/>
        <s v="FUR-CH-10001215"/>
        <s v="OFF-ST-10001522"/>
        <s v="OFF-SU-10004231"/>
        <s v="FUR-FU-10003096"/>
        <s v="OFF-AP-10004532"/>
        <s v="OFF-AP-10000804"/>
        <s v="OFF-BI-10003305"/>
        <s v="TEC-MA-10004125"/>
        <s v="TEC-AC-10003911"/>
        <s v="FUR-BO-10004015"/>
        <s v="FUR-FU-10004071"/>
        <s v="TEC-AC-10002253"/>
        <s v="FUR-TA-10002774"/>
        <s v="OFF-PA-10001800"/>
        <s v="TEC-AC-10003628"/>
        <s v="OFF-EN-10001219"/>
        <s v="OFF-AP-10001154"/>
        <s v="FUR-FU-10000010"/>
        <s v="OFF-BI-10001658"/>
        <s v="OFF-PA-10004092"/>
        <s v="FUR-FU-10000222"/>
        <s v="OFF-SU-10004664"/>
        <s v="OFF-EN-10001141"/>
        <s v="OFF-PA-10001954"/>
        <s v="OFF-ST-10000736"/>
        <s v="OFF-LA-10003223"/>
        <s v="TEC-PH-10000004"/>
        <s v="OFF-BI-10003638"/>
        <s v="TEC-CO-10002095"/>
        <s v="OFF-ST-10002444"/>
        <s v="OFF-PA-10002377"/>
        <s v="TEC-PH-10003931"/>
        <s v="FUR-FU-10004306"/>
        <s v="OFF-BI-10001036"/>
        <s v="OFF-AR-10003405"/>
        <s v="OFF-BI-10001098"/>
        <s v="FUR-CH-10004675"/>
        <s v="TEC-PH-10001530"/>
        <s v="OFF-LA-10001569"/>
        <s v="OFF-BI-10000546"/>
        <s v="FUR-CH-10002647"/>
        <s v="FUR-FU-10004090"/>
        <s v="OFF-PA-10003953"/>
        <s v="FUR-FU-10000794"/>
        <s v="OFF-PA-10000061"/>
        <s v="TEC-AC-10002402"/>
        <s v="TEC-AC-10003441"/>
        <s v="OFF-PA-10001560"/>
        <s v="OFF-AR-10004648"/>
        <s v="OFF-BI-10001294"/>
        <s v="TEC-PH-10001552"/>
        <s v="FUR-FU-10003878"/>
        <s v="TEC-AC-10000710"/>
        <s v="OFF-AR-10002335"/>
        <s v="OFF-PA-10001019"/>
        <s v="OFF-SU-10001225"/>
        <s v="OFF-LA-10004272"/>
        <s v="OFF-LA-10004853"/>
        <s v="OFF-BI-10003719"/>
        <s v="OFF-BI-10000545"/>
        <s v="OFF-PA-10004470"/>
        <s v="OFF-BI-10003712"/>
        <s v="FUR-FU-10001424"/>
        <s v="OFF-BI-10002071"/>
        <s v="OFF-BI-10001078"/>
        <s v="OFF-ST-10002205"/>
        <s v="OFF-EN-10001099"/>
        <s v="OFF-PA-10002250"/>
        <s v="OFF-BI-10004716"/>
        <s v="TEC-PH-10001494"/>
        <s v="OFF-EN-10000056"/>
        <s v="TEC-AC-10002473"/>
        <s v="OFF-PA-10003543"/>
        <s v="OFF-AR-10000658"/>
        <s v="OFF-PA-10002195"/>
        <s v="OFF-PA-10001745"/>
        <s v="OFF-PA-10000289"/>
        <s v="OFF-PA-10000350"/>
        <s v="FUR-FU-10001940"/>
        <s v="OFF-AR-10001958"/>
        <s v="TEC-PH-10002923"/>
        <s v="FUR-FU-10004188"/>
        <s v="OFF-BI-10000145"/>
        <s v="OFF-LA-10004055"/>
        <s v="OFF-AR-10000034"/>
        <s v="OFF-BI-10004022"/>
        <s v="FUR-CH-10004086"/>
        <s v="OFF-BI-10003925"/>
        <s v="OFF-EN-10003862"/>
        <s v="OFF-ST-10000046"/>
        <s v="OFF-EN-10002600"/>
        <s v="FUR-FU-10001602"/>
        <s v="FUR-TA-10003748"/>
        <s v="FUR-FU-10002191"/>
        <s v="OFF-BI-10000320"/>
        <s v="OFF-PA-10001166"/>
        <s v="OFF-PA-10000955"/>
        <s v="OFF-BI-10003707"/>
        <s v="OFF-AR-10000203"/>
        <s v="FUR-TA-10001095"/>
        <s v="TEC-AC-10004761"/>
        <s v="OFF-AR-10001130"/>
        <s v="FUR-FU-10000293"/>
        <s v="OFF-AR-10000716"/>
        <s v="OFF-FA-10001754"/>
        <s v="OFF-AP-10002350"/>
        <s v="OFF-SU-10001935"/>
        <s v="OFF-AR-10003732"/>
        <s v="OFF-PA-10001970"/>
        <s v="OFF-BI-10003669"/>
        <s v="OFF-BI-10003727"/>
        <s v="OFF-AR-10000255"/>
        <s v="OFF-AP-10002191"/>
        <s v="OFF-PA-10000349"/>
        <s v="TEC-PH-10004896"/>
        <s v="OFF-PA-10000605"/>
        <s v="OFF-ST-10004340"/>
        <s v="OFF-AR-10001545"/>
        <s v="OFF-PA-10001892"/>
        <s v="OFF-LA-10003766"/>
        <s v="OFF-EN-10002831"/>
        <s v="OFF-AP-10003849"/>
        <s v="OFF-AP-10000576"/>
        <s v="OFF-AR-10004042"/>
        <s v="TEC-PH-10004700"/>
        <s v="OFF-LA-10004425"/>
        <s v="TEC-AC-10003174"/>
        <s v="OFF-BI-10004656"/>
        <s v="TEC-PH-10002660"/>
        <s v="OFF-ST-10004634"/>
        <s v="TEC-CO-10001046"/>
        <s v="FUR-FU-10003691"/>
        <s v="OFF-EN-10004955"/>
        <s v="FUR-TA-10004619"/>
        <s v="OFF-AR-10003958"/>
        <s v="TEC-PH-10004586"/>
        <s v="OFF-BI-10004236"/>
        <s v="OFF-AR-10000422"/>
        <s v="OFF-PA-10002870"/>
        <s v="OFF-AR-10004022"/>
        <s v="OFF-ST-10000617"/>
        <s v="FUR-FU-10000397"/>
        <s v="OFF-AP-10004487"/>
        <s v="TEC-PH-10003555"/>
        <s v="FUR-BO-10003433"/>
        <s v="FUR-FU-10002554"/>
        <s v="OFF-PA-10003072"/>
        <s v="OFF-AP-10004859"/>
        <s v="OFF-PA-10002659"/>
        <s v="OFF-ST-10001321"/>
        <s v="OFF-PA-10004156"/>
        <s v="OFF-AR-10002818"/>
        <s v="TEC-PH-10000347"/>
        <s v="OFF-BI-10002012"/>
        <s v="OFF-ST-10002574"/>
        <s v="FUR-FU-10003724"/>
        <s v="FUR-FU-10004018"/>
        <s v="TEC-MA-10002178"/>
        <s v="FUR-CH-10002880"/>
        <s v="OFF-PA-10003641"/>
        <s v="FUR-CH-10002961"/>
        <s v="OFF-AR-10002956"/>
        <s v="TEC-AC-10004510"/>
        <s v="FUR-FU-10003394"/>
        <s v="OFF-ST-10002344"/>
        <s v="OFF-AR-10003514"/>
        <s v="TEC-PH-10003988"/>
        <s v="FUR-TA-10002356"/>
        <s v="OFF-BI-10002867"/>
        <s v="TEC-AC-10000580"/>
        <s v="TEC-PH-10002922"/>
        <s v="OFF-PA-10000501"/>
        <s v="OFF-BI-10002949"/>
        <s v="OFF-PA-10001639"/>
        <s v="OFF-BI-10001510"/>
        <s v="OFF-PA-10002713"/>
        <s v="OFF-BI-10004352"/>
        <s v="OFF-PA-10001685"/>
        <s v="OFF-BI-10000977"/>
        <s v="OFF-AR-10003770"/>
        <s v="OFF-SU-10000381"/>
        <s v="OFF-FA-10003021"/>
        <s v="TEC-PH-10003580"/>
        <s v="OFF-LA-10000452"/>
        <s v="OFF-PA-10001838"/>
        <s v="FUR-FU-10002885"/>
        <s v="OFF-AR-10003759"/>
        <s v="OFF-AR-10001868"/>
        <s v="OFF-BI-10003708"/>
        <s v="OFF-AR-10001419"/>
        <s v="FUR-FU-10002253"/>
        <s v="OFF-ST-10000419"/>
        <s v="TEC-PH-10000439"/>
        <s v="OFF-BI-10004230"/>
        <s v="OFF-PA-10000806"/>
        <s v="OFF-EN-10003134"/>
        <s v="OFF-PA-10004000"/>
        <s v="TEC-AC-10003038"/>
        <s v="TEC-PH-10000169"/>
        <s v="OFF-ST-10002406"/>
        <s v="OFF-AR-10001221"/>
        <s v="TEC-PH-10004830"/>
        <s v="FUR-BO-10000362"/>
        <s v="FUR-FU-10002937"/>
        <s v="FUR-CH-10001270"/>
        <s v="OFF-PA-10002689"/>
        <s v="OFF-FA-10003112"/>
        <s v="OFF-PA-10004475"/>
        <s v="TEC-PH-10004922"/>
        <s v="OFF-BI-10004330"/>
        <s v="TEC-AC-10001013"/>
        <s v="OFF-LA-10003930"/>
        <s v="OFF-PA-10000176"/>
        <s v="OFF-PA-10000575"/>
        <s v="FUR-FU-10004020"/>
        <s v="OFF-FA-10001843"/>
        <s v="OFF-LA-10003077"/>
        <s v="FUR-TA-10001307"/>
        <s v="OFF-LA-10000262"/>
        <s v="OFF-SU-10002573"/>
        <s v="TEC-PH-10001819"/>
        <s v="OFF-ST-10000777"/>
        <s v="TEC-PH-10004897"/>
        <s v="FUR-FU-10001861"/>
        <s v="OFF-AP-10001394"/>
        <s v="TEC-PH-10002624"/>
        <s v="OFF-PA-10000019"/>
        <s v="FUR-CH-10000988"/>
        <s v="TEC-AC-10003027"/>
        <s v="FUR-TA-10004575"/>
        <s v="OFF-AR-10002067"/>
        <s v="FUR-TA-10004767"/>
        <s v="OFF-AR-10001446"/>
        <s v="OFF-BI-10001359"/>
        <s v="FUR-FU-10001037"/>
        <s v="OFF-BI-10003091"/>
        <s v="TEC-PH-10004345"/>
        <s v="OFF-BI-10002082"/>
        <s v="OFF-BI-10001249"/>
        <s v="TEC-CO-10001449"/>
        <s v="OFF-AP-10002534"/>
        <s v="TEC-AC-10001767"/>
        <s v="TEC-AC-10001606"/>
        <s v="FUR-CH-10001854"/>
        <s v="OFF-BI-10002976"/>
        <s v="OFF-BI-10000301"/>
        <s v="OFF-BI-10002954"/>
        <s v="OFF-PA-10004082"/>
        <s v="OFF-BI-10004094"/>
        <s v="FUR-CH-10002372"/>
        <s v="OFF-PA-10004888"/>
        <s v="OFF-PA-10002222"/>
        <s v="OFF-AP-10000124"/>
        <s v="FUR-FU-10002364"/>
        <s v="FUR-CH-10001973"/>
        <s v="TEC-AC-10001772"/>
        <s v="OFF-PA-10004359"/>
        <s v="OFF-BI-10004506"/>
        <s v="OFF-PA-10000740"/>
        <s v="TEC-AC-10002345"/>
        <s v="TEC-PH-10001079"/>
        <s v="OFF-AR-10003469"/>
        <s v="TEC-PH-10001578"/>
        <s v="FUR-BO-10002202"/>
        <s v="OFF-BI-10003527"/>
        <s v="OFF-PA-10004285"/>
        <s v="OFF-FA-10002280"/>
        <s v="OFF-PA-10003919"/>
        <s v="OFF-PA-10002001"/>
        <s v="FUR-CH-10003833"/>
        <s v="OFF-PA-10003971"/>
        <s v="FUR-TA-10001950"/>
        <s v="FUR-CH-10001394"/>
        <s v="OFF-LA-10004093"/>
        <s v="OFF-EN-10004147"/>
        <s v="FUR-BO-10002545"/>
        <s v="OFF-AP-10002403"/>
        <s v="OFF-PA-10004255"/>
        <s v="OFF-AR-10003631"/>
        <s v="OFF-BI-10004187"/>
        <s v="TEC-AC-10002842"/>
        <s v="FUR-CH-10002439"/>
        <s v="FUR-TA-10000849"/>
        <s v="OFF-PA-10001763"/>
        <s v="FUR-FU-10002107"/>
        <s v="FUR-TA-10000198"/>
        <s v="TEC-PH-10001835"/>
        <s v="TEC-PH-10002885"/>
        <s v="OFF-LA-10000248"/>
        <s v="FUR-FU-10002759"/>
        <s v="TEC-AC-10003116"/>
        <s v="TEC-AC-10004145"/>
        <s v="OFF-BI-10000591"/>
        <s v="FUR-CH-10002304"/>
        <s v="OFF-PA-10001972"/>
        <s v="TEC-CO-10004722"/>
        <s v="FUR-FU-10000076"/>
        <s v="OFF-PA-10000697"/>
        <s v="OFF-BI-10003460"/>
        <s v="OFF-PA-10001144"/>
        <s v="OFF-PA-10000357"/>
        <s v="OFF-BI-10001116"/>
        <s v="OFF-PA-10003465"/>
        <s v="OFF-LA-10004689"/>
        <s v="FUR-FU-10004671"/>
        <s v="OFF-BI-10001553"/>
        <s v="OFF-AR-10003251"/>
        <s v="FUR-FU-10004270"/>
        <s v="OFF-PA-10002893"/>
        <s v="OFF-AP-10001242"/>
        <s v="OFF-FA-10004395"/>
        <s v="OFF-BI-10003784"/>
        <s v="FUR-FU-10003832"/>
        <s v="OFF-PA-10002581"/>
        <s v="FUR-FU-10000771"/>
        <s v="OFF-PA-10003848"/>
        <s v="FUR-FU-10000755"/>
        <s v="OFF-AP-10003779"/>
        <s v="FUR-BO-10000468"/>
        <s v="TEC-PH-10002555"/>
        <s v="OFF-PA-10001307"/>
        <s v="OFF-ST-10000615"/>
        <s v="OFF-SU-10003505"/>
        <s v="OFF-PA-10002741"/>
        <s v="TEC-PH-10002200"/>
        <s v="FUR-FU-10004586"/>
        <s v="FUR-CH-10004495"/>
        <s v="OFF-PA-10001289"/>
        <s v="OFF-BI-10004040"/>
        <s v="OFF-AR-10003183"/>
        <s v="FUR-CH-10003774"/>
        <s v="TEC-PH-10004912"/>
        <s v="FUR-FU-10001473"/>
        <s v="OFF-BI-10000285"/>
        <s v="OFF-PA-10004609"/>
        <s v="OFF-AP-10004868"/>
        <s v="FUR-BO-10003966"/>
        <s v="OFF-ST-10004950"/>
        <s v="OFF-PA-10000474"/>
        <s v="OFF-PA-10004675"/>
        <s v="OFF-PA-10004101"/>
        <s v="TEC-PH-10000369"/>
        <s v="TEC-AC-10001838"/>
        <s v="OFF-PA-10002137"/>
        <s v="TEC-AC-10004864"/>
        <s v="OFF-ST-10000464"/>
        <s v="FUR-FU-10002445"/>
        <s v="OFF-PA-10002254"/>
        <s v="TEC-PH-10000673"/>
        <s v="OFF-ST-10003692"/>
        <s v="FUR-CH-10003606"/>
        <s v="FUR-FU-10004017"/>
        <s v="FUR-FU-10004006"/>
        <s v="OFF-PA-10002245"/>
        <s v="OFF-AP-10004036"/>
        <s v="OFF-SU-10000157"/>
        <s v="FUR-FU-10003798"/>
        <s v="FUR-BO-10002916"/>
        <s v="OFF-AR-10003087"/>
        <s v="FUR-CH-10004698"/>
        <s v="OFF-BI-10003676"/>
        <s v="TEC-PH-10002834"/>
        <s v="OFF-AR-10003582"/>
        <s v="TEC-AC-10001539"/>
        <s v="OFF-PA-10004965"/>
        <s v="OFF-BI-10000948"/>
        <s v="FUR-FU-10003930"/>
        <s v="TEC-AC-10003237"/>
        <s v="TEC-PH-10003215"/>
        <s v="OFF-PA-10003309"/>
        <s v="FUR-TA-10001520"/>
        <s v="OFF-EN-10004206"/>
        <s v="OFF-AR-10000390"/>
        <s v="FUR-CH-10004983"/>
        <s v="FUR-TA-10002041"/>
        <s v="OFF-PA-10004733"/>
        <s v="FUR-FU-10001215"/>
        <s v="OFF-AR-10003338"/>
        <s v="TEC-PH-10003356"/>
        <s v="FUR-CH-10004477"/>
        <s v="OFF-BI-10004781"/>
        <s v="TEC-AC-10004209"/>
        <s v="OFF-PA-10001870"/>
        <s v="FUR-BO-10004218"/>
        <s v="OFF-AP-10000938"/>
        <s v="FUR-FU-10001847"/>
        <s v="TEC-PH-10001795"/>
        <s v="OFF-BI-10002735"/>
        <s v="TEC-AC-10003033"/>
        <s v="FUR-FU-10003829"/>
        <s v="TEC-PH-10004100"/>
        <s v="OFF-ST-10001837"/>
        <s v="FUR-TA-10004152"/>
        <s v="OFF-BI-10004967"/>
        <s v="OFF-BI-10003963"/>
        <s v="TEC-PH-10001128"/>
        <s v="OFF-AR-10003217"/>
        <s v="FUR-FU-10000246"/>
        <s v="OFF-PA-10003892"/>
        <s v="OFF-AR-10004269"/>
        <s v="OFF-EN-10003160"/>
        <s v="OFF-AP-10003281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 count="633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High-Back Leather Manager's Chair"/>
        <s v="Economy Binders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 x 11"/>
        <s v="Kensington 7 Outlet MasterPiece HOMEOFFICE Power Control Center"/>
        <s v="Acco 7-Outlet Masterpiece Power Center, Wihtout Fax/Phone Line Protecti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Safco Commercial Shelving"/>
        <s v="Adjustable Depth Letter/Legal Cart"/>
        <s v="Ampad Gold Fibre Wirebound Steno Books, 6&quot; x 9&quot;, Gregg Ruled"/>
        <s v="Post-it Important Message Note Pad, Neon Colors, 50 Sheets/Pad"/>
        <s v="Bevis Round Bullnose 29&quot; High Table Top"/>
        <s v="GBC VeloBinder Electric Binding Machine"/>
        <s v="Advantus SlideClip Paper Clips"/>
        <s v="Howard Miller 13&quot; Diameter Goldtone Round Wall Clock"/>
        <s v="Electrix 20W Halogen Replacement Bulb for Zoom-In Desk Lamp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Snap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Super Decoflex Portable Personal File"/>
        <s v="Xerox 1974"/>
        <s v="Staple holder"/>
        <s v="Sony 64GB Class 10 Micro SDHC R40 Memory Card"/>
        <s v="Xerox 191"/>
        <s v="Bulldog Vacuum Base Pencil Sharpener"/>
        <s v="Bevis Steel Folding Chairs"/>
        <s v="Westinghouse Mesh Shade Clip-On Gooseneck Lamp, Black"/>
        <s v="Hon Multipurpose Stacking Arm Chairs"/>
        <s v="Epson WorkForce WF-2530 All-in-One Printer, Copier Scanner"/>
        <s v="Design Ebony Sketching Pencil"/>
        <s v="GBC ProClick 150 Presentation Binding System"/>
        <s v="Insertable Tab Post Binder Dividers"/>
        <s v="Canon Color ImageCLASS MF8580Cdw Wireless Laser All-In-One Printer, Copier, Scanner"/>
        <s v="Xerox 1897"/>
        <s v="GE General Purpose, Extra Long Life, Showcase &amp; Floodlight Incandescent Bulbs"/>
        <s v="Newell 345"/>
        <s v="Chromcraft Rectangular Conference Tables"/>
        <s v="Global Geo Office Task Chair, Gray"/>
        <s v="Eldon Wave Desk Accessories"/>
        <s v="Eldon ClusterMat Chair Mat with Cordless Antistatic Protection"/>
        <s v="Eaton Premium Continuous-Feed Paper, 25% Cotton, Letter Size, White, 1000 Shts/Box"/>
        <s v="SAFCO Boltless Steel Shelving"/>
        <s v="Prang Colored Pencils"/>
        <s v="Imation USB 2.0 Swivel Flash Drive USB flash drive 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Vinyl Sectional Post Binders"/>
        <s v="Rogers Handheld Barrel Pencil Sharpener"/>
        <s v="Executive Impressions Supervisor Wall Clock"/>
        <s v="Newell 327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Eureka The Boss Cordless Rechargeable Stick Vac"/>
        <s v="Enermax Aurora Lite Keyboard"/>
        <s v="Avery Printable Repositionable Plastic Tabs"/>
        <s v="HON 5400 Series Task Chairs for Big and Tall"/>
        <s v="Advantus T-Pin Paper Clips"/>
        <s v="Zebra Zazzle Fluorescent Highlighters"/>
        <s v="Avery 473"/>
        <s v="Coloredge Poster Frame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Tennsco Regal Shelving Units"/>
        <s v="Office Star - Mesh Screen back chair with Vinyl seat"/>
        <s v="Premium Transparent Presentation Covers by GBC"/>
        <s v="Eldon 200 Class Desk Accessories"/>
        <s v="Economy Rollaway Files"/>
        <s v="Imation 16GB Mini TravelDrive USB 2.0 Flash Drive"/>
        <s v="Eureka The Boss Plus 12-Amp Hard Box Upright Vacuum, Red"/>
        <s v="3M Hangers With Command Adhesive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Kensington 6 Outlet Guardian Standard Surge Protector"/>
        <s v="Hoover Portapower Portable Vacuum"/>
        <s v="Avery Hanging File Binders"/>
        <s v="Cubify CubeX 3D Printer Triple Head Print"/>
        <s v="NETGEAR AC1750 Dual Band Gigabit Smart WiFi Router"/>
        <s v="Bush Andora Bookcase, Maple/Graphite Gray Finish"/>
        <s v="Luxo Professional Magnifying Clamp-On Fluorescent Lamps"/>
        <s v="Imation Bio 8GB USB Flash Drive Imation Corp"/>
        <s v="Laminate Occasional Tables"/>
        <s v="Xerox 220"/>
        <s v="Logitech 910-002974 M325 Wireless Mouse for Web Scrolling"/>
        <s v="#10- 4 1/8&quot; x 9 1/2&quot; Security-Tint Envelopes"/>
        <s v="Bionaire Personal Warm Mist Humidifier/Vaporizer"/>
        <s v="DAX Value U-Channel Document Frames, Easel Back"/>
        <s v="GBC Standard Therm-A-Bind Covers"/>
        <s v="Tops Green Bar Computer Printout Paper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Avery 508"/>
        <s v="Belkin iPhone and iPad Lightning Cable"/>
        <s v="GBC Durable Plastic Covers"/>
        <s v="Hewlett Packard 610 Color Digital Copier / Printer"/>
        <s v="Recycled Eldon Regeneration Jumbo File"/>
        <s v="Adams Telephone Message Book W/Dividers/Space For Phone Numbers, 5 1/4&quot;X8 1/2&quot;, 200/Messages"/>
        <s v="JBL Micro Wireless Portable Bluetooth Speaker"/>
        <s v="Electrix Halogen Magnifier Lamp"/>
        <s v="Cardinal EasyOpen D-Ring Binders"/>
        <s v="Dixon My First Ticonderoga Pencil, #2"/>
        <s v="Acco D-Ring Binder w/DublLock"/>
        <s v="Lifetime Advantage Folding Chairs, 4/Carton"/>
        <s v="Cisco Unified IP Phone 7945G VoIP phone"/>
        <s v="Avery 499"/>
        <s v="Avery Durable Binders"/>
        <s v="Situations Contoured Folding Chairs, 4/Set"/>
        <s v="Executive Impressions 14&quot; Contract Wall Clock"/>
        <s v="Xerox 218"/>
        <s v="Eldon Stackable Tray, Side-Load, Legal, Smoke"/>
        <s v="Xerox 205"/>
        <s v="Razer Kraken PRO Over Ear PC and Music Headset"/>
        <s v="Kingston Digital DataTraveler 32GB USB 2.0"/>
        <s v="Adams Telephone Message Books, 5 1/4 x 11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Staple remover"/>
        <s v="Avery 482"/>
        <s v="Avery 483"/>
        <s v="Large Capacity Hanging Post Binders"/>
        <s v="GBC Ibimaster 500 Manual ProClick Binding System"/>
        <s v="Adams Write n' Stick Phone Message Book, 11&quot; X 5 1/4&quot;, 200 Messages"/>
        <s v="Acco Pressboard Covers with Storage Hooks, 14 7/8&quot; x 11&quot;, Light Blue"/>
        <s v="Dax Clear Box Frame"/>
        <s v="Fellowes Black Plastic Comb Bindings"/>
        <s v="Acco PRESSTEX Data Binder with Storage Hooks, Dark Blue, 14 7/8&quot; X 11&quot;"/>
        <s v="File Shuttle I and Handi-File"/>
        <s v="Things To Do Today Pad"/>
        <s v="Wilson Jones Hanging Recycled Pressboard Data Binders"/>
        <s v="Polycom CX600 IP Phone VoIP phone"/>
        <s v="Cameo Buff Policy Envelopes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Staple-based wall hangings"/>
        <s v="Stanley Bostitch Contemporary Electric Pencil Sharpeners"/>
        <s v="Logitech B530 USB Headset - headset - Full size, Binaural"/>
        <s v="Luxo Professional Combination Clamp-On Lamps"/>
        <s v="Zipper Ring Binder Pockets"/>
        <s v="Color-Coded Legal Exhibit Labels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Fellowes Super Stor/Drawer Files"/>
        <s v="Redi-Strip #10 Envelopes, 4 1/8 x 9 1/2"/>
        <s v="Eldon Delta Triangular Chair Mat, 52&quot; x 58&quot;, Clear"/>
        <s v="Bevis 36 x 72 Conference Tables"/>
        <s v="G.E. Halogen Desk Lamp Bulbs"/>
        <s v="GBC Plastic Binding Combs"/>
        <s v="Xerox 2"/>
        <s v="Southworth 25% Cotton Granite Paper &amp; Envelopes"/>
        <s v="Aluminum Screw Posts"/>
        <s v="Newell 336"/>
        <s v="Chromcraft Round Conference Tables"/>
        <s v="Maxell 4.7GB DVD 3/Pack"/>
        <s v="Quartet Alpha White Chalk, 12/Pack"/>
        <s v="Eldon Antistatic Chair Mats for Low to Medium Pile Carpets"/>
        <s v="DIXON Ticonderoga Erasable Checking Pencils"/>
        <s v="Stockwell Gold Paper Clips"/>
        <s v="Belkin F9H710-06 7 Outlet SurgeMaster Surge Protector"/>
        <s v="Newell 333"/>
        <s v="Xerox 1881"/>
        <s v="3M Organizer Strips"/>
        <s v="Avery Durable Slant Ring Binders With Label Holder"/>
        <s v="Newell 328"/>
        <s v="Belkin 8 Outlet SurgeMaster II Gold Surge Protector"/>
        <s v="Nokia Lumia 521 (T-Mobile)"/>
        <s v="Xerox 1950"/>
        <s v="Fellowes Mobile File Cart, Black"/>
        <s v="Newell 326"/>
        <s v="Rediform Wirebound &quot;Phone Memo&quot; Message Book, 11 x 5-3/4"/>
        <s v="Self-Adhesive Removable Labels"/>
        <s v="Xerox 1908"/>
        <s v="Tyvek  Top-Opening Peel &amp; Seel  Envelopes, Gray"/>
        <s v="Hoover Shoulder Vac Commercial Portable Vacuum"/>
        <s v="Belkin 325VA UPS Surge Protector, 6'"/>
        <s v="BOSTON Model 1800 Electric Pencil Sharpeners, Putty/Woodgrain"/>
        <s v="PowerGen Dual USB Car Charger"/>
        <s v="Staple-on labels"/>
        <s v="Plantronics S12 Corded Telephone Headset System"/>
        <s v="Peel &amp; Stick Add-On Corner Pockets"/>
        <s v="Nortel Networks T7316 E Nt8 B27"/>
        <s v="Personal Folder Holder, Ebony"/>
        <s v="Canon Imageclass D680 Copier / Fax"/>
        <s v="Eldon Image Series Desk Accessories, Ebony"/>
        <s v="Fashion Color Clasp Envelopes"/>
        <s v="Hon Non-Folding Utility Tables"/>
        <s v="Newell 337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Panasonic KP-380BK Classic Electric Pencil Sharpener"/>
        <s v="Woodgrain Magazine Files by Perma"/>
        <s v="Luxo Economy Swing Arm Lamp"/>
        <s v="Kensington 4 Outlet MasterPiece Compact Power Control Center"/>
        <s v="Motorola HK250 Universal Bluetooth Headset"/>
        <s v="Sauder Cornerstone Collection Library"/>
        <s v="Westinghouse Floor Lamp with Metal Mesh Shade, Black"/>
        <s v="Eureka Recycled Copy Paper 8 1/2&quot; x 11&quot;, Ream"/>
        <s v="Acco 6 Outlet Guardian Premium Surge Suppressor"/>
        <s v="Avoid Verbal Orders Carbonless Minifold Book"/>
        <s v="Decoflex Hanging Personal Folder File, Blue"/>
        <s v="Xerox 188"/>
        <s v="Panasonic KP-310 Heavy-Duty Electric Pencil Sharpener"/>
        <s v="Cush Cases Heavy Duty Rugged Cover Case for Samsung Galaxy S5 - Purple"/>
        <s v="Wilson Jones Easy Flow II Sheet Lifters"/>
        <s v="SAFCO Commercial Wire Shelving, Black"/>
        <s v="Westinghouse Clip-On Gooseneck Lamps"/>
        <s v="Tensor Computer Mounted Lamp"/>
        <s v="Cisco CP-7937G Unified IP Conference Station Phone"/>
        <s v="Global High-Back Leather Tilter, Burgundy"/>
        <s v="Xerox 1909"/>
        <s v="Leather Task Chair, Black"/>
        <s v="Boston 16801 Nautilus Battery Pencil Sharpener"/>
        <s v="Logitech Desktop MK120 Mouse and keyboard Combo"/>
        <s v="Tenex &quot;The Solids&quot; Textured Chair Mats"/>
        <s v="Carina 42&quot;Hx23 3/4&quot;W Media Storage Unit"/>
        <s v="4009 Highlighters by Sanford"/>
        <s v="LF Elite 3D Dazzle Designer Hard Case Cover, Lf Stylus Pen and Wiper For Apple Iphone 5c Mini Lite"/>
        <s v="Bevis Boat-Shaped Conference Table"/>
        <s v="GBC Recycled Regency Composition Covers"/>
        <s v="Logitech G13 Programmable Gameboard with LCD Display"/>
        <s v="ShoreTel ShorePhone IP 230 VoIP phone"/>
        <s v="Petty Cash Envelope"/>
        <s v="Prestige Round Ring Binders"/>
        <s v="Xerox 203"/>
        <s v="Deluxe Heavy-Duty Vinyl Round Ring Binder"/>
        <s v="Adams Phone Message Book, 200 Message Capacity, 8 1/16 x 11"/>
        <s v="Wilson Jones DublLock D-Ring Binders"/>
        <s v="Ibico Plastic Spiral Binding Combs"/>
        <s v="Newell 340"/>
        <s v="Acme Forged Steel Scissors with Black Enamel Handles"/>
        <s v="Cisco IP Phone 7961G-GE VoIP phone"/>
        <s v="Avery 488"/>
        <s v="Adams Telephone Message Book W/Dividers/Space For Phone Numbers, 5 1/4&quot;X8 1/2&quot;, 300/Messages"/>
        <s v="Magna Visual Magnetic Picture Hangers"/>
        <s v="Crayola Anti Dust Chalk, 12/Pack"/>
        <s v="Prang Dustless Chalk Sticks"/>
        <s v="Acco Four Pocket Poly Ring Binder with Label Holder, Smoke, 1&quot;"/>
        <s v="Newell 325"/>
        <s v="Howard Miller 13&quot; Diameter Pewter Finish Round Wall Clock"/>
        <s v="Rogers Jumbo File, Granite"/>
        <s v="GE DSL Phone Line Filter"/>
        <s v="GBC Recycled Grain Textured Covers"/>
        <s v="Xerox 1934"/>
        <s v="While You Were Out Pads, 50 per Pad, 4 x 5 1/4, Green Cycle"/>
        <s v="Kingston Digital DataTraveler 16GB USB 2.0"/>
        <s v="ARKON Windshield Dashboard Air Vent Car Mount Holder"/>
        <s v="Pizazz Global Quick File"/>
        <s v="Dixon Ticonderoga Erasable Colored Pencil Set, 12-Color"/>
        <s v="Pyle PRT45 Retro Home Telephone"/>
        <s v="Sauder Inglewood Library Bookcases"/>
        <s v="GE 48&quot; Fluorescent Tube, Cool White Energy Saver, 34 Watts, 30/Box"/>
        <s v="Harbour Creations Steel Folding Chair"/>
        <s v="Weyerhaeuser First Choice Laser/Copy Paper (20Lb. and 88 Bright)"/>
        <s v="Xerox 1940"/>
        <s v="RCA Visys Integrated PBX 8-Line Router"/>
        <s v="GBC Velobind Prepunched Cover Sets, Regency Series"/>
        <s v="Logitech ClearChat Comfort/USB Headset H390"/>
        <s v="Dot Matrix Printer Tape Reel Labels, White, 5000/Box"/>
        <s v="Xerox 1887"/>
        <s v="Wirebound Message Books, Four 2 3/4 x 5 White Forms per Page"/>
        <s v="Advantus Panel Wall Acrylic Frame"/>
        <s v="Avery 500"/>
        <s v="SAFCO PlanMaster Heigh-Adjustable Drafting Table Base, 43w x 30d x 30-37h, Black"/>
        <s v="Avery 494"/>
        <s v="Acme 10&quot; Easy Grip Assistive Scissors"/>
        <s v="Innergie mMini Combo Duo USB Travel Charging Kit"/>
        <s v="Companion Letter/Legal File, Black"/>
        <s v="Mediabridge Sport Armband iPhone 5s"/>
        <s v="Floodlight Indoor Halogen Bulbs, 1 Bulb per Pack, 60 Watts"/>
        <s v="Harmony Air Purifier"/>
        <s v="Samsung Galaxy S4 Mini"/>
        <s v="Xerox 1931"/>
        <s v="Hon Olson Stacker Stools"/>
        <s v="Imation 8GB Mini TravelDrive USB 2.0 Flash Drive"/>
        <s v="Hon 5100 Series Wood Tables"/>
        <s v="Newell 334"/>
        <s v="Safco Drafting Table"/>
        <s v="Newell 309"/>
        <s v="GBC DocuBind TL300 Electric Binding System"/>
        <s v="DAX Charcoal/Nickel-Tone Document Frame, 5 x 7"/>
        <s v="GBC DocuBind TL200 Manual Binding Machine"/>
        <s v="Cisco SPA 502G IP Phone"/>
        <s v="GBC Twin Loop Wire Binding Elements"/>
        <s v="Avery Heavy-Duty EZD View Binder with Locking Rings"/>
        <s v="Hewlett Packard LaserJet 3310 Copier"/>
        <s v="3.6 Cubic Foot Counter Height Office Refrigerator"/>
        <s v="SanDisk Ultra 64 GB MicroSDHC Class 10 Memory Card"/>
        <s v="Logitech Wireless Performance Mouse MX for PC and Mac"/>
        <s v="Office Star - Professional Matrix Back Chair with 2-to-1 Synchro Tilt and Mesh Fabric Seat"/>
        <s v="ACCOHIDE Binder by Acco"/>
        <s v="GBC Instant Report Kit"/>
        <s v="Newell 3-Hole Punched Plastic Slotted Magazine Holders for Binders"/>
        <s v="Adams Telephone Message Book w/Frequently-Called Numbers Space, 400 Messages per Book"/>
        <s v="GBC Standard Plastic Binding Systems Combs"/>
        <s v="Office Star - Ergonomically Designed Knee Chair"/>
        <s v="Xerox 217"/>
        <s v="Xerox Color Copier Paper, 11&quot; x 17&quot;, Ream"/>
        <s v="Acco 6 Outlet Guardian Basic Surge Suppressor"/>
        <s v="Eldon Expressions Wood Desk Accessories, Oak"/>
        <s v="Office Star Flex Back Scooter Chair with White Frame"/>
        <s v="Memorex Mini Travel Drive 16 GB USB 2.0 Flash Drive"/>
        <s v="Multicolor Computer Printout Paper"/>
        <s v="Wilson Jones data.warehouse D-Ring Binders with DublLock"/>
        <s v="Xerox 1982"/>
        <s v="HP Standard 104 key PS/2 Keyboard"/>
        <s v="Polycom SoundPoint Pro SE-225 Corded phone"/>
        <s v="Nontoxic Chalk"/>
        <s v="Polycom SoundStation2 EX Conference phone"/>
        <s v="Atlantic Metals Mobile 2-Shelf Bookcases, Custom Colors"/>
        <s v="Fellowes PB500 Electric Punch Plastic Comb Binding Machine with Manual Bind"/>
        <s v="Xerox 1959"/>
        <s v="Advantus Plastic Paper Clips"/>
        <s v="Xerox 1989"/>
        <s v="Xerox 1984"/>
        <s v="Novimex Fabric Task Chair"/>
        <s v="Xerox 1965"/>
        <s v="Balt Solid Wood Round Tables"/>
        <s v="Global Leather Executive Chair"/>
        <s v="Avery 486"/>
        <s v="Wausau Papers Astrobrights Colored Envelopes"/>
        <s v="Atlantic Metals Mobile 3-Shelf Bookcases, Custom Colors"/>
        <s v="Acco Smartsocket Color-Coded Six-Outlet AC Adapter Model Surge Protectors"/>
        <s v="Xerox 219"/>
        <s v="Staples in misc. colors"/>
        <s v="3-ring staple pack"/>
        <s v="WD My Passport Ultra 2TB Portable External Hard Drive"/>
        <s v="Iceberg Nesting Folding Chair, 19w x 6d x 43h"/>
        <s v="Bevis Rectangular Conference Tables"/>
        <s v="Xerox 1896"/>
        <s v="Eldon Pizzaz Desk Accessories"/>
        <s v="Chromcraft Bull-Nose Wood Oval Conference Tables &amp; Bases"/>
        <s v="Jawbone JAMBOX Wireless Bluetooth Speaker"/>
        <s v="Apple iPhone 5"/>
        <s v="Avery 52"/>
        <s v="12-1/2 Diameter Round Wall Clock"/>
        <s v="Memorex Froggy Flash Drive 8 GB"/>
        <s v="Logitech diNovo Edge Keyboard"/>
        <s v="Avery Binder Labels"/>
        <s v="Global Stack Chair without Arms, Black"/>
        <s v="Xerox 214"/>
        <s v="Canon imageCLASS 2200 Advanced Copier"/>
        <s v="24-Hour Round Wall Clock"/>
        <s v="TOPS Voice Message Log Book, Flash Format"/>
        <s v="Acco 3-Hole Punch"/>
        <s v="Xerox 1913"/>
        <s v="Xerox 1888"/>
        <s v="Wilson Jones 1&quot; Hanging DublLock Ring Binders"/>
        <s v="Xerox 1912"/>
        <s v="Avery 512"/>
        <s v="Executive Impressions 12&quot; Wall Clock"/>
        <s v="SpineVue Locking Slant-D Ring Binders by Cardinal"/>
        <s v="Prang Drawing Pencil Set"/>
        <s v="Executive Impressions 13&quot; Clairmont Wall Clock"/>
        <s v="Wirebound Service Call Books, 5 1/2&quot; x 4&quot;"/>
        <s v="APC 7 Outlet Network SurgeArrest Surge Protector"/>
        <s v="Plymouth Boxed Rubber Bands by Plymouth"/>
        <s v="Computer Printout Index Tabs"/>
        <s v="Eldon Expressions Punched Metal &amp; Wood Desk Accessories, Black &amp; Cherry"/>
        <s v="Xerox 1951"/>
        <s v="Eldon 200 Class Desk Accessories, Smoke"/>
        <s v="Xerox 1997"/>
        <s v="Eldon Expressions Mahogany Wood Desk Collection"/>
        <s v="Kensington 7 Outlet MasterPiece Power Center with Fax/Phone Line Protection"/>
        <s v="O'Sullivan 2-Shelf Heavy-Duty Bookcases"/>
        <s v="Nortel Meridian M5316 Digital phone"/>
        <s v="Important Message Pads, 50 4-1/4 x 5-1/2 Forms per Pad"/>
        <s v="SimpliFile Personal File, Black Granite, 15w x 6-15/16d x 11-1/4h"/>
        <s v="Premier Electric Letter Opener"/>
        <s v="Xerox 1980"/>
        <s v="Aastra 6757i CT Wireless VoIP phone"/>
        <s v="G.E. Longer-Life Indoor Recessed Floodlight Bulbs"/>
        <s v="Global Leather and Oak Executive Chair, Black"/>
        <s v="White Computer Printout Paper by Universal"/>
        <s v="Wilson Jones Impact Binders"/>
        <s v="Avery Fluorescent Highlighter Four-Color Set"/>
        <s v="Global Wood Trimmed Manager's Task Chair, Khaki"/>
        <s v="Cisco SPA112 2 Port Phone Adapter"/>
        <s v="Eldon Executive Woodline II Desk Accessories, Mahogany"/>
        <s v="XtraLife ClearVue Slant-D Ring Binders by Cardinal"/>
        <s v="Xerox 221"/>
        <s v="Hoover Commercial Soft Guard Upright Vacuum And Disposable Filtration Bags"/>
        <s v="Sauder Facets Collection Library, Sky Alder Finish"/>
        <s v="Tenex Personal Filing Tote With Secure Closure Lid, Black/Frost"/>
        <s v="Telephone Message Books with Fax/Mobile Section, 5 1/2&quot; x 3 3/16&quot;"/>
        <s v="Xerox 1894"/>
        <s v="HTC One Mini"/>
        <s v="Razer Tiamat Over Ear 7.1 Surround Sound PC Gaming Headset"/>
        <s v="Southworth 100% Résumé Paper, 24lb."/>
        <s v="Memorex Micro Travel Drive 32 GB"/>
        <s v="Multi-Use Personal File Cart and Caster Set, Three Stacking Bins"/>
        <s v="DAX Two-Tone Rosewood/Black Document Frame, Desktop, 5 x 7"/>
        <s v="Xerox 1883"/>
        <s v="Plantronics Voyager Pro HD - Bluetooth Headset"/>
        <s v="Recycled Steel Personal File for Hanging File Folders"/>
        <s v="SAFCO Folding Chair Trolley"/>
        <s v="Executive Impressions 13&quot; Chairman Wall Clock"/>
        <s v="Deflect-o DuraMat Lighweight, Studded, Beveled Mat for Low Pile Carpeting"/>
        <s v="Xerox 1895"/>
        <s v="Bionaire 99.97% HEPA Air Cleaner"/>
        <s v="Compact Automatic Electric Letter Opener"/>
        <s v="Ultra Door Kickplate, 8&quot;H x 34&quot;W"/>
        <s v="Rush Hierlooms Collection 1&quot; Thick Stackable Bookcases"/>
        <s v="Padded Folding Chairs, Black, 4/Carton"/>
        <s v="GBC Standard Recycled Report Covers, Clear Plastic Sheets"/>
        <s v="Google Nexus 5"/>
        <s v="Boston Electric Pencil Sharpener, Model 1818, Charcoal Black"/>
        <s v="Logitech G430 Surround Sound Gaming Headset with Dolby 7.1 Technology"/>
        <s v="Xerox 1921"/>
        <s v="GBC Laser Imprintable Binding System Covers, Desert Sand"/>
        <s v="Howard Miller 12-3/4 Diameter Accuwave DS  Wall Clock"/>
        <s v="Memorex Micro Travel Drive 4 GB"/>
        <s v="Jackery Bar Premium Fast-charging Portable Charger"/>
        <s v="Xerox 211"/>
        <s v="Lesro Sheffield Collection Coffee Table, End Table, Center Table, Corner Table"/>
        <s v="Multimedia Mailers"/>
        <s v="Newell Chalk Holder"/>
        <s v="Office Star - Mid Back Dual function Ergonomic High Back Chair with 2-Way Adjustable Arms"/>
        <s v="Bevis Round Conference Table Top, X-Base"/>
        <s v="Things To Do Today Spiral Book"/>
        <s v="Howard Miller 11-1/2&quot; Diameter Brentwood Wall Clock"/>
        <s v="Eberhard Faber 3 1/2&quot; Golf Pencils"/>
        <s v="SmartStand Mobile Device Holder, Assorted Colors"/>
        <s v="Global Push Button Manager's Chair, Indigo"/>
        <s v="GBC Wire Binding Strips"/>
        <s v="Memorex Froggy Flash Drive 4 GB"/>
        <s v="Xerox 202"/>
        <s v="Bush Heritage Pine Collection 5-Shelf Bookcase, Albany Pine Finish, *Special Order"/>
        <s v="Avanti 1.7 Cu. Ft. Refrigerator"/>
        <s v="Eldon Image Series Black Desk Accessories"/>
        <s v="ClearOne CHATAttach 160 - speaker phone"/>
        <s v="GBC Prestige Therm-A-Bind Covers"/>
        <s v="Plantronics CS510 - Over-the-Head monaural Wireless Headset System"/>
        <s v="Stackable Trays"/>
        <s v="Griffin GC17055 Auxiliary Audio Cable"/>
        <s v="SAFCO Mobile Desk Side File, Wire Frame"/>
        <s v="Barricks 18&quot; x 48&quot; Non-Folding Utility Table with Bottom Storage Shelf"/>
        <s v="Round Ring Binders"/>
        <s v="Cardinal Holdit Data Disk Pockets"/>
        <s v="Motorola Droid Maxx"/>
        <s v="Newell 316"/>
        <s v="Aluminum Document Frame"/>
        <s v="Xerox 1943"/>
        <s v="Newell 31"/>
        <s v="Pastel Pink Envelopes"/>
        <s v="Acco 6 Outlet Guardian Standard Surge Suppressor"/>
      </sharedItems>
    </cacheField>
    <cacheField name="Sales " numFmtId="181">
      <sharedItems containsSemiMixedTypes="0" containsString="0" containsNumber="1" minValue="1.08" maxValue="11199.968" count="717">
        <n v="261.96"/>
        <n v="14.62"/>
        <n v="957.5775"/>
        <n v="48.86"/>
        <n v="15.552"/>
        <n v="407.976"/>
        <n v="68.81"/>
        <n v="665.88"/>
        <n v="55.5"/>
        <n v="8.56"/>
        <n v="19.46"/>
        <n v="71.372"/>
        <n v="1044.63"/>
        <n v="11.648"/>
        <n v="3083.43"/>
        <n v="29.472"/>
        <n v="1097.544"/>
        <n v="113.328"/>
        <n v="147.168"/>
        <n v="77.88"/>
        <n v="95.616"/>
        <n v="45.98"/>
        <n v="211.96"/>
        <n v="45"/>
        <n v="38.22"/>
        <n v="15.26"/>
        <n v="208.56"/>
        <n v="13.98"/>
        <n v="213.115"/>
        <n v="1113.024"/>
        <n v="75.88"/>
        <n v="4.616"/>
        <n v="831.936"/>
        <n v="1.248"/>
        <n v="208.16"/>
        <n v="14.9"/>
        <n v="200.984"/>
        <n v="230.376"/>
        <n v="19.99"/>
        <n v="158.368"/>
        <n v="20.1"/>
        <n v="12.96"/>
        <n v="5.682"/>
        <n v="96.53"/>
        <n v="51.312"/>
        <n v="64.624"/>
        <n v="23.92"/>
        <n v="238.896"/>
        <n v="74.112"/>
        <n v="339.96"/>
        <n v="41.96"/>
        <n v="75.96"/>
        <n v="40.096"/>
        <n v="787.53"/>
        <n v="157.794"/>
        <n v="47.04"/>
        <n v="600.558"/>
        <n v="617.7"/>
        <n v="2.388"/>
        <n v="81.424"/>
        <n v="59.97"/>
        <n v="20.04"/>
        <n v="82.8"/>
        <n v="8.82"/>
        <n v="839.43"/>
        <n v="671.93"/>
        <n v="93.888"/>
        <n v="384.45"/>
        <n v="157.92"/>
        <n v="58.38"/>
        <n v="6.63"/>
        <n v="457.568"/>
        <n v="5.98"/>
        <n v="54.384"/>
        <n v="28.4"/>
        <n v="27.68"/>
        <n v="9.936"/>
        <n v="20.94"/>
        <n v="52.448"/>
        <n v="97.264"/>
        <n v="3.28"/>
        <n v="24.816"/>
        <n v="503.96"/>
        <n v="7.16"/>
        <n v="176.8"/>
        <n v="37.224"/>
        <n v="899.136"/>
        <n v="14.28"/>
        <n v="7.408"/>
        <n v="46.26"/>
        <n v="2.946"/>
        <n v="21.744"/>
        <n v="218.75"/>
        <n v="66.284"/>
        <n v="35.168"/>
        <n v="444.768"/>
        <n v="83.92"/>
        <n v="20.8"/>
        <n v="23.68"/>
        <n v="93.06"/>
        <n v="5.584"/>
        <n v="2.2"/>
        <n v="161.568"/>
        <n v="18.648"/>
        <n v="10.56"/>
        <n v="25.92"/>
        <n v="2001.86"/>
        <n v="321.568"/>
        <n v="7.61"/>
        <n v="80.58"/>
        <n v="12.132"/>
        <n v="20.37"/>
        <n v="1.624"/>
        <n v="3059.982"/>
        <n v="328.224"/>
        <n v="79.9"/>
        <n v="14.016"/>
        <n v="37.208"/>
        <n v="725.84"/>
        <n v="1038.84"/>
        <n v="254.058"/>
        <n v="19.096"/>
        <n v="300.416"/>
        <n v="26.8"/>
        <n v="45.48"/>
        <n v="4.89"/>
        <n v="15.136"/>
        <n v="87.54"/>
        <n v="178.384"/>
        <n v="99.136"/>
        <n v="135.882"/>
        <n v="251.52"/>
        <n v="15.992"/>
        <n v="290.898"/>
        <n v="4.752"/>
        <n v="7.712"/>
        <n v="47.976"/>
        <n v="7.56"/>
        <n v="6.79"/>
        <n v="388.704"/>
        <n v="647.84"/>
        <n v="20.7"/>
        <n v="23.2"/>
        <n v="8.16"/>
        <n v="1488.424"/>
        <n v="8.652"/>
        <n v="50.96"/>
        <n v="41.9"/>
        <n v="375.4575"/>
        <n v="482.34"/>
        <n v="2.624"/>
        <n v="23.36"/>
        <n v="246.384"/>
        <n v="12.462"/>
        <n v="75.792"/>
        <n v="49.96"/>
        <n v="35.952"/>
        <n v="9.568"/>
        <n v="35.91"/>
        <n v="179.95"/>
        <n v="139.86"/>
        <n v="95.92"/>
        <n v="383.8"/>
        <n v="56.56"/>
        <n v="866.4"/>
        <n v="69.99"/>
        <n v="6.672"/>
        <n v="189.588"/>
        <n v="4.812"/>
        <n v="1007.979"/>
        <n v="31.872"/>
        <n v="2.91"/>
        <n v="59.52"/>
        <n v="284.364"/>
        <n v="129.568"/>
        <n v="23.56"/>
        <n v="254.744"/>
        <n v="55.48"/>
        <n v="340.92"/>
        <n v="40.2"/>
        <n v="14.7"/>
        <n v="9.09"/>
        <n v="5.96"/>
        <n v="29.6"/>
        <n v="2735.952"/>
        <n v="7.992"/>
        <n v="449.15"/>
        <n v="93.98"/>
        <n v="189.882"/>
        <n v="105.42"/>
        <n v="22.62"/>
        <n v="2.74"/>
        <n v="126.3"/>
        <n v="18.392"/>
        <n v="210.98"/>
        <n v="22.2"/>
        <n v="683.952"/>
        <n v="36.336"/>
        <n v="190.72"/>
        <n v="47.94"/>
        <n v="979.95"/>
        <n v="16.768"/>
        <n v="42.616"/>
        <n v="152.94"/>
        <n v="468.9"/>
        <n v="646.776"/>
        <n v="41.28"/>
        <n v="1121.568"/>
        <n v="10.824"/>
        <n v="19.456"/>
        <n v="42.6"/>
        <n v="13"/>
        <n v="3.96"/>
        <n v="374.376"/>
        <n v="91.84"/>
        <n v="72.45"/>
        <n v="160.72"/>
        <n v="69.712"/>
        <n v="51.52"/>
        <n v="470.376"/>
        <n v="70.98"/>
        <n v="84.784"/>
        <n v="9.344"/>
        <n v="76.12"/>
        <n v="11.632"/>
        <n v="143.982"/>
        <n v="142.776"/>
        <n v="3.282"/>
        <n v="369.576"/>
        <n v="8.448"/>
        <n v="119.94"/>
        <n v="40.48"/>
        <n v="8.69"/>
        <n v="301.96"/>
        <n v="35.56"/>
        <n v="97.16"/>
        <n v="243.384"/>
        <n v="392.94"/>
        <n v="18.882"/>
        <n v="18.84"/>
        <n v="330.4"/>
        <n v="132.52"/>
        <n v="209.3"/>
        <n v="14.8"/>
        <n v="379.4"/>
        <n v="113.552"/>
        <n v="701.372"/>
        <n v="459.95"/>
        <n v="23.76"/>
        <n v="30.36"/>
        <n v="61.44"/>
        <n v="2.688"/>
        <n v="14.352"/>
        <n v="7999.98"/>
        <n v="479.97"/>
        <n v="191.984"/>
        <n v="104.01"/>
        <n v="166.24"/>
        <n v="198.272"/>
        <n v="369.912"/>
        <n v="10.368"/>
        <n v="119.96"/>
        <n v="24.448"/>
        <n v="281.34"/>
        <n v="9.94"/>
        <n v="59.808"/>
        <n v="146.82"/>
        <n v="129.92"/>
        <n v="45.584"/>
        <n v="17.568"/>
        <n v="182.72"/>
        <n v="242.94"/>
        <n v="11.784"/>
        <n v="11.992"/>
        <n v="58.05"/>
        <n v="1199.976"/>
        <n v="24.56"/>
        <n v="13.128"/>
        <n v="22.72"/>
        <n v="107.982"/>
        <n v="11.36"/>
        <n v="310.88"/>
        <n v="18.28"/>
        <n v="32.76"/>
        <n v="32.07"/>
        <n v="348.928"/>
        <n v="1363.96"/>
        <n v="9.96"/>
        <n v="20.16"/>
        <n v="283.92"/>
        <n v="22.23"/>
        <n v="51.84"/>
        <n v="239.97"/>
        <n v="67.8"/>
        <n v="9.664"/>
        <n v="60.45"/>
        <n v="37.44"/>
        <n v="83.72"/>
        <n v="48.896"/>
        <n v="115.36"/>
        <n v="5.16"/>
        <n v="39.96"/>
        <n v="7.36"/>
        <n v="2.89"/>
        <n v="15.936"/>
        <n v="44.91"/>
        <n v="1141.47"/>
        <n v="5.892"/>
        <n v="31.4"/>
        <n v="17.46"/>
        <n v="13.944"/>
        <n v="37.66"/>
        <n v="155.82"/>
        <n v="15.648"/>
        <n v="103.6"/>
        <n v="46.96"/>
        <n v="8.904"/>
        <n v="1199.8"/>
        <n v="149.352"/>
        <n v="85.14"/>
        <n v="841.568"/>
        <n v="46.2"/>
        <n v="12.192"/>
        <n v="45.056"/>
        <n v="17.12"/>
        <n v="25.472"/>
        <n v="27.168"/>
        <n v="173.8"/>
        <n v="29.592"/>
        <n v="204.6"/>
        <n v="6.24"/>
        <n v="9.82"/>
        <n v="3.392"/>
        <n v="7.968"/>
        <n v="1.112"/>
        <n v="1166.92"/>
        <n v="2715.93"/>
        <n v="10.67"/>
        <n v="484.65"/>
        <n v="7.08"/>
        <n v="151.72"/>
        <n v="1618.37"/>
        <n v="13.96"/>
        <n v="11.808"/>
        <n v="15.696"/>
        <n v="36.624"/>
        <n v="23.968"/>
        <n v="697.16"/>
        <n v="31.86"/>
        <n v="8.84"/>
        <n v="168.464"/>
        <n v="11.16"/>
        <n v="4.416"/>
        <n v="45.216"/>
        <n v="194.848"/>
        <n v="1.744"/>
        <n v="8.64"/>
        <n v="6.27"/>
        <n v="40.88"/>
        <n v="19.92"/>
        <n v="71.976"/>
        <n v="28.9"/>
        <n v="348.208"/>
        <n v="7.04"/>
        <n v="22.92"/>
        <n v="6.3"/>
        <n v="279.9"/>
        <n v="287.52"/>
        <n v="644.076"/>
        <n v="362.94"/>
        <n v="53.94"/>
        <n v="9.99"/>
        <n v="46.8"/>
        <n v="11.56"/>
        <n v="258.696"/>
        <n v="12.096"/>
        <n v="81.92"/>
        <n v="271.96"/>
        <n v="11.21"/>
        <n v="141.372"/>
        <n v="249.75"/>
        <n v="2.78"/>
        <n v="839.988"/>
        <n v="12.35"/>
        <n v="48.69"/>
        <n v="764.688"/>
        <n v="5.248"/>
        <n v="863.88"/>
        <n v="17.616"/>
        <n v="69.9"/>
        <n v="6.57"/>
        <n v="12.48"/>
        <n v="86.352"/>
        <n v="39.88"/>
        <n v="845.728"/>
        <n v="13.904"/>
        <n v="114.95"/>
        <n v="61.96"/>
        <n v="23.99"/>
        <n v="38.88"/>
        <n v="575.92"/>
        <n v="5.229"/>
        <n v="72.8"/>
        <n v="10.816"/>
        <n v="11.34"/>
        <n v="87.92"/>
        <n v="37.05"/>
        <n v="2.97"/>
        <n v="1.08"/>
        <n v="552.56"/>
        <n v="25.11"/>
        <n v="29.78"/>
        <n v="695.7"/>
        <n v="258.279"/>
        <n v="79.14"/>
        <n v="1.988"/>
        <n v="145.568"/>
        <n v="123.256"/>
        <n v="38.388"/>
        <n v="145.9"/>
        <n v="49.08"/>
        <n v="83.952"/>
        <n v="80.98"/>
        <n v="9.552"/>
        <n v="21.8"/>
        <n v="393.165"/>
        <n v="334.768"/>
        <n v="946.344"/>
        <n v="86.272"/>
        <n v="9.728"/>
        <n v="31.104"/>
        <n v="36.672"/>
        <n v="13.76"/>
        <n v="139.424"/>
        <n v="2.025"/>
        <n v="91.2"/>
        <n v="244.006"/>
        <n v="3.68"/>
        <n v="8.67"/>
        <n v="17.28"/>
        <n v="52.136"/>
        <n v="3.76"/>
        <n v="1212.848"/>
        <n v="5.04"/>
        <n v="5.88"/>
        <n v="9.64"/>
        <n v="10.192"/>
        <n v="6.72"/>
        <n v="17.88"/>
        <n v="63.686"/>
        <n v="83.84"/>
        <n v="16.52"/>
        <n v="206.112"/>
        <n v="203.983"/>
        <n v="40.74"/>
        <n v="39.99"/>
        <n v="82.896"/>
        <n v="111.96"/>
        <n v="124.75"/>
        <n v="91.96"/>
        <n v="35.352"/>
        <n v="11.352"/>
        <n v="21.48"/>
        <n v="40.68"/>
        <n v="23.952"/>
        <n v="10.96"/>
        <n v="33.488"/>
        <n v="201.568"/>
        <n v="359.058"/>
        <n v="290.666"/>
        <n v="198.46"/>
        <n v="675.96"/>
        <n v="517.5"/>
        <n v="19.44"/>
        <n v="12.624"/>
        <n v="109.92"/>
        <n v="169.68"/>
        <n v="160.776"/>
        <n v="88.752"/>
        <n v="41.92"/>
        <n v="58.58"/>
        <n v="196.62"/>
        <n v="104.28"/>
        <n v="18.97"/>
        <n v="33.45"/>
        <n v="21.88"/>
        <n v="43.86"/>
        <n v="1048.35"/>
        <n v="20.88"/>
        <n v="9.46"/>
        <n v="46.864"/>
        <n v="35.06"/>
        <n v="7.644"/>
        <n v="219.84"/>
        <n v="134.97"/>
        <n v="60.416"/>
        <n v="107.94"/>
        <n v="11.168"/>
        <n v="69.93"/>
        <n v="77.6"/>
        <n v="75.6"/>
        <n v="1127.976"/>
        <n v="17.544"/>
        <n v="140.81"/>
        <n v="90.57"/>
        <n v="727.45"/>
        <n v="99.2"/>
        <n v="34.65"/>
        <n v="1793.98"/>
        <n v="909.12"/>
        <n v="18.96"/>
        <n v="149.95"/>
        <n v="895.92"/>
        <n v="863.64"/>
        <n v="19.968"/>
        <n v="23.1"/>
        <n v="5.104"/>
        <n v="1439.976"/>
        <n v="294.62"/>
        <n v="199.95"/>
        <n v="159.984"/>
        <n v="350.98"/>
        <n v="1606.23"/>
        <n v="8.26"/>
        <n v="162.64"/>
        <n v="1.941"/>
        <n v="7.312"/>
        <n v="39.9"/>
        <n v="26.55"/>
        <n v="259.136"/>
        <n v="159.88"/>
        <n v="86.376"/>
        <n v="33.28"/>
        <n v="152.991"/>
        <n v="14.76"/>
        <n v="233.058"/>
        <n v="111.79"/>
        <n v="314.55"/>
        <n v="19.752"/>
        <n v="45.68"/>
        <n v="29"/>
        <n v="29.932"/>
        <n v="832.93"/>
        <n v="2.816"/>
        <n v="9.984"/>
        <n v="485.94"/>
        <n v="72.294"/>
        <n v="526.45"/>
        <n v="1016.792"/>
        <n v="13.36"/>
        <n v="5"/>
        <n v="359.97"/>
        <n v="97.568"/>
        <n v="892.98"/>
        <n v="390.75"/>
        <n v="280.792"/>
        <n v="79.872"/>
        <n v="69.216"/>
        <n v="1552.831"/>
        <n v="176.04"/>
        <n v="6.48"/>
        <n v="24.2"/>
        <n v="7.52"/>
        <n v="595"/>
        <n v="366.786"/>
        <n v="145.98"/>
        <n v="29.97"/>
        <n v="14.272"/>
        <n v="1322.352"/>
        <n v="631.96"/>
        <n v="4548.81"/>
        <n v="12.224"/>
        <n v="7.38"/>
        <n v="45.66"/>
        <n v="42.048"/>
        <n v="46.32"/>
        <n v="111.888"/>
        <n v="143.952"/>
        <n v="71"/>
        <n v="1399.944"/>
        <n v="14.94"/>
        <n v="1.167"/>
        <n v="41.568"/>
        <n v="230.28"/>
        <n v="11199.968"/>
        <n v="323.1"/>
        <n v="19.04"/>
        <n v="8.76"/>
        <n v="79.512"/>
        <n v="40.784"/>
        <n v="166.44"/>
        <n v="11.088"/>
        <n v="30.352"/>
        <n v="71.98"/>
        <n v="14.45"/>
        <n v="35.34"/>
        <n v="8.226"/>
        <n v="5.56"/>
        <n v="76.92"/>
        <n v="48.4"/>
        <n v="32.192"/>
        <n v="41.37"/>
        <n v="9.42"/>
        <n v="114.6"/>
        <n v="15.47"/>
        <n v="143.728"/>
        <n v="56.28"/>
        <n v="28.16"/>
        <n v="225.296"/>
        <n v="74.352"/>
        <n v="51.96"/>
        <n v="41.6"/>
        <n v="191.646"/>
        <n v="81.568"/>
        <n v="20.736"/>
        <n v="24.96"/>
        <n v="207.48"/>
        <n v="12.03"/>
        <n v="327.7328"/>
        <n v="194.32"/>
        <n v="411.8"/>
        <n v="517.9"/>
        <n v="26.88"/>
        <n v="90.8"/>
        <n v="695.16"/>
        <n v="25.68"/>
        <n v="258.528"/>
        <n v="13.28"/>
        <n v="963.136"/>
        <n v="93.024"/>
        <n v="5.18"/>
        <n v="3.648"/>
        <n v="18.704"/>
        <n v="44.94"/>
        <n v="318.43"/>
        <n v="219.8"/>
        <n v="60.312"/>
        <n v="3.136"/>
        <n v="135.98"/>
        <n v="43.512"/>
        <n v="111.672"/>
        <n v="36.99"/>
        <n v="70.88"/>
        <n v="5.08"/>
        <n v="47.952"/>
        <n v="201.584"/>
        <n v="599.97"/>
        <n v="5.184"/>
        <n v="12.448"/>
        <n v="58.416"/>
        <n v="69.52"/>
        <n v="15.168"/>
        <n v="26.38"/>
        <n v="129.98"/>
        <n v="57.23"/>
        <n v="102.592"/>
        <n v="76.14"/>
        <n v="170.352"/>
        <n v="85.3"/>
        <n v="98.112"/>
        <n v="835.17"/>
        <n v="53.82"/>
        <n v="79.12"/>
        <n v="512.94"/>
        <n v="1.78"/>
        <n v="170.058"/>
        <n v="4.312"/>
        <n v="539.97"/>
        <n v="169.064"/>
        <n v="56.3"/>
        <n v="319.96"/>
        <n v="6.874"/>
        <n v="15.984"/>
        <n v="11.416"/>
        <n v="887.103"/>
        <n v="692.472"/>
        <n v="50.88"/>
        <n v="95.84"/>
        <n v="171.288"/>
        <n v="325.86"/>
        <n v="434.646"/>
        <n v="268.935"/>
        <n v="25.344"/>
        <n v="43.13"/>
        <n v="10.36"/>
        <n v="14.88"/>
        <n v="16.776"/>
        <n v="48.712"/>
        <n v="9.522"/>
        <n v="10.11"/>
        <n v="1.632"/>
        <n v="599.165"/>
        <n v="3.312"/>
        <n v="2479.96"/>
        <n v="68.62"/>
        <n v="659.9"/>
        <n v="46.152"/>
        <n v="12.32"/>
        <n v="57.568"/>
        <n v="42.76"/>
        <n v="57.75"/>
        <n v="53.25"/>
        <n v="161.28"/>
        <n v="34.248"/>
        <n v="5.304"/>
        <n v="41.88"/>
        <n v="47.4"/>
        <n v="8.32"/>
        <n v="36.4"/>
        <n v="719.952"/>
        <n v="19.56"/>
        <n v="61.1"/>
        <n v="156.512"/>
        <n v="18.312"/>
        <n v="7.28"/>
        <n v="14.112"/>
        <n v="48.36"/>
      </sharedItems>
    </cacheField>
    <cacheField name="Quantity" numFmtId="180">
      <sharedItems containsSemiMixedTypes="0" containsString="0" containsNumber="1" containsInteger="1" minValue="1" maxValue="14" count="13">
        <n v="2"/>
        <n v="5"/>
        <n v="7"/>
        <n v="3"/>
        <n v="6"/>
        <n v="9"/>
        <n v="4"/>
        <n v="8"/>
        <n v="1"/>
        <n v="14"/>
        <n v="11"/>
        <n v="10"/>
        <n v="13"/>
      </sharedItems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4"/>
        <n v="0.6"/>
        <n v="0.1"/>
        <n v="0.15"/>
        <n v="0.32"/>
      </sharedItems>
    </cacheField>
    <cacheField name="Profit" numFmtId="180">
      <sharedItems containsSemiMixedTypes="0" containsString="0" containsNumber="1" minValue="-3839.9904" maxValue="3919.9888" count="754">
        <n v="41.9136"/>
        <n v="6.8714"/>
        <n v="-383.031"/>
        <n v="14.1694"/>
        <n v="5.4432"/>
        <n v="132.5922"/>
        <n v="-123.858"/>
        <n v="13.3176"/>
        <n v="9.99"/>
        <n v="2.4824"/>
        <n v="5.0596"/>
        <n v="-1.0196"/>
        <n v="240.2649"/>
        <n v="4.2224"/>
        <n v="-1665.0522"/>
        <n v="9.9468"/>
        <n v="123.4737"/>
        <n v="35.415"/>
        <n v="16.5564"/>
        <n v="3.894"/>
        <n v="9.5616"/>
        <n v="19.7714"/>
        <n v="8.4784"/>
        <n v="4.95"/>
        <n v="17.9634"/>
        <n v="6.2566"/>
        <n v="52.14"/>
        <n v="6.1512"/>
        <n v="-15.2225"/>
        <n v="111.3024"/>
        <n v="35.6636"/>
        <n v="1.731"/>
        <n v="-114.3912"/>
        <n v="-1.9344"/>
        <n v="56.2032"/>
        <n v="4.172"/>
        <n v="62.8075"/>
        <n v="-48.9549"/>
        <n v="6.7966"/>
        <n v="13.8572"/>
        <n v="6.633"/>
        <n v="6.2208"/>
        <n v="-3.788"/>
        <n v="40.5426"/>
        <n v="17.9592"/>
        <n v="22.5852"/>
        <n v="22.6184"/>
        <n v="11.7208"/>
        <n v="-26.8758"/>
        <n v="17.6016"/>
        <n v="67.992"/>
        <n v="10.9096"/>
        <n v="22.788"/>
        <n v="14.5348"/>
        <n v="165.3813"/>
        <n v="-115.7156"/>
        <n v="18.3456"/>
        <n v="-8.5794"/>
        <n v="-407.682"/>
        <n v="-1.8308"/>
        <n v="-9.1602"/>
        <n v="-11.994"/>
        <n v="9.6192"/>
        <n v="10.35"/>
        <n v="2.3814"/>
        <n v="218.2518"/>
        <n v="20.1579"/>
        <n v="12.9096"/>
        <n v="103.8015"/>
        <n v="17.766"/>
        <n v="26.271"/>
        <n v="1.7901"/>
        <n v="51.4764"/>
        <n v="2.691"/>
        <n v="1.3596"/>
        <n v="13.348"/>
        <n v="9.688"/>
        <n v="2.7324"/>
        <n v="9.8418"/>
        <n v="-131.12"/>
        <n v="-243.16"/>
        <n v="1.4104"/>
        <n v="1.8612"/>
        <n v="131.0296"/>
        <n v="3.4368"/>
        <n v="22.984"/>
        <n v="3.7224"/>
        <n v="112.392"/>
        <n v="6.7116"/>
        <n v="1.2038"/>
        <n v="12.0276"/>
        <n v="-2.2586"/>
        <n v="6.795"/>
        <n v="-161.875"/>
        <n v="-178.9668"/>
        <n v="9.6712"/>
        <n v="44.4768"/>
        <n v="5.8744"/>
        <n v="6.5"/>
        <n v="8.88"/>
        <n v="26.0568"/>
        <n v="1.8148"/>
        <n v="0.968"/>
        <n v="-28.2744"/>
        <n v="-12.432"/>
        <n v="4.752"/>
        <n v="9.396"/>
        <n v="580.5394"/>
        <n v="28.1372"/>
        <n v="3.5767"/>
        <n v="22.5624"/>
        <n v="-8.4924"/>
        <n v="6.9258"/>
        <n v="-4.466"/>
        <n v="-509.997"/>
        <n v="28.7196"/>
        <n v="35.156"/>
        <n v="4.7304"/>
        <n v="-7.4416"/>
        <n v="210.4936"/>
        <n v="4.0572"/>
        <n v="4.0768"/>
        <n v="51.942"/>
        <n v="-169.372"/>
        <n v="6.6836"/>
        <n v="78.8592"/>
        <n v="12.864"/>
        <n v="20.9208"/>
        <n v="2.0049"/>
        <n v="3.5948"/>
        <n v="37.6422"/>
        <n v="22.298"/>
        <n v="8.6744"/>
        <n v="24.1568"/>
        <n v="3.58"/>
        <n v="81.744"/>
        <n v="0.9995"/>
        <n v="-67.8762"/>
        <n v="-20.7"/>
        <n v="1.6038"/>
        <n v="2.7956"/>
        <n v="4.7976"/>
        <n v="3.0996"/>
        <n v="2.3086"/>
        <n v="-4.8588"/>
        <n v="168.4384"/>
        <n v="9.936"/>
        <n v="10.44"/>
        <n v="-5.712"/>
        <n v="30.98"/>
        <n v="-297.6848"/>
        <n v="-20.3322"/>
        <n v="25.48"/>
        <n v="8.799"/>
        <n v="-157.0095"/>
        <n v="-337.638"/>
        <n v="0.4264"/>
        <n v="7.884"/>
        <n v="27.7182"/>
        <n v="-20.5623"/>
        <n v="25.5798"/>
        <n v="9.4924"/>
        <n v="3.5952"/>
        <n v="3.4684"/>
        <n v="9.6957"/>
        <n v="37.7895"/>
        <n v="65.7342"/>
        <n v="25.8984"/>
        <n v="38.38"/>
        <n v="14.7056"/>
        <n v="225.264"/>
        <n v="30.0957"/>
        <n v="0.5004"/>
        <n v="-145.3508"/>
        <n v="-3.6892"/>
        <n v="43.1991"/>
        <n v="11.5536"/>
        <n v="1.3677"/>
        <n v="15.4752"/>
        <n v="-75.8304"/>
        <n v="-24.294"/>
        <n v="7.068"/>
        <n v="-312.0614"/>
        <n v="26.6304"/>
        <n v="3.4092"/>
        <n v="19.296"/>
        <n v="6.615"/>
        <n v="1.9089"/>
        <n v="1.6688"/>
        <n v="14.8"/>
        <n v="341.994"/>
        <n v="0.5994"/>
        <n v="8.983"/>
        <n v="13.1572"/>
        <n v="-94.941"/>
        <n v="51.6558"/>
        <n v="-15.08"/>
        <n v="0.7398"/>
        <n v="40.416"/>
        <n v="5.2877"/>
        <n v="21.098"/>
        <n v="10.434"/>
        <n v="42.747"/>
        <n v="-7.2672"/>
        <n v="11.92"/>
        <n v="2.397"/>
        <n v="274.386"/>
        <n v="1.4672"/>
        <n v="-68.1856"/>
        <n v="41.2938"/>
        <n v="206.316"/>
        <n v="-145.5246"/>
        <n v="13.932"/>
        <n v="0"/>
        <n v="2.5707"/>
        <n v="3.4048"/>
        <n v="16.614"/>
        <n v="1.3"/>
        <n v="46.797"/>
        <n v="45.0016"/>
        <n v="34.776"/>
        <n v="78.7528"/>
        <n v="8.714"/>
        <n v="1.5456"/>
        <n v="52.9173"/>
        <n v="4.9686"/>
        <n v="-20.1362"/>
        <n v="1.168"/>
        <n v="22.0748"/>
        <n v="1.0178"/>
        <n v="-28.7964"/>
        <n v="17.847"/>
        <n v="-2.6256"/>
        <n v="41.5773"/>
        <n v="2.64"/>
        <n v="15.992"/>
        <n v="15.7872"/>
        <n v="-14.773"/>
        <n v="87.5684"/>
        <n v="12.0904"/>
        <n v="28.1764"/>
        <n v="-51.7191"/>
        <n v="43.2234"/>
        <n v="-13.8468"/>
        <n v="6.0288"/>
        <n v="85.904"/>
        <n v="54.3332"/>
        <n v="56.511"/>
        <n v="6.068"/>
        <n v="178.318"/>
        <n v="8.5164"/>
        <n v="-50.098"/>
        <n v="18.398"/>
        <n v="2.079"/>
        <n v="8.7285"/>
        <n v="16.5888"/>
        <n v="-7.392"/>
        <n v="4.6644"/>
        <n v="-3839.9904"/>
        <n v="163.1898"/>
        <n v="4.7996"/>
        <n v="14.5614"/>
        <n v="24.936"/>
        <n v="17.3488"/>
        <n v="-13.8717"/>
        <n v="3.6288"/>
        <n v="52.7824"/>
        <n v="8.8624"/>
        <n v="109.7226"/>
        <n v="3.0814"/>
        <n v="19.4376"/>
        <n v="73.41"/>
        <n v="21.112"/>
        <n v="5.1282"/>
        <n v="6.3684"/>
        <n v="84.0512"/>
        <n v="9.7176"/>
        <n v="4.2717"/>
        <n v="-10.948"/>
        <n v="0.8994"/>
        <n v="26.703"/>
        <n v="374.9925"/>
        <n v="6.8768"/>
        <n v="4.2666"/>
        <n v="10.224"/>
        <n v="-26.9955"/>
        <n v="5.3392"/>
        <n v="23.316"/>
        <n v="9.14"/>
        <n v="3.6855"/>
        <n v="-22.449"/>
        <n v="34.8928"/>
        <n v="85.2475"/>
        <n v="4.5816"/>
        <n v="9.8784"/>
        <n v="17.745"/>
        <n v="7.3359"/>
        <n v="6.2152"/>
        <n v="24.8832"/>
        <n v="71.991"/>
        <n v="4.068"/>
        <n v="3.2616"/>
        <n v="16.3215"/>
        <n v="11.7"/>
        <n v="23.4416"/>
        <n v="8.5568"/>
        <n v="49.6048"/>
        <n v="1.3416"/>
        <n v="18.7812"/>
        <n v="0.1472"/>
        <n v="1.3583"/>
        <n v="5.1792"/>
        <n v="-35.928"/>
        <n v="-760.98"/>
        <n v="5.2256"/>
        <n v="-4.1244"/>
        <n v="10.048"/>
        <n v="5.9364"/>
        <n v="4.5318"/>
        <n v="18.4534"/>
        <n v="42.0714"/>
        <n v="5.0856"/>
        <n v="51.8"/>
        <n v="22.5408"/>
        <n v="-6.5296"/>
        <n v="323.946"/>
        <n v="9.102"/>
        <n v="50.4063"/>
        <n v="34.9074"/>
        <n v="294.5488"/>
        <n v="12.936"/>
        <n v="4.1148"/>
        <n v="15.2064"/>
        <n v="8.0464"/>
        <n v="7.6416"/>
        <n v="2.7168"/>
        <n v="43.45"/>
        <n v="2.5893"/>
        <n v="53.196"/>
        <n v="3.0576"/>
        <n v="4.8118"/>
        <n v="0.8056"/>
        <n v="2.5896"/>
        <n v="-1.8904"/>
        <n v="131.2785"/>
        <n v="1276.4871"/>
        <n v="4.9082"/>
        <n v="92.0835"/>
        <n v="2.478"/>
        <n v="27.3096"/>
        <n v="356.0414"/>
        <n v="6.7008"/>
        <n v="4.2804"/>
        <n v="5.1012"/>
        <n v="13.734"/>
        <n v="2.6964"/>
        <n v="146.4036"/>
        <n v="11.151"/>
        <n v="2.9835"/>
        <n v="-29.4812"/>
        <n v="4.3524"/>
        <n v="1.6008"/>
        <n v="4.5216"/>
        <n v="12.178"/>
        <n v="-0.3488"/>
        <n v="3.024"/>
        <n v="-4.598"/>
        <n v="10.6288"/>
        <n v="33.5888"/>
        <n v="9.3624"/>
        <n v="7.1976"/>
        <n v="14.161"/>
        <n v="30.4682"/>
        <n v="2.0416"/>
        <n v="11.2308"/>
        <n v="137.151"/>
        <n v="129.384"/>
        <n v="107.346"/>
        <n v="90.735"/>
        <n v="15.6426"/>
        <n v="4.5954"/>
        <n v="21.06"/>
        <n v="5.4332"/>
        <n v="64.674"/>
        <n v="4.2336"/>
        <n v="22.1184"/>
        <n v="16.9975"/>
        <n v="3.363"/>
        <n v="-48.4704"/>
        <n v="44.955"/>
        <n v="0.7228"/>
        <n v="69.999"/>
        <n v="5.434"/>
        <n v="23.8581"/>
        <n v="95.586"/>
        <n v="0.5904"/>
        <n v="107.985"/>
        <n v="-14.0928"/>
        <n v="18.873"/>
        <n v="1.7739"/>
        <n v="5.616"/>
        <n v="5.397"/>
        <n v="1.043"/>
        <n v="11.1664"/>
        <n v="84.5728"/>
        <n v="4.5188"/>
        <n v="2.299"/>
        <n v="4.3372"/>
        <n v="5.5177"/>
        <n v="18.6624"/>
        <n v="71.99"/>
        <n v="-4.1832"/>
        <n v="19.656"/>
        <n v="3.5152"/>
        <n v="12.4902"/>
        <n v="5.5566"/>
        <n v="26.376"/>
        <n v="16.302"/>
        <n v="-0.6435"/>
        <n v="-1.728"/>
        <n v="6.5286"/>
        <n v="8.0406"/>
        <n v="-27.828"/>
        <n v="-70.1043"/>
        <n v="36.4044"/>
        <n v="-1.4413"/>
        <n v="9.2442"/>
        <n v="-25.592"/>
        <n v="62.737"/>
        <n v="4.908"/>
        <n v="-90.2484"/>
        <n v="1.6196"/>
        <n v="1.5522"/>
        <n v="6.104"/>
        <n v="-204.4458"/>
        <n v="108.7996"/>
        <n v="26.3967"/>
        <n v="118.293"/>
        <n v="31.2736"/>
        <n v="3.2832"/>
        <n v="10.8864"/>
        <n v="11.46"/>
        <n v="6.3296"/>
        <n v="17.428"/>
        <n v="-1.35"/>
        <n v="34.7802"/>
        <n v="41.952"/>
        <n v="-31.3722"/>
        <n v="1.8032"/>
        <n v="4.0749"/>
        <n v="5.0112"/>
        <n v="5.8653"/>
        <n v="1.316"/>
        <n v="106.1242"/>
        <n v="1.764"/>
        <n v="2.8812"/>
        <n v="3.6632"/>
        <n v="3.185"/>
        <n v="3.36"/>
        <n v="5.5875"/>
        <n v="-9.098"/>
        <n v="27.248"/>
        <n v="2.065"/>
        <n v="48.9516"/>
        <n v="16.7986"/>
        <n v="0.4074"/>
        <n v="11.5971"/>
        <n v="29.0136"/>
        <n v="54.8604"/>
        <n v="57.385"/>
        <n v="39.5428"/>
        <n v="3.504"/>
        <n v="12.8151"/>
        <n v="-295.9785"/>
        <n v="4.1151"/>
        <n v="-0.2685"/>
        <n v="-9.153"/>
        <n v="2.3952"/>
        <n v="2.9592"/>
        <n v="5.8604"/>
        <n v="22.6764"/>
        <n v="-35.9058"/>
        <n v="27.3568"/>
        <n v="99.23"/>
        <n v="84.495"/>
        <n v="155.25"/>
        <n v="9.3312"/>
        <n v="3.945"/>
        <n v="53.8608"/>
        <n v="45.8136"/>
        <n v="10.0485"/>
        <n v="27.735"/>
        <n v="3.668"/>
        <n v="19.3314"/>
        <n v="96.3438"/>
        <n v="26.07"/>
        <n v="9.1056"/>
        <n v="15.387"/>
        <n v="6.2905"/>
        <n v="5.8045"/>
        <n v="20.6142"/>
        <n v="-69.89"/>
        <n v="9.6048"/>
        <n v="3.6894"/>
        <n v="7.6154"/>
        <n v="10.518"/>
        <n v="-5.8604"/>
        <n v="107.7216"/>
        <n v="64.7856"/>
        <n v="6.0416"/>
        <n v="26.985"/>
        <n v="3.6296"/>
        <n v="0.6993"/>
        <n v="28.13"/>
        <n v="-166.32"/>
        <n v="126.8973"/>
        <n v="5.9211"/>
        <n v="39.4268"/>
        <n v="11.7741"/>
        <n v="-465.568"/>
        <n v="25.792"/>
        <n v="20.5842"/>
        <n v="47.0376"/>
        <n v="10.395"/>
        <n v="843.1706"/>
        <n v="9.0912"/>
        <n v="8.532"/>
        <n v="65.978"/>
        <n v="302.373"/>
        <n v="107.955"/>
        <n v="-13.312"/>
        <n v="6.468"/>
        <n v="-8.6768"/>
        <n v="191.9968"/>
        <n v="-766.012"/>
        <n v="21.9945"/>
        <n v="35.9964"/>
        <n v="84.2352"/>
        <n v="481.869"/>
        <n v="3.8822"/>
        <n v="45.5392"/>
        <n v="-1.294"/>
        <n v="-46.137"/>
        <n v="2.5592"/>
        <n v="19.95"/>
        <n v="13.0095"/>
        <n v="-25.9136"/>
        <n v="73.5448"/>
        <n v="1.0797"/>
        <n v="9.3184"/>
        <n v="-122.3928"/>
        <n v="-11.439"/>
        <n v="-53.2704"/>
        <n v="43.5981"/>
        <n v="150.984"/>
        <n v="1.752"/>
        <n v="6.9132"/>
        <n v="21.0128"/>
        <n v="7.25"/>
        <n v="-46.3946"/>
        <n v="233.2204"/>
        <n v="0.9856"/>
        <n v="3.6192"/>
        <n v="-89.089"/>
        <n v="-98.8018"/>
        <n v="31.587"/>
        <n v="381.297"/>
        <n v="15.2712"/>
        <n v="6.4128"/>
        <n v="2.4"/>
        <n v="79.1934"/>
        <n v="2.6892"/>
        <n v="6.3504"/>
        <n v="-6.098"/>
        <n v="5.2026"/>
        <n v="80.3682"/>
        <n v="171.93"/>
        <n v="35.099"/>
        <n v="29.952"/>
        <n v="11.2476"/>
        <n v="200.9546"/>
        <n v="45.7704"/>
        <n v="3.1104"/>
        <n v="7.986"/>
        <n v="2.632"/>
        <n v="95.2"/>
        <n v="65.2064"/>
        <n v="-99.2664"/>
        <n v="13.4865"/>
        <n v="4.2816"/>
        <n v="-99.1764"/>
        <n v="303.3408"/>
        <n v="1228.1787"/>
        <n v="32.392"/>
        <n v="4.4312"/>
        <n v="3.4686"/>
        <n v="-33.484"/>
        <n v="5.256"/>
        <n v="18.0648"/>
        <n v="22.3776"/>
        <n v="14.3952"/>
        <n v="27.69"/>
        <n v="52.4979"/>
        <n v="7.0218"/>
        <n v="-0.8558"/>
        <n v="2.598"/>
        <n v="23.028"/>
        <n v="12.4416"/>
        <n v="3919.9888"/>
        <n v="17.1828"/>
        <n v="61.389"/>
        <n v="9.3296"/>
        <n v="4.2048"/>
        <n v="20.8719"/>
        <n v="4.5882"/>
        <n v="79.8912"/>
        <n v="-8.1312"/>
        <n v="10.6232"/>
        <n v="15.1158"/>
        <n v="6.7915"/>
        <n v="13.4292"/>
        <n v="-6.0324"/>
        <n v="2.224"/>
        <n v="31.5372"/>
        <n v="23.232"/>
        <n v="-80.48"/>
        <n v="17.3754"/>
        <n v="0.471"/>
        <n v="51.57"/>
        <n v="2.352"/>
        <n v="4.1769"/>
        <n v="-32.3388"/>
        <n v="15.7584"/>
        <n v="13.2352"/>
        <n v="22.5296"/>
        <n v="23.235"/>
        <n v="12.99"/>
        <n v="7.9128"/>
        <n v="13"/>
        <n v="31.941"/>
        <n v="9.1764"/>
        <n v="7.2576"/>
        <n v="6.24"/>
        <n v="62.244"/>
        <n v="-9.223"/>
        <n v="-14.4588"/>
        <n v="31.0912"/>
        <n v="70.006"/>
        <n v="134.654"/>
        <n v="9.744"/>
        <n v="25.424"/>
        <n v="34.758"/>
        <n v="11.556"/>
        <n v="-47.3968"/>
        <n v="6.3744"/>
        <n v="108.3528"/>
        <n v="33.7212"/>
        <n v="-8.029"/>
        <n v="-6.0192"/>
        <n v="2.338"/>
        <n v="12.5832"/>
        <n v="-77.333"/>
        <n v="24.7275"/>
        <n v="5.2773"/>
        <n v="-4.704"/>
        <n v="33.995"/>
        <n v="3.8073"/>
        <n v="4.9648"/>
        <n v="3.4196"/>
        <n v="6.9795"/>
        <n v="9.9873"/>
        <n v="-16.9568"/>
        <n v="33.3136"/>
        <n v="1.651"/>
        <n v="16.1838"/>
        <n v="20.1584"/>
        <n v="257.9871"/>
        <n v="1.8144"/>
        <n v="3.89"/>
        <n v="16.7946"/>
        <n v="19.4656"/>
        <n v="3.792"/>
        <n v="12.1348"/>
        <n v="62.3904"/>
        <n v="14.3075"/>
        <n v="10.2592"/>
        <n v="26.649"/>
        <n v="10.647"/>
        <n v="14.501"/>
        <n v="2.99"/>
        <n v="18.396"/>
        <n v="16.7034"/>
        <n v="24.219"/>
        <n v="13.846"/>
        <n v="97.4586"/>
        <n v="0.4984"/>
        <n v="-6.8992"/>
        <n v="134.9925"/>
        <n v="-14.7931"/>
        <n v="15.764"/>
        <n v="115.1856"/>
        <n v="-10.6547"/>
        <n v="4.995"/>
        <n v="-18.8364"/>
        <n v="177.4206"/>
        <n v="190.4298"/>
        <n v="14.628"/>
        <n v="34.742"/>
        <n v="-6.4233"/>
        <n v="149.8956"/>
        <n v="3.7996"/>
        <n v="62.7822"/>
        <n v="-209.7693"/>
        <n v="9.1872"/>
        <n v="18.1146"/>
        <n v="5.0764"/>
        <n v="3.72"/>
        <n v="1.6776"/>
        <n v="5.4801"/>
        <n v="-6.9828"/>
        <n v="3.2352"/>
        <n v="8.3524"/>
        <n v="0.5508"/>
        <n v="9.072"/>
        <n v="35.245"/>
        <n v="16.1568"/>
        <n v="0.6624"/>
        <n v="743.988"/>
        <n v="32.2514"/>
        <n v="217.767"/>
        <n v="12.1149"/>
        <n v="1.848"/>
        <n v="5.7568"/>
        <n v="11.1176"/>
        <n v="16.17"/>
        <n v="20.7675"/>
        <n v="12.096"/>
        <n v="11.5587"/>
        <n v="6.0726"/>
        <n v="0.4641"/>
        <n v="12.1452"/>
        <n v="18.96"/>
        <n v="2.808"/>
        <n v="17.108"/>
        <n v="71.9952"/>
        <n v="5.4768"/>
        <n v="18.33"/>
        <n v="52.8228"/>
        <n v="-12.208"/>
        <n v="1.652"/>
        <n v="3.4944"/>
        <n v="1.2348"/>
        <n v="6.045"/>
        <n v="34.786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1"/>
    <x v="1"/>
    <x v="1"/>
    <x v="0"/>
    <x v="1"/>
    <x v="1"/>
    <x v="1"/>
    <x v="1"/>
    <x v="1"/>
    <x v="1"/>
    <x v="1"/>
    <x v="1"/>
    <x v="1"/>
    <x v="0"/>
    <x v="0"/>
    <x v="1"/>
  </r>
  <r>
    <x v="2"/>
    <x v="1"/>
    <x v="2"/>
    <x v="2"/>
    <x v="1"/>
    <x v="2"/>
    <x v="2"/>
    <x v="0"/>
    <x v="0"/>
    <x v="2"/>
    <x v="2"/>
    <x v="2"/>
    <x v="0"/>
    <x v="2"/>
    <x v="0"/>
    <x v="2"/>
    <x v="2"/>
    <x v="2"/>
    <x v="1"/>
    <x v="1"/>
    <x v="2"/>
  </r>
  <r>
    <x v="3"/>
    <x v="0"/>
    <x v="3"/>
    <x v="3"/>
    <x v="1"/>
    <x v="3"/>
    <x v="3"/>
    <x v="0"/>
    <x v="0"/>
    <x v="1"/>
    <x v="1"/>
    <x v="3"/>
    <x v="1"/>
    <x v="3"/>
    <x v="0"/>
    <x v="3"/>
    <x v="3"/>
    <x v="3"/>
    <x v="2"/>
    <x v="0"/>
    <x v="3"/>
  </r>
  <r>
    <x v="4"/>
    <x v="0"/>
    <x v="4"/>
    <x v="4"/>
    <x v="1"/>
    <x v="4"/>
    <x v="4"/>
    <x v="0"/>
    <x v="0"/>
    <x v="3"/>
    <x v="3"/>
    <x v="4"/>
    <x v="0"/>
    <x v="4"/>
    <x v="1"/>
    <x v="4"/>
    <x v="4"/>
    <x v="4"/>
    <x v="3"/>
    <x v="2"/>
    <x v="4"/>
  </r>
  <r>
    <x v="5"/>
    <x v="0"/>
    <x v="5"/>
    <x v="5"/>
    <x v="1"/>
    <x v="5"/>
    <x v="5"/>
    <x v="0"/>
    <x v="0"/>
    <x v="4"/>
    <x v="4"/>
    <x v="5"/>
    <x v="1"/>
    <x v="5"/>
    <x v="1"/>
    <x v="5"/>
    <x v="5"/>
    <x v="5"/>
    <x v="3"/>
    <x v="2"/>
    <x v="5"/>
  </r>
  <r>
    <x v="6"/>
    <x v="1"/>
    <x v="6"/>
    <x v="6"/>
    <x v="1"/>
    <x v="6"/>
    <x v="6"/>
    <x v="2"/>
    <x v="0"/>
    <x v="5"/>
    <x v="5"/>
    <x v="6"/>
    <x v="2"/>
    <x v="6"/>
    <x v="1"/>
    <x v="6"/>
    <x v="6"/>
    <x v="6"/>
    <x v="1"/>
    <x v="3"/>
    <x v="6"/>
  </r>
  <r>
    <x v="7"/>
    <x v="0"/>
    <x v="7"/>
    <x v="7"/>
    <x v="1"/>
    <x v="7"/>
    <x v="7"/>
    <x v="0"/>
    <x v="0"/>
    <x v="6"/>
    <x v="6"/>
    <x v="7"/>
    <x v="2"/>
    <x v="7"/>
    <x v="1"/>
    <x v="7"/>
    <x v="7"/>
    <x v="7"/>
    <x v="4"/>
    <x v="0"/>
    <x v="7"/>
  </r>
  <r>
    <x v="8"/>
    <x v="0"/>
    <x v="8"/>
    <x v="8"/>
    <x v="0"/>
    <x v="8"/>
    <x v="8"/>
    <x v="0"/>
    <x v="0"/>
    <x v="7"/>
    <x v="7"/>
    <x v="8"/>
    <x v="1"/>
    <x v="8"/>
    <x v="1"/>
    <x v="7"/>
    <x v="8"/>
    <x v="8"/>
    <x v="0"/>
    <x v="0"/>
    <x v="8"/>
  </r>
  <r>
    <x v="9"/>
    <x v="0"/>
    <x v="9"/>
    <x v="9"/>
    <x v="0"/>
    <x v="9"/>
    <x v="9"/>
    <x v="0"/>
    <x v="0"/>
    <x v="8"/>
    <x v="1"/>
    <x v="9"/>
    <x v="1"/>
    <x v="9"/>
    <x v="1"/>
    <x v="8"/>
    <x v="9"/>
    <x v="9"/>
    <x v="0"/>
    <x v="0"/>
    <x v="9"/>
  </r>
  <r>
    <x v="10"/>
    <x v="0"/>
    <x v="10"/>
    <x v="10"/>
    <x v="1"/>
    <x v="10"/>
    <x v="10"/>
    <x v="1"/>
    <x v="0"/>
    <x v="9"/>
    <x v="8"/>
    <x v="10"/>
    <x v="2"/>
    <x v="10"/>
    <x v="1"/>
    <x v="8"/>
    <x v="10"/>
    <x v="10"/>
    <x v="2"/>
    <x v="0"/>
    <x v="10"/>
  </r>
  <r>
    <x v="11"/>
    <x v="1"/>
    <x v="11"/>
    <x v="11"/>
    <x v="0"/>
    <x v="11"/>
    <x v="11"/>
    <x v="0"/>
    <x v="0"/>
    <x v="10"/>
    <x v="9"/>
    <x v="11"/>
    <x v="3"/>
    <x v="11"/>
    <x v="0"/>
    <x v="9"/>
    <x v="11"/>
    <x v="11"/>
    <x v="0"/>
    <x v="4"/>
    <x v="11"/>
  </r>
  <r>
    <x v="12"/>
    <x v="0"/>
    <x v="12"/>
    <x v="12"/>
    <x v="1"/>
    <x v="12"/>
    <x v="12"/>
    <x v="0"/>
    <x v="0"/>
    <x v="11"/>
    <x v="7"/>
    <x v="12"/>
    <x v="1"/>
    <x v="2"/>
    <x v="0"/>
    <x v="2"/>
    <x v="2"/>
    <x v="12"/>
    <x v="3"/>
    <x v="0"/>
    <x v="12"/>
  </r>
  <r>
    <x v="13"/>
    <x v="0"/>
    <x v="13"/>
    <x v="13"/>
    <x v="0"/>
    <x v="13"/>
    <x v="13"/>
    <x v="0"/>
    <x v="0"/>
    <x v="1"/>
    <x v="1"/>
    <x v="13"/>
    <x v="1"/>
    <x v="12"/>
    <x v="1"/>
    <x v="5"/>
    <x v="12"/>
    <x v="13"/>
    <x v="0"/>
    <x v="2"/>
    <x v="13"/>
  </r>
  <r>
    <x v="14"/>
    <x v="1"/>
    <x v="14"/>
    <x v="14"/>
    <x v="1"/>
    <x v="14"/>
    <x v="14"/>
    <x v="0"/>
    <x v="0"/>
    <x v="10"/>
    <x v="9"/>
    <x v="11"/>
    <x v="3"/>
    <x v="13"/>
    <x v="0"/>
    <x v="0"/>
    <x v="13"/>
    <x v="14"/>
    <x v="2"/>
    <x v="5"/>
    <x v="14"/>
  </r>
  <r>
    <x v="15"/>
    <x v="0"/>
    <x v="15"/>
    <x v="15"/>
    <x v="0"/>
    <x v="15"/>
    <x v="15"/>
    <x v="2"/>
    <x v="0"/>
    <x v="12"/>
    <x v="5"/>
    <x v="14"/>
    <x v="2"/>
    <x v="14"/>
    <x v="1"/>
    <x v="4"/>
    <x v="14"/>
    <x v="15"/>
    <x v="3"/>
    <x v="2"/>
    <x v="15"/>
  </r>
  <r>
    <x v="16"/>
    <x v="0"/>
    <x v="16"/>
    <x v="5"/>
    <x v="2"/>
    <x v="16"/>
    <x v="16"/>
    <x v="1"/>
    <x v="0"/>
    <x v="13"/>
    <x v="5"/>
    <x v="15"/>
    <x v="2"/>
    <x v="15"/>
    <x v="2"/>
    <x v="10"/>
    <x v="15"/>
    <x v="16"/>
    <x v="2"/>
    <x v="2"/>
    <x v="16"/>
  </r>
  <r>
    <x v="17"/>
    <x v="0"/>
    <x v="17"/>
    <x v="16"/>
    <x v="1"/>
    <x v="17"/>
    <x v="17"/>
    <x v="2"/>
    <x v="0"/>
    <x v="12"/>
    <x v="5"/>
    <x v="16"/>
    <x v="2"/>
    <x v="16"/>
    <x v="1"/>
    <x v="11"/>
    <x v="16"/>
    <x v="17"/>
    <x v="5"/>
    <x v="2"/>
    <x v="17"/>
  </r>
  <r>
    <x v="18"/>
    <x v="0"/>
    <x v="18"/>
    <x v="17"/>
    <x v="1"/>
    <x v="18"/>
    <x v="18"/>
    <x v="1"/>
    <x v="0"/>
    <x v="14"/>
    <x v="10"/>
    <x v="17"/>
    <x v="2"/>
    <x v="17"/>
    <x v="2"/>
    <x v="10"/>
    <x v="17"/>
    <x v="18"/>
    <x v="6"/>
    <x v="2"/>
    <x v="18"/>
  </r>
  <r>
    <x v="19"/>
    <x v="0"/>
    <x v="19"/>
    <x v="18"/>
    <x v="1"/>
    <x v="19"/>
    <x v="19"/>
    <x v="1"/>
    <x v="0"/>
    <x v="1"/>
    <x v="1"/>
    <x v="13"/>
    <x v="1"/>
    <x v="18"/>
    <x v="1"/>
    <x v="7"/>
    <x v="18"/>
    <x v="19"/>
    <x v="0"/>
    <x v="0"/>
    <x v="19"/>
  </r>
  <r>
    <x v="20"/>
    <x v="0"/>
    <x v="20"/>
    <x v="19"/>
    <x v="1"/>
    <x v="20"/>
    <x v="20"/>
    <x v="1"/>
    <x v="0"/>
    <x v="15"/>
    <x v="2"/>
    <x v="18"/>
    <x v="0"/>
    <x v="19"/>
    <x v="1"/>
    <x v="7"/>
    <x v="19"/>
    <x v="20"/>
    <x v="0"/>
    <x v="2"/>
    <x v="20"/>
  </r>
  <r>
    <x v="21"/>
    <x v="0"/>
    <x v="21"/>
    <x v="20"/>
    <x v="2"/>
    <x v="21"/>
    <x v="21"/>
    <x v="1"/>
    <x v="0"/>
    <x v="16"/>
    <x v="11"/>
    <x v="19"/>
    <x v="2"/>
    <x v="20"/>
    <x v="2"/>
    <x v="12"/>
    <x v="20"/>
    <x v="21"/>
    <x v="0"/>
    <x v="0"/>
    <x v="21"/>
  </r>
  <r>
    <x v="22"/>
    <x v="0"/>
    <x v="22"/>
    <x v="21"/>
    <x v="0"/>
    <x v="22"/>
    <x v="22"/>
    <x v="0"/>
    <x v="0"/>
    <x v="17"/>
    <x v="12"/>
    <x v="20"/>
    <x v="2"/>
    <x v="21"/>
    <x v="1"/>
    <x v="7"/>
    <x v="21"/>
    <x v="22"/>
    <x v="6"/>
    <x v="0"/>
    <x v="22"/>
  </r>
  <r>
    <x v="23"/>
    <x v="0"/>
    <x v="23"/>
    <x v="22"/>
    <x v="1"/>
    <x v="23"/>
    <x v="23"/>
    <x v="0"/>
    <x v="0"/>
    <x v="18"/>
    <x v="13"/>
    <x v="21"/>
    <x v="3"/>
    <x v="22"/>
    <x v="2"/>
    <x v="12"/>
    <x v="22"/>
    <x v="23"/>
    <x v="3"/>
    <x v="0"/>
    <x v="23"/>
  </r>
  <r>
    <x v="24"/>
    <x v="0"/>
    <x v="24"/>
    <x v="23"/>
    <x v="1"/>
    <x v="24"/>
    <x v="24"/>
    <x v="0"/>
    <x v="0"/>
    <x v="19"/>
    <x v="14"/>
    <x v="22"/>
    <x v="2"/>
    <x v="23"/>
    <x v="1"/>
    <x v="5"/>
    <x v="23"/>
    <x v="24"/>
    <x v="4"/>
    <x v="0"/>
    <x v="24"/>
  </r>
  <r>
    <x v="25"/>
    <x v="0"/>
    <x v="25"/>
    <x v="24"/>
    <x v="1"/>
    <x v="25"/>
    <x v="25"/>
    <x v="1"/>
    <x v="0"/>
    <x v="20"/>
    <x v="15"/>
    <x v="23"/>
    <x v="3"/>
    <x v="24"/>
    <x v="1"/>
    <x v="13"/>
    <x v="24"/>
    <x v="25"/>
    <x v="2"/>
    <x v="0"/>
    <x v="25"/>
  </r>
  <r>
    <x v="26"/>
    <x v="0"/>
    <x v="26"/>
    <x v="25"/>
    <x v="2"/>
    <x v="26"/>
    <x v="26"/>
    <x v="0"/>
    <x v="0"/>
    <x v="21"/>
    <x v="15"/>
    <x v="24"/>
    <x v="3"/>
    <x v="25"/>
    <x v="1"/>
    <x v="7"/>
    <x v="25"/>
    <x v="26"/>
    <x v="4"/>
    <x v="0"/>
    <x v="26"/>
  </r>
  <r>
    <x v="27"/>
    <x v="0"/>
    <x v="27"/>
    <x v="26"/>
    <x v="1"/>
    <x v="27"/>
    <x v="27"/>
    <x v="0"/>
    <x v="0"/>
    <x v="1"/>
    <x v="1"/>
    <x v="25"/>
    <x v="1"/>
    <x v="26"/>
    <x v="2"/>
    <x v="12"/>
    <x v="26"/>
    <x v="27"/>
    <x v="0"/>
    <x v="0"/>
    <x v="27"/>
  </r>
  <r>
    <x v="28"/>
    <x v="1"/>
    <x v="28"/>
    <x v="27"/>
    <x v="1"/>
    <x v="28"/>
    <x v="28"/>
    <x v="2"/>
    <x v="0"/>
    <x v="22"/>
    <x v="10"/>
    <x v="26"/>
    <x v="2"/>
    <x v="27"/>
    <x v="0"/>
    <x v="9"/>
    <x v="27"/>
    <x v="28"/>
    <x v="1"/>
    <x v="4"/>
    <x v="28"/>
  </r>
  <r>
    <x v="29"/>
    <x v="0"/>
    <x v="29"/>
    <x v="28"/>
    <x v="1"/>
    <x v="29"/>
    <x v="29"/>
    <x v="1"/>
    <x v="0"/>
    <x v="23"/>
    <x v="16"/>
    <x v="27"/>
    <x v="1"/>
    <x v="28"/>
    <x v="1"/>
    <x v="8"/>
    <x v="28"/>
    <x v="29"/>
    <x v="7"/>
    <x v="2"/>
    <x v="29"/>
  </r>
  <r>
    <x v="30"/>
    <x v="0"/>
    <x v="30"/>
    <x v="29"/>
    <x v="2"/>
    <x v="30"/>
    <x v="30"/>
    <x v="0"/>
    <x v="0"/>
    <x v="24"/>
    <x v="17"/>
    <x v="28"/>
    <x v="0"/>
    <x v="29"/>
    <x v="1"/>
    <x v="4"/>
    <x v="29"/>
    <x v="30"/>
    <x v="0"/>
    <x v="0"/>
    <x v="30"/>
  </r>
  <r>
    <x v="31"/>
    <x v="0"/>
    <x v="31"/>
    <x v="30"/>
    <x v="1"/>
    <x v="31"/>
    <x v="31"/>
    <x v="0"/>
    <x v="0"/>
    <x v="20"/>
    <x v="15"/>
    <x v="29"/>
    <x v="3"/>
    <x v="30"/>
    <x v="1"/>
    <x v="5"/>
    <x v="30"/>
    <x v="31"/>
    <x v="8"/>
    <x v="2"/>
    <x v="31"/>
  </r>
  <r>
    <x v="32"/>
    <x v="1"/>
    <x v="32"/>
    <x v="31"/>
    <x v="1"/>
    <x v="32"/>
    <x v="32"/>
    <x v="0"/>
    <x v="0"/>
    <x v="25"/>
    <x v="18"/>
    <x v="30"/>
    <x v="0"/>
    <x v="31"/>
    <x v="0"/>
    <x v="9"/>
    <x v="31"/>
    <x v="32"/>
    <x v="7"/>
    <x v="2"/>
    <x v="32"/>
  </r>
  <r>
    <x v="33"/>
    <x v="1"/>
    <x v="33"/>
    <x v="32"/>
    <x v="2"/>
    <x v="33"/>
    <x v="33"/>
    <x v="1"/>
    <x v="0"/>
    <x v="12"/>
    <x v="5"/>
    <x v="16"/>
    <x v="2"/>
    <x v="32"/>
    <x v="1"/>
    <x v="5"/>
    <x v="32"/>
    <x v="33"/>
    <x v="3"/>
    <x v="3"/>
    <x v="33"/>
  </r>
  <r>
    <x v="34"/>
    <x v="0"/>
    <x v="1"/>
    <x v="33"/>
    <x v="2"/>
    <x v="34"/>
    <x v="34"/>
    <x v="1"/>
    <x v="0"/>
    <x v="26"/>
    <x v="19"/>
    <x v="31"/>
    <x v="0"/>
    <x v="33"/>
    <x v="1"/>
    <x v="6"/>
    <x v="33"/>
    <x v="34"/>
    <x v="8"/>
    <x v="0"/>
    <x v="34"/>
  </r>
  <r>
    <x v="35"/>
    <x v="0"/>
    <x v="34"/>
    <x v="34"/>
    <x v="1"/>
    <x v="35"/>
    <x v="35"/>
    <x v="0"/>
    <x v="0"/>
    <x v="8"/>
    <x v="1"/>
    <x v="32"/>
    <x v="1"/>
    <x v="34"/>
    <x v="1"/>
    <x v="8"/>
    <x v="34"/>
    <x v="35"/>
    <x v="1"/>
    <x v="0"/>
    <x v="35"/>
  </r>
  <r>
    <x v="36"/>
    <x v="0"/>
    <x v="35"/>
    <x v="35"/>
    <x v="1"/>
    <x v="36"/>
    <x v="36"/>
    <x v="1"/>
    <x v="0"/>
    <x v="27"/>
    <x v="3"/>
    <x v="33"/>
    <x v="0"/>
    <x v="35"/>
    <x v="1"/>
    <x v="11"/>
    <x v="35"/>
    <x v="36"/>
    <x v="2"/>
    <x v="2"/>
    <x v="36"/>
  </r>
  <r>
    <x v="37"/>
    <x v="1"/>
    <x v="36"/>
    <x v="36"/>
    <x v="2"/>
    <x v="37"/>
    <x v="37"/>
    <x v="2"/>
    <x v="0"/>
    <x v="22"/>
    <x v="10"/>
    <x v="34"/>
    <x v="2"/>
    <x v="36"/>
    <x v="1"/>
    <x v="7"/>
    <x v="36"/>
    <x v="37"/>
    <x v="3"/>
    <x v="2"/>
    <x v="37"/>
  </r>
  <r>
    <x v="38"/>
    <x v="0"/>
    <x v="37"/>
    <x v="37"/>
    <x v="1"/>
    <x v="38"/>
    <x v="38"/>
    <x v="0"/>
    <x v="0"/>
    <x v="28"/>
    <x v="11"/>
    <x v="35"/>
    <x v="2"/>
    <x v="37"/>
    <x v="2"/>
    <x v="12"/>
    <x v="37"/>
    <x v="38"/>
    <x v="8"/>
    <x v="0"/>
    <x v="38"/>
  </r>
  <r>
    <x v="39"/>
    <x v="0"/>
    <x v="38"/>
    <x v="38"/>
    <x v="0"/>
    <x v="39"/>
    <x v="39"/>
    <x v="2"/>
    <x v="0"/>
    <x v="12"/>
    <x v="5"/>
    <x v="14"/>
    <x v="2"/>
    <x v="38"/>
    <x v="1"/>
    <x v="7"/>
    <x v="38"/>
    <x v="39"/>
    <x v="2"/>
    <x v="2"/>
    <x v="39"/>
  </r>
  <r>
    <x v="40"/>
    <x v="0"/>
    <x v="39"/>
    <x v="39"/>
    <x v="1"/>
    <x v="40"/>
    <x v="40"/>
    <x v="1"/>
    <x v="0"/>
    <x v="1"/>
    <x v="1"/>
    <x v="1"/>
    <x v="1"/>
    <x v="39"/>
    <x v="1"/>
    <x v="8"/>
    <x v="39"/>
    <x v="40"/>
    <x v="3"/>
    <x v="0"/>
    <x v="40"/>
  </r>
  <r>
    <x v="41"/>
    <x v="0"/>
    <x v="40"/>
    <x v="40"/>
    <x v="0"/>
    <x v="41"/>
    <x v="41"/>
    <x v="0"/>
    <x v="0"/>
    <x v="29"/>
    <x v="11"/>
    <x v="36"/>
    <x v="2"/>
    <x v="40"/>
    <x v="1"/>
    <x v="4"/>
    <x v="40"/>
    <x v="41"/>
    <x v="0"/>
    <x v="0"/>
    <x v="41"/>
  </r>
  <r>
    <x v="42"/>
    <x v="1"/>
    <x v="41"/>
    <x v="41"/>
    <x v="1"/>
    <x v="42"/>
    <x v="42"/>
    <x v="2"/>
    <x v="0"/>
    <x v="30"/>
    <x v="20"/>
    <x v="37"/>
    <x v="1"/>
    <x v="41"/>
    <x v="1"/>
    <x v="5"/>
    <x v="41"/>
    <x v="42"/>
    <x v="8"/>
    <x v="6"/>
    <x v="42"/>
  </r>
  <r>
    <x v="43"/>
    <x v="0"/>
    <x v="42"/>
    <x v="42"/>
    <x v="0"/>
    <x v="43"/>
    <x v="43"/>
    <x v="2"/>
    <x v="0"/>
    <x v="20"/>
    <x v="15"/>
    <x v="29"/>
    <x v="3"/>
    <x v="42"/>
    <x v="0"/>
    <x v="3"/>
    <x v="42"/>
    <x v="43"/>
    <x v="2"/>
    <x v="0"/>
    <x v="43"/>
  </r>
  <r>
    <x v="44"/>
    <x v="0"/>
    <x v="43"/>
    <x v="43"/>
    <x v="2"/>
    <x v="44"/>
    <x v="44"/>
    <x v="0"/>
    <x v="0"/>
    <x v="8"/>
    <x v="1"/>
    <x v="32"/>
    <x v="1"/>
    <x v="43"/>
    <x v="1"/>
    <x v="5"/>
    <x v="43"/>
    <x v="44"/>
    <x v="3"/>
    <x v="2"/>
    <x v="44"/>
  </r>
  <r>
    <x v="45"/>
    <x v="0"/>
    <x v="44"/>
    <x v="44"/>
    <x v="1"/>
    <x v="45"/>
    <x v="45"/>
    <x v="1"/>
    <x v="0"/>
    <x v="31"/>
    <x v="11"/>
    <x v="38"/>
    <x v="2"/>
    <x v="44"/>
    <x v="1"/>
    <x v="6"/>
    <x v="44"/>
    <x v="19"/>
    <x v="4"/>
    <x v="0"/>
    <x v="45"/>
  </r>
  <r>
    <x v="46"/>
    <x v="0"/>
    <x v="45"/>
    <x v="45"/>
    <x v="1"/>
    <x v="46"/>
    <x v="46"/>
    <x v="2"/>
    <x v="0"/>
    <x v="22"/>
    <x v="10"/>
    <x v="26"/>
    <x v="2"/>
    <x v="45"/>
    <x v="1"/>
    <x v="4"/>
    <x v="45"/>
    <x v="45"/>
    <x v="2"/>
    <x v="2"/>
    <x v="46"/>
  </r>
  <r>
    <x v="47"/>
    <x v="0"/>
    <x v="46"/>
    <x v="46"/>
    <x v="0"/>
    <x v="47"/>
    <x v="47"/>
    <x v="0"/>
    <x v="0"/>
    <x v="28"/>
    <x v="11"/>
    <x v="35"/>
    <x v="2"/>
    <x v="46"/>
    <x v="1"/>
    <x v="4"/>
    <x v="46"/>
    <x v="46"/>
    <x v="6"/>
    <x v="0"/>
    <x v="47"/>
  </r>
  <r>
    <x v="48"/>
    <x v="1"/>
    <x v="47"/>
    <x v="47"/>
    <x v="1"/>
    <x v="48"/>
    <x v="48"/>
    <x v="0"/>
    <x v="0"/>
    <x v="32"/>
    <x v="21"/>
    <x v="39"/>
    <x v="1"/>
    <x v="47"/>
    <x v="2"/>
    <x v="12"/>
    <x v="47"/>
    <x v="47"/>
    <x v="4"/>
    <x v="2"/>
    <x v="48"/>
  </r>
  <r>
    <x v="49"/>
    <x v="0"/>
    <x v="48"/>
    <x v="48"/>
    <x v="1"/>
    <x v="49"/>
    <x v="49"/>
    <x v="0"/>
    <x v="0"/>
    <x v="33"/>
    <x v="3"/>
    <x v="40"/>
    <x v="0"/>
    <x v="48"/>
    <x v="2"/>
    <x v="12"/>
    <x v="48"/>
    <x v="48"/>
    <x v="7"/>
    <x v="2"/>
    <x v="49"/>
  </r>
  <r>
    <x v="50"/>
    <x v="0"/>
    <x v="49"/>
    <x v="49"/>
    <x v="1"/>
    <x v="50"/>
    <x v="50"/>
    <x v="2"/>
    <x v="0"/>
    <x v="34"/>
    <x v="10"/>
    <x v="41"/>
    <x v="2"/>
    <x v="49"/>
    <x v="2"/>
    <x v="12"/>
    <x v="49"/>
    <x v="49"/>
    <x v="1"/>
    <x v="2"/>
    <x v="50"/>
  </r>
  <r>
    <x v="51"/>
    <x v="0"/>
    <x v="50"/>
    <x v="50"/>
    <x v="1"/>
    <x v="51"/>
    <x v="51"/>
    <x v="1"/>
    <x v="0"/>
    <x v="20"/>
    <x v="15"/>
    <x v="42"/>
    <x v="3"/>
    <x v="50"/>
    <x v="0"/>
    <x v="3"/>
    <x v="50"/>
    <x v="50"/>
    <x v="0"/>
    <x v="0"/>
    <x v="51"/>
  </r>
  <r>
    <x v="52"/>
    <x v="0"/>
    <x v="51"/>
    <x v="51"/>
    <x v="1"/>
    <x v="52"/>
    <x v="52"/>
    <x v="0"/>
    <x v="0"/>
    <x v="35"/>
    <x v="22"/>
    <x v="43"/>
    <x v="2"/>
    <x v="51"/>
    <x v="1"/>
    <x v="8"/>
    <x v="51"/>
    <x v="51"/>
    <x v="0"/>
    <x v="0"/>
    <x v="52"/>
  </r>
  <r>
    <x v="53"/>
    <x v="0"/>
    <x v="52"/>
    <x v="52"/>
    <x v="0"/>
    <x v="53"/>
    <x v="53"/>
    <x v="0"/>
    <x v="0"/>
    <x v="36"/>
    <x v="23"/>
    <x v="44"/>
    <x v="3"/>
    <x v="52"/>
    <x v="1"/>
    <x v="13"/>
    <x v="52"/>
    <x v="52"/>
    <x v="9"/>
    <x v="2"/>
    <x v="53"/>
  </r>
  <r>
    <x v="54"/>
    <x v="0"/>
    <x v="53"/>
    <x v="53"/>
    <x v="1"/>
    <x v="54"/>
    <x v="54"/>
    <x v="0"/>
    <x v="0"/>
    <x v="4"/>
    <x v="4"/>
    <x v="5"/>
    <x v="1"/>
    <x v="53"/>
    <x v="0"/>
    <x v="2"/>
    <x v="53"/>
    <x v="53"/>
    <x v="3"/>
    <x v="0"/>
    <x v="54"/>
  </r>
  <r>
    <x v="55"/>
    <x v="1"/>
    <x v="54"/>
    <x v="54"/>
    <x v="1"/>
    <x v="55"/>
    <x v="55"/>
    <x v="1"/>
    <x v="0"/>
    <x v="37"/>
    <x v="18"/>
    <x v="45"/>
    <x v="0"/>
    <x v="54"/>
    <x v="1"/>
    <x v="5"/>
    <x v="54"/>
    <x v="54"/>
    <x v="8"/>
    <x v="6"/>
    <x v="55"/>
  </r>
  <r>
    <x v="56"/>
    <x v="0"/>
    <x v="1"/>
    <x v="33"/>
    <x v="2"/>
    <x v="56"/>
    <x v="56"/>
    <x v="0"/>
    <x v="0"/>
    <x v="38"/>
    <x v="13"/>
    <x v="46"/>
    <x v="3"/>
    <x v="55"/>
    <x v="0"/>
    <x v="3"/>
    <x v="55"/>
    <x v="55"/>
    <x v="3"/>
    <x v="0"/>
    <x v="56"/>
  </r>
  <r>
    <x v="57"/>
    <x v="1"/>
    <x v="55"/>
    <x v="55"/>
    <x v="0"/>
    <x v="57"/>
    <x v="57"/>
    <x v="2"/>
    <x v="0"/>
    <x v="12"/>
    <x v="5"/>
    <x v="16"/>
    <x v="2"/>
    <x v="56"/>
    <x v="0"/>
    <x v="9"/>
    <x v="56"/>
    <x v="56"/>
    <x v="3"/>
    <x v="4"/>
    <x v="57"/>
  </r>
  <r>
    <x v="58"/>
    <x v="1"/>
    <x v="56"/>
    <x v="56"/>
    <x v="1"/>
    <x v="58"/>
    <x v="58"/>
    <x v="0"/>
    <x v="0"/>
    <x v="39"/>
    <x v="10"/>
    <x v="47"/>
    <x v="2"/>
    <x v="57"/>
    <x v="0"/>
    <x v="2"/>
    <x v="57"/>
    <x v="57"/>
    <x v="4"/>
    <x v="5"/>
    <x v="58"/>
  </r>
  <r>
    <x v="59"/>
    <x v="1"/>
    <x v="57"/>
    <x v="41"/>
    <x v="1"/>
    <x v="59"/>
    <x v="59"/>
    <x v="0"/>
    <x v="0"/>
    <x v="40"/>
    <x v="16"/>
    <x v="48"/>
    <x v="1"/>
    <x v="58"/>
    <x v="1"/>
    <x v="5"/>
    <x v="58"/>
    <x v="58"/>
    <x v="0"/>
    <x v="6"/>
    <x v="59"/>
  </r>
  <r>
    <x v="60"/>
    <x v="1"/>
    <x v="58"/>
    <x v="51"/>
    <x v="0"/>
    <x v="60"/>
    <x v="60"/>
    <x v="2"/>
    <x v="0"/>
    <x v="1"/>
    <x v="1"/>
    <x v="25"/>
    <x v="1"/>
    <x v="27"/>
    <x v="0"/>
    <x v="9"/>
    <x v="59"/>
    <x v="59"/>
    <x v="0"/>
    <x v="2"/>
    <x v="60"/>
  </r>
  <r>
    <x v="61"/>
    <x v="1"/>
    <x v="59"/>
    <x v="57"/>
    <x v="2"/>
    <x v="61"/>
    <x v="61"/>
    <x v="1"/>
    <x v="0"/>
    <x v="36"/>
    <x v="23"/>
    <x v="44"/>
    <x v="3"/>
    <x v="59"/>
    <x v="2"/>
    <x v="10"/>
    <x v="60"/>
    <x v="60"/>
    <x v="1"/>
    <x v="7"/>
    <x v="61"/>
  </r>
  <r>
    <x v="62"/>
    <x v="0"/>
    <x v="60"/>
    <x v="58"/>
    <x v="1"/>
    <x v="62"/>
    <x v="62"/>
    <x v="0"/>
    <x v="0"/>
    <x v="41"/>
    <x v="1"/>
    <x v="49"/>
    <x v="1"/>
    <x v="60"/>
    <x v="1"/>
    <x v="4"/>
    <x v="61"/>
    <x v="61"/>
    <x v="3"/>
    <x v="0"/>
    <x v="62"/>
  </r>
  <r>
    <x v="63"/>
    <x v="0"/>
    <x v="61"/>
    <x v="59"/>
    <x v="0"/>
    <x v="63"/>
    <x v="63"/>
    <x v="1"/>
    <x v="0"/>
    <x v="10"/>
    <x v="9"/>
    <x v="11"/>
    <x v="3"/>
    <x v="61"/>
    <x v="0"/>
    <x v="3"/>
    <x v="62"/>
    <x v="62"/>
    <x v="0"/>
    <x v="2"/>
    <x v="63"/>
  </r>
  <r>
    <x v="64"/>
    <x v="0"/>
    <x v="62"/>
    <x v="19"/>
    <x v="1"/>
    <x v="64"/>
    <x v="64"/>
    <x v="1"/>
    <x v="0"/>
    <x v="8"/>
    <x v="1"/>
    <x v="32"/>
    <x v="1"/>
    <x v="62"/>
    <x v="1"/>
    <x v="8"/>
    <x v="63"/>
    <x v="63"/>
    <x v="3"/>
    <x v="0"/>
    <x v="64"/>
  </r>
  <r>
    <x v="65"/>
    <x v="0"/>
    <x v="63"/>
    <x v="60"/>
    <x v="1"/>
    <x v="65"/>
    <x v="65"/>
    <x v="0"/>
    <x v="0"/>
    <x v="42"/>
    <x v="24"/>
    <x v="50"/>
    <x v="2"/>
    <x v="63"/>
    <x v="1"/>
    <x v="6"/>
    <x v="64"/>
    <x v="64"/>
    <x v="3"/>
    <x v="0"/>
    <x v="65"/>
  </r>
  <r>
    <x v="66"/>
    <x v="0"/>
    <x v="64"/>
    <x v="61"/>
    <x v="1"/>
    <x v="66"/>
    <x v="66"/>
    <x v="0"/>
    <x v="0"/>
    <x v="43"/>
    <x v="1"/>
    <x v="51"/>
    <x v="1"/>
    <x v="36"/>
    <x v="1"/>
    <x v="7"/>
    <x v="36"/>
    <x v="65"/>
    <x v="2"/>
    <x v="0"/>
    <x v="66"/>
  </r>
  <r>
    <x v="67"/>
    <x v="0"/>
    <x v="65"/>
    <x v="62"/>
    <x v="1"/>
    <x v="67"/>
    <x v="67"/>
    <x v="2"/>
    <x v="0"/>
    <x v="44"/>
    <x v="23"/>
    <x v="52"/>
    <x v="3"/>
    <x v="64"/>
    <x v="0"/>
    <x v="3"/>
    <x v="65"/>
    <x v="66"/>
    <x v="6"/>
    <x v="2"/>
    <x v="67"/>
  </r>
  <r>
    <x v="68"/>
    <x v="0"/>
    <x v="5"/>
    <x v="63"/>
    <x v="1"/>
    <x v="68"/>
    <x v="68"/>
    <x v="1"/>
    <x v="0"/>
    <x v="45"/>
    <x v="6"/>
    <x v="53"/>
    <x v="2"/>
    <x v="65"/>
    <x v="2"/>
    <x v="10"/>
    <x v="66"/>
    <x v="67"/>
    <x v="10"/>
    <x v="0"/>
    <x v="68"/>
  </r>
  <r>
    <x v="69"/>
    <x v="0"/>
    <x v="66"/>
    <x v="64"/>
    <x v="2"/>
    <x v="69"/>
    <x v="69"/>
    <x v="2"/>
    <x v="0"/>
    <x v="46"/>
    <x v="16"/>
    <x v="54"/>
    <x v="1"/>
    <x v="66"/>
    <x v="1"/>
    <x v="6"/>
    <x v="67"/>
    <x v="68"/>
    <x v="1"/>
    <x v="2"/>
    <x v="69"/>
  </r>
  <r>
    <x v="70"/>
    <x v="0"/>
    <x v="67"/>
    <x v="65"/>
    <x v="2"/>
    <x v="70"/>
    <x v="70"/>
    <x v="1"/>
    <x v="0"/>
    <x v="47"/>
    <x v="1"/>
    <x v="55"/>
    <x v="1"/>
    <x v="67"/>
    <x v="1"/>
    <x v="4"/>
    <x v="68"/>
    <x v="69"/>
    <x v="2"/>
    <x v="0"/>
    <x v="70"/>
  </r>
  <r>
    <x v="71"/>
    <x v="0"/>
    <x v="68"/>
    <x v="66"/>
    <x v="1"/>
    <x v="71"/>
    <x v="71"/>
    <x v="2"/>
    <x v="0"/>
    <x v="4"/>
    <x v="4"/>
    <x v="56"/>
    <x v="1"/>
    <x v="68"/>
    <x v="1"/>
    <x v="8"/>
    <x v="69"/>
    <x v="70"/>
    <x v="3"/>
    <x v="0"/>
    <x v="71"/>
  </r>
  <r>
    <x v="72"/>
    <x v="0"/>
    <x v="69"/>
    <x v="67"/>
    <x v="0"/>
    <x v="72"/>
    <x v="72"/>
    <x v="0"/>
    <x v="0"/>
    <x v="4"/>
    <x v="4"/>
    <x v="57"/>
    <x v="1"/>
    <x v="56"/>
    <x v="0"/>
    <x v="9"/>
    <x v="56"/>
    <x v="71"/>
    <x v="0"/>
    <x v="2"/>
    <x v="72"/>
  </r>
  <r>
    <x v="73"/>
    <x v="0"/>
    <x v="70"/>
    <x v="68"/>
    <x v="1"/>
    <x v="73"/>
    <x v="73"/>
    <x v="0"/>
    <x v="0"/>
    <x v="48"/>
    <x v="25"/>
    <x v="58"/>
    <x v="2"/>
    <x v="69"/>
    <x v="1"/>
    <x v="1"/>
    <x v="70"/>
    <x v="1"/>
    <x v="0"/>
    <x v="0"/>
    <x v="1"/>
  </r>
  <r>
    <x v="74"/>
    <x v="0"/>
    <x v="71"/>
    <x v="69"/>
    <x v="2"/>
    <x v="74"/>
    <x v="74"/>
    <x v="0"/>
    <x v="0"/>
    <x v="1"/>
    <x v="1"/>
    <x v="59"/>
    <x v="1"/>
    <x v="70"/>
    <x v="1"/>
    <x v="4"/>
    <x v="71"/>
    <x v="72"/>
    <x v="8"/>
    <x v="0"/>
    <x v="73"/>
  </r>
  <r>
    <x v="75"/>
    <x v="0"/>
    <x v="72"/>
    <x v="16"/>
    <x v="0"/>
    <x v="75"/>
    <x v="75"/>
    <x v="0"/>
    <x v="0"/>
    <x v="10"/>
    <x v="9"/>
    <x v="60"/>
    <x v="3"/>
    <x v="71"/>
    <x v="2"/>
    <x v="12"/>
    <x v="72"/>
    <x v="73"/>
    <x v="0"/>
    <x v="2"/>
    <x v="74"/>
  </r>
  <r>
    <x v="76"/>
    <x v="0"/>
    <x v="73"/>
    <x v="70"/>
    <x v="1"/>
    <x v="76"/>
    <x v="76"/>
    <x v="0"/>
    <x v="0"/>
    <x v="49"/>
    <x v="26"/>
    <x v="61"/>
    <x v="1"/>
    <x v="72"/>
    <x v="1"/>
    <x v="11"/>
    <x v="73"/>
    <x v="74"/>
    <x v="1"/>
    <x v="0"/>
    <x v="75"/>
  </r>
  <r>
    <x v="77"/>
    <x v="0"/>
    <x v="74"/>
    <x v="0"/>
    <x v="1"/>
    <x v="77"/>
    <x v="77"/>
    <x v="0"/>
    <x v="0"/>
    <x v="4"/>
    <x v="4"/>
    <x v="57"/>
    <x v="1"/>
    <x v="73"/>
    <x v="1"/>
    <x v="5"/>
    <x v="74"/>
    <x v="75"/>
    <x v="0"/>
    <x v="2"/>
    <x v="76"/>
  </r>
  <r>
    <x v="78"/>
    <x v="0"/>
    <x v="75"/>
    <x v="71"/>
    <x v="1"/>
    <x v="78"/>
    <x v="78"/>
    <x v="0"/>
    <x v="0"/>
    <x v="50"/>
    <x v="5"/>
    <x v="62"/>
    <x v="2"/>
    <x v="74"/>
    <x v="1"/>
    <x v="8"/>
    <x v="75"/>
    <x v="76"/>
    <x v="3"/>
    <x v="2"/>
    <x v="77"/>
  </r>
  <r>
    <x v="79"/>
    <x v="0"/>
    <x v="76"/>
    <x v="72"/>
    <x v="1"/>
    <x v="79"/>
    <x v="79"/>
    <x v="0"/>
    <x v="0"/>
    <x v="1"/>
    <x v="1"/>
    <x v="25"/>
    <x v="1"/>
    <x v="75"/>
    <x v="1"/>
    <x v="4"/>
    <x v="76"/>
    <x v="77"/>
    <x v="3"/>
    <x v="0"/>
    <x v="78"/>
  </r>
  <r>
    <x v="80"/>
    <x v="1"/>
    <x v="77"/>
    <x v="73"/>
    <x v="1"/>
    <x v="80"/>
    <x v="80"/>
    <x v="1"/>
    <x v="0"/>
    <x v="22"/>
    <x v="10"/>
    <x v="34"/>
    <x v="2"/>
    <x v="76"/>
    <x v="1"/>
    <x v="6"/>
    <x v="77"/>
    <x v="78"/>
    <x v="0"/>
    <x v="3"/>
    <x v="79"/>
  </r>
  <r>
    <x v="81"/>
    <x v="1"/>
    <x v="78"/>
    <x v="74"/>
    <x v="0"/>
    <x v="81"/>
    <x v="81"/>
    <x v="0"/>
    <x v="0"/>
    <x v="12"/>
    <x v="5"/>
    <x v="63"/>
    <x v="2"/>
    <x v="77"/>
    <x v="1"/>
    <x v="6"/>
    <x v="78"/>
    <x v="79"/>
    <x v="6"/>
    <x v="3"/>
    <x v="80"/>
  </r>
  <r>
    <x v="82"/>
    <x v="0"/>
    <x v="79"/>
    <x v="75"/>
    <x v="1"/>
    <x v="82"/>
    <x v="82"/>
    <x v="2"/>
    <x v="0"/>
    <x v="20"/>
    <x v="15"/>
    <x v="29"/>
    <x v="3"/>
    <x v="78"/>
    <x v="1"/>
    <x v="8"/>
    <x v="79"/>
    <x v="80"/>
    <x v="8"/>
    <x v="0"/>
    <x v="81"/>
  </r>
  <r>
    <x v="83"/>
    <x v="0"/>
    <x v="29"/>
    <x v="76"/>
    <x v="0"/>
    <x v="83"/>
    <x v="83"/>
    <x v="1"/>
    <x v="0"/>
    <x v="26"/>
    <x v="10"/>
    <x v="64"/>
    <x v="2"/>
    <x v="79"/>
    <x v="1"/>
    <x v="7"/>
    <x v="80"/>
    <x v="81"/>
    <x v="0"/>
    <x v="2"/>
    <x v="82"/>
  </r>
  <r>
    <x v="84"/>
    <x v="0"/>
    <x v="80"/>
    <x v="77"/>
    <x v="0"/>
    <x v="84"/>
    <x v="84"/>
    <x v="2"/>
    <x v="0"/>
    <x v="51"/>
    <x v="27"/>
    <x v="65"/>
    <x v="0"/>
    <x v="80"/>
    <x v="2"/>
    <x v="10"/>
    <x v="81"/>
    <x v="82"/>
    <x v="6"/>
    <x v="0"/>
    <x v="83"/>
  </r>
  <r>
    <x v="85"/>
    <x v="0"/>
    <x v="81"/>
    <x v="78"/>
    <x v="1"/>
    <x v="85"/>
    <x v="85"/>
    <x v="0"/>
    <x v="0"/>
    <x v="52"/>
    <x v="28"/>
    <x v="66"/>
    <x v="3"/>
    <x v="81"/>
    <x v="1"/>
    <x v="5"/>
    <x v="82"/>
    <x v="83"/>
    <x v="0"/>
    <x v="0"/>
    <x v="84"/>
  </r>
  <r>
    <x v="86"/>
    <x v="0"/>
    <x v="82"/>
    <x v="79"/>
    <x v="1"/>
    <x v="86"/>
    <x v="86"/>
    <x v="2"/>
    <x v="0"/>
    <x v="1"/>
    <x v="1"/>
    <x v="3"/>
    <x v="1"/>
    <x v="82"/>
    <x v="2"/>
    <x v="12"/>
    <x v="83"/>
    <x v="84"/>
    <x v="7"/>
    <x v="0"/>
    <x v="85"/>
  </r>
  <r>
    <x v="87"/>
    <x v="0"/>
    <x v="83"/>
    <x v="18"/>
    <x v="1"/>
    <x v="87"/>
    <x v="87"/>
    <x v="1"/>
    <x v="0"/>
    <x v="53"/>
    <x v="5"/>
    <x v="67"/>
    <x v="2"/>
    <x v="83"/>
    <x v="1"/>
    <x v="7"/>
    <x v="84"/>
    <x v="85"/>
    <x v="3"/>
    <x v="2"/>
    <x v="86"/>
  </r>
  <r>
    <x v="88"/>
    <x v="0"/>
    <x v="84"/>
    <x v="80"/>
    <x v="2"/>
    <x v="88"/>
    <x v="88"/>
    <x v="2"/>
    <x v="0"/>
    <x v="20"/>
    <x v="15"/>
    <x v="42"/>
    <x v="3"/>
    <x v="84"/>
    <x v="0"/>
    <x v="0"/>
    <x v="85"/>
    <x v="86"/>
    <x v="6"/>
    <x v="2"/>
    <x v="87"/>
  </r>
  <r>
    <x v="89"/>
    <x v="0"/>
    <x v="85"/>
    <x v="81"/>
    <x v="1"/>
    <x v="89"/>
    <x v="89"/>
    <x v="1"/>
    <x v="0"/>
    <x v="54"/>
    <x v="1"/>
    <x v="68"/>
    <x v="1"/>
    <x v="85"/>
    <x v="1"/>
    <x v="11"/>
    <x v="86"/>
    <x v="87"/>
    <x v="2"/>
    <x v="0"/>
    <x v="88"/>
  </r>
  <r>
    <x v="90"/>
    <x v="0"/>
    <x v="86"/>
    <x v="82"/>
    <x v="1"/>
    <x v="90"/>
    <x v="90"/>
    <x v="0"/>
    <x v="0"/>
    <x v="55"/>
    <x v="23"/>
    <x v="69"/>
    <x v="3"/>
    <x v="86"/>
    <x v="1"/>
    <x v="8"/>
    <x v="87"/>
    <x v="88"/>
    <x v="0"/>
    <x v="2"/>
    <x v="89"/>
  </r>
  <r>
    <x v="91"/>
    <x v="0"/>
    <x v="41"/>
    <x v="83"/>
    <x v="1"/>
    <x v="91"/>
    <x v="91"/>
    <x v="2"/>
    <x v="0"/>
    <x v="56"/>
    <x v="29"/>
    <x v="70"/>
    <x v="3"/>
    <x v="87"/>
    <x v="1"/>
    <x v="7"/>
    <x v="88"/>
    <x v="89"/>
    <x v="3"/>
    <x v="0"/>
    <x v="90"/>
  </r>
  <r>
    <x v="92"/>
    <x v="1"/>
    <x v="87"/>
    <x v="84"/>
    <x v="1"/>
    <x v="92"/>
    <x v="92"/>
    <x v="1"/>
    <x v="0"/>
    <x v="10"/>
    <x v="9"/>
    <x v="71"/>
    <x v="3"/>
    <x v="88"/>
    <x v="1"/>
    <x v="5"/>
    <x v="89"/>
    <x v="90"/>
    <x v="0"/>
    <x v="6"/>
    <x v="91"/>
  </r>
  <r>
    <x v="93"/>
    <x v="0"/>
    <x v="88"/>
    <x v="85"/>
    <x v="1"/>
    <x v="93"/>
    <x v="93"/>
    <x v="0"/>
    <x v="0"/>
    <x v="57"/>
    <x v="23"/>
    <x v="72"/>
    <x v="3"/>
    <x v="89"/>
    <x v="1"/>
    <x v="4"/>
    <x v="90"/>
    <x v="91"/>
    <x v="3"/>
    <x v="2"/>
    <x v="92"/>
  </r>
  <r>
    <x v="94"/>
    <x v="0"/>
    <x v="89"/>
    <x v="86"/>
    <x v="2"/>
    <x v="94"/>
    <x v="94"/>
    <x v="0"/>
    <x v="0"/>
    <x v="58"/>
    <x v="21"/>
    <x v="73"/>
    <x v="1"/>
    <x v="90"/>
    <x v="0"/>
    <x v="2"/>
    <x v="91"/>
    <x v="92"/>
    <x v="0"/>
    <x v="5"/>
    <x v="93"/>
  </r>
  <r>
    <x v="95"/>
    <x v="1"/>
    <x v="90"/>
    <x v="87"/>
    <x v="0"/>
    <x v="95"/>
    <x v="95"/>
    <x v="0"/>
    <x v="0"/>
    <x v="59"/>
    <x v="5"/>
    <x v="74"/>
    <x v="2"/>
    <x v="91"/>
    <x v="1"/>
    <x v="6"/>
    <x v="92"/>
    <x v="93"/>
    <x v="0"/>
    <x v="3"/>
    <x v="94"/>
  </r>
  <r>
    <x v="96"/>
    <x v="0"/>
    <x v="91"/>
    <x v="88"/>
    <x v="1"/>
    <x v="96"/>
    <x v="96"/>
    <x v="1"/>
    <x v="0"/>
    <x v="45"/>
    <x v="18"/>
    <x v="75"/>
    <x v="0"/>
    <x v="92"/>
    <x v="0"/>
    <x v="3"/>
    <x v="93"/>
    <x v="94"/>
    <x v="2"/>
    <x v="2"/>
    <x v="95"/>
  </r>
  <r>
    <x v="97"/>
    <x v="0"/>
    <x v="33"/>
    <x v="89"/>
    <x v="1"/>
    <x v="97"/>
    <x v="97"/>
    <x v="0"/>
    <x v="0"/>
    <x v="60"/>
    <x v="1"/>
    <x v="76"/>
    <x v="1"/>
    <x v="93"/>
    <x v="2"/>
    <x v="10"/>
    <x v="94"/>
    <x v="95"/>
    <x v="6"/>
    <x v="2"/>
    <x v="96"/>
  </r>
  <r>
    <x v="98"/>
    <x v="0"/>
    <x v="92"/>
    <x v="90"/>
    <x v="1"/>
    <x v="98"/>
    <x v="98"/>
    <x v="0"/>
    <x v="0"/>
    <x v="61"/>
    <x v="12"/>
    <x v="77"/>
    <x v="2"/>
    <x v="94"/>
    <x v="1"/>
    <x v="7"/>
    <x v="95"/>
    <x v="96"/>
    <x v="6"/>
    <x v="0"/>
    <x v="97"/>
  </r>
  <r>
    <x v="99"/>
    <x v="0"/>
    <x v="93"/>
    <x v="91"/>
    <x v="0"/>
    <x v="99"/>
    <x v="99"/>
    <x v="1"/>
    <x v="0"/>
    <x v="59"/>
    <x v="5"/>
    <x v="74"/>
    <x v="2"/>
    <x v="95"/>
    <x v="2"/>
    <x v="12"/>
    <x v="96"/>
    <x v="97"/>
    <x v="0"/>
    <x v="2"/>
    <x v="98"/>
  </r>
  <r>
    <x v="100"/>
    <x v="0"/>
    <x v="94"/>
    <x v="92"/>
    <x v="1"/>
    <x v="100"/>
    <x v="100"/>
    <x v="1"/>
    <x v="0"/>
    <x v="62"/>
    <x v="23"/>
    <x v="78"/>
    <x v="3"/>
    <x v="96"/>
    <x v="1"/>
    <x v="1"/>
    <x v="97"/>
    <x v="98"/>
    <x v="0"/>
    <x v="2"/>
    <x v="99"/>
  </r>
  <r>
    <x v="101"/>
    <x v="0"/>
    <x v="95"/>
    <x v="93"/>
    <x v="1"/>
    <x v="101"/>
    <x v="101"/>
    <x v="0"/>
    <x v="0"/>
    <x v="1"/>
    <x v="1"/>
    <x v="3"/>
    <x v="1"/>
    <x v="83"/>
    <x v="1"/>
    <x v="7"/>
    <x v="84"/>
    <x v="99"/>
    <x v="4"/>
    <x v="0"/>
    <x v="100"/>
  </r>
  <r>
    <x v="102"/>
    <x v="0"/>
    <x v="96"/>
    <x v="94"/>
    <x v="2"/>
    <x v="102"/>
    <x v="102"/>
    <x v="0"/>
    <x v="0"/>
    <x v="63"/>
    <x v="23"/>
    <x v="79"/>
    <x v="3"/>
    <x v="97"/>
    <x v="1"/>
    <x v="13"/>
    <x v="98"/>
    <x v="100"/>
    <x v="0"/>
    <x v="2"/>
    <x v="101"/>
  </r>
  <r>
    <x v="103"/>
    <x v="0"/>
    <x v="97"/>
    <x v="95"/>
    <x v="1"/>
    <x v="103"/>
    <x v="103"/>
    <x v="1"/>
    <x v="0"/>
    <x v="64"/>
    <x v="12"/>
    <x v="80"/>
    <x v="2"/>
    <x v="98"/>
    <x v="1"/>
    <x v="8"/>
    <x v="99"/>
    <x v="101"/>
    <x v="8"/>
    <x v="0"/>
    <x v="102"/>
  </r>
  <r>
    <x v="104"/>
    <x v="1"/>
    <x v="98"/>
    <x v="96"/>
    <x v="1"/>
    <x v="104"/>
    <x v="104"/>
    <x v="0"/>
    <x v="0"/>
    <x v="65"/>
    <x v="18"/>
    <x v="81"/>
    <x v="0"/>
    <x v="99"/>
    <x v="0"/>
    <x v="9"/>
    <x v="100"/>
    <x v="102"/>
    <x v="0"/>
    <x v="2"/>
    <x v="103"/>
  </r>
  <r>
    <x v="105"/>
    <x v="1"/>
    <x v="99"/>
    <x v="97"/>
    <x v="1"/>
    <x v="105"/>
    <x v="105"/>
    <x v="1"/>
    <x v="0"/>
    <x v="33"/>
    <x v="3"/>
    <x v="40"/>
    <x v="0"/>
    <x v="100"/>
    <x v="1"/>
    <x v="5"/>
    <x v="101"/>
    <x v="103"/>
    <x v="2"/>
    <x v="6"/>
    <x v="104"/>
  </r>
  <r>
    <x v="106"/>
    <x v="0"/>
    <x v="100"/>
    <x v="36"/>
    <x v="1"/>
    <x v="106"/>
    <x v="106"/>
    <x v="1"/>
    <x v="0"/>
    <x v="66"/>
    <x v="1"/>
    <x v="82"/>
    <x v="1"/>
    <x v="101"/>
    <x v="1"/>
    <x v="4"/>
    <x v="102"/>
    <x v="104"/>
    <x v="0"/>
    <x v="0"/>
    <x v="105"/>
  </r>
  <r>
    <x v="107"/>
    <x v="0"/>
    <x v="30"/>
    <x v="98"/>
    <x v="0"/>
    <x v="107"/>
    <x v="107"/>
    <x v="0"/>
    <x v="0"/>
    <x v="22"/>
    <x v="10"/>
    <x v="26"/>
    <x v="2"/>
    <x v="102"/>
    <x v="1"/>
    <x v="4"/>
    <x v="103"/>
    <x v="105"/>
    <x v="1"/>
    <x v="2"/>
    <x v="106"/>
  </r>
  <r>
    <x v="108"/>
    <x v="0"/>
    <x v="101"/>
    <x v="99"/>
    <x v="0"/>
    <x v="108"/>
    <x v="108"/>
    <x v="2"/>
    <x v="0"/>
    <x v="67"/>
    <x v="11"/>
    <x v="83"/>
    <x v="2"/>
    <x v="56"/>
    <x v="0"/>
    <x v="9"/>
    <x v="56"/>
    <x v="106"/>
    <x v="2"/>
    <x v="0"/>
    <x v="107"/>
  </r>
  <r>
    <x v="109"/>
    <x v="0"/>
    <x v="102"/>
    <x v="100"/>
    <x v="0"/>
    <x v="109"/>
    <x v="109"/>
    <x v="0"/>
    <x v="0"/>
    <x v="8"/>
    <x v="1"/>
    <x v="9"/>
    <x v="1"/>
    <x v="103"/>
    <x v="0"/>
    <x v="9"/>
    <x v="104"/>
    <x v="107"/>
    <x v="0"/>
    <x v="2"/>
    <x v="108"/>
  </r>
  <r>
    <x v="110"/>
    <x v="0"/>
    <x v="103"/>
    <x v="101"/>
    <x v="1"/>
    <x v="110"/>
    <x v="110"/>
    <x v="0"/>
    <x v="0"/>
    <x v="68"/>
    <x v="1"/>
    <x v="84"/>
    <x v="1"/>
    <x v="104"/>
    <x v="1"/>
    <x v="4"/>
    <x v="105"/>
    <x v="108"/>
    <x v="8"/>
    <x v="0"/>
    <x v="109"/>
  </r>
  <r>
    <x v="111"/>
    <x v="0"/>
    <x v="102"/>
    <x v="10"/>
    <x v="2"/>
    <x v="111"/>
    <x v="111"/>
    <x v="0"/>
    <x v="0"/>
    <x v="20"/>
    <x v="15"/>
    <x v="23"/>
    <x v="3"/>
    <x v="105"/>
    <x v="1"/>
    <x v="7"/>
    <x v="106"/>
    <x v="109"/>
    <x v="4"/>
    <x v="0"/>
    <x v="110"/>
  </r>
  <r>
    <x v="112"/>
    <x v="1"/>
    <x v="104"/>
    <x v="102"/>
    <x v="1"/>
    <x v="112"/>
    <x v="112"/>
    <x v="1"/>
    <x v="0"/>
    <x v="22"/>
    <x v="10"/>
    <x v="34"/>
    <x v="2"/>
    <x v="106"/>
    <x v="0"/>
    <x v="3"/>
    <x v="107"/>
    <x v="110"/>
    <x v="5"/>
    <x v="8"/>
    <x v="111"/>
  </r>
  <r>
    <x v="113"/>
    <x v="0"/>
    <x v="92"/>
    <x v="103"/>
    <x v="0"/>
    <x v="113"/>
    <x v="113"/>
    <x v="0"/>
    <x v="0"/>
    <x v="20"/>
    <x v="15"/>
    <x v="29"/>
    <x v="3"/>
    <x v="107"/>
    <x v="2"/>
    <x v="12"/>
    <x v="108"/>
    <x v="111"/>
    <x v="3"/>
    <x v="0"/>
    <x v="112"/>
  </r>
  <r>
    <x v="114"/>
    <x v="1"/>
    <x v="105"/>
    <x v="104"/>
    <x v="1"/>
    <x v="114"/>
    <x v="114"/>
    <x v="1"/>
    <x v="0"/>
    <x v="43"/>
    <x v="5"/>
    <x v="85"/>
    <x v="2"/>
    <x v="108"/>
    <x v="1"/>
    <x v="6"/>
    <x v="109"/>
    <x v="112"/>
    <x v="0"/>
    <x v="3"/>
    <x v="113"/>
  </r>
  <r>
    <x v="115"/>
    <x v="1"/>
    <x v="106"/>
    <x v="105"/>
    <x v="0"/>
    <x v="115"/>
    <x v="115"/>
    <x v="1"/>
    <x v="0"/>
    <x v="12"/>
    <x v="5"/>
    <x v="63"/>
    <x v="2"/>
    <x v="109"/>
    <x v="2"/>
    <x v="14"/>
    <x v="110"/>
    <x v="113"/>
    <x v="3"/>
    <x v="7"/>
    <x v="114"/>
  </r>
  <r>
    <x v="116"/>
    <x v="0"/>
    <x v="107"/>
    <x v="106"/>
    <x v="1"/>
    <x v="116"/>
    <x v="116"/>
    <x v="0"/>
    <x v="0"/>
    <x v="22"/>
    <x v="10"/>
    <x v="26"/>
    <x v="2"/>
    <x v="110"/>
    <x v="2"/>
    <x v="10"/>
    <x v="111"/>
    <x v="114"/>
    <x v="6"/>
    <x v="2"/>
    <x v="115"/>
  </r>
  <r>
    <x v="117"/>
    <x v="0"/>
    <x v="108"/>
    <x v="107"/>
    <x v="1"/>
    <x v="117"/>
    <x v="117"/>
    <x v="0"/>
    <x v="0"/>
    <x v="69"/>
    <x v="1"/>
    <x v="86"/>
    <x v="1"/>
    <x v="111"/>
    <x v="2"/>
    <x v="12"/>
    <x v="112"/>
    <x v="115"/>
    <x v="0"/>
    <x v="0"/>
    <x v="116"/>
  </r>
  <r>
    <x v="118"/>
    <x v="0"/>
    <x v="109"/>
    <x v="43"/>
    <x v="1"/>
    <x v="118"/>
    <x v="118"/>
    <x v="1"/>
    <x v="0"/>
    <x v="70"/>
    <x v="3"/>
    <x v="87"/>
    <x v="0"/>
    <x v="112"/>
    <x v="1"/>
    <x v="8"/>
    <x v="113"/>
    <x v="116"/>
    <x v="3"/>
    <x v="2"/>
    <x v="117"/>
  </r>
  <r>
    <x v="119"/>
    <x v="1"/>
    <x v="33"/>
    <x v="108"/>
    <x v="1"/>
    <x v="119"/>
    <x v="119"/>
    <x v="1"/>
    <x v="0"/>
    <x v="71"/>
    <x v="23"/>
    <x v="88"/>
    <x v="3"/>
    <x v="113"/>
    <x v="1"/>
    <x v="7"/>
    <x v="114"/>
    <x v="117"/>
    <x v="8"/>
    <x v="2"/>
    <x v="118"/>
  </r>
  <r>
    <x v="120"/>
    <x v="0"/>
    <x v="110"/>
    <x v="109"/>
    <x v="0"/>
    <x v="120"/>
    <x v="120"/>
    <x v="1"/>
    <x v="0"/>
    <x v="8"/>
    <x v="1"/>
    <x v="89"/>
    <x v="1"/>
    <x v="114"/>
    <x v="1"/>
    <x v="7"/>
    <x v="115"/>
    <x v="118"/>
    <x v="6"/>
    <x v="0"/>
    <x v="119"/>
  </r>
  <r>
    <x v="121"/>
    <x v="0"/>
    <x v="111"/>
    <x v="110"/>
    <x v="2"/>
    <x v="121"/>
    <x v="121"/>
    <x v="1"/>
    <x v="0"/>
    <x v="72"/>
    <x v="1"/>
    <x v="90"/>
    <x v="1"/>
    <x v="115"/>
    <x v="1"/>
    <x v="4"/>
    <x v="116"/>
    <x v="63"/>
    <x v="0"/>
    <x v="0"/>
    <x v="120"/>
  </r>
  <r>
    <x v="122"/>
    <x v="0"/>
    <x v="112"/>
    <x v="111"/>
    <x v="1"/>
    <x v="122"/>
    <x v="122"/>
    <x v="1"/>
    <x v="0"/>
    <x v="10"/>
    <x v="9"/>
    <x v="11"/>
    <x v="3"/>
    <x v="116"/>
    <x v="1"/>
    <x v="4"/>
    <x v="117"/>
    <x v="13"/>
    <x v="0"/>
    <x v="2"/>
    <x v="121"/>
  </r>
  <r>
    <x v="123"/>
    <x v="0"/>
    <x v="113"/>
    <x v="81"/>
    <x v="1"/>
    <x v="123"/>
    <x v="123"/>
    <x v="0"/>
    <x v="0"/>
    <x v="1"/>
    <x v="1"/>
    <x v="25"/>
    <x v="1"/>
    <x v="117"/>
    <x v="0"/>
    <x v="2"/>
    <x v="118"/>
    <x v="119"/>
    <x v="1"/>
    <x v="2"/>
    <x v="122"/>
  </r>
  <r>
    <x v="124"/>
    <x v="0"/>
    <x v="114"/>
    <x v="112"/>
    <x v="0"/>
    <x v="124"/>
    <x v="124"/>
    <x v="1"/>
    <x v="0"/>
    <x v="73"/>
    <x v="2"/>
    <x v="91"/>
    <x v="0"/>
    <x v="118"/>
    <x v="1"/>
    <x v="5"/>
    <x v="119"/>
    <x v="120"/>
    <x v="2"/>
    <x v="6"/>
    <x v="123"/>
  </r>
  <r>
    <x v="125"/>
    <x v="0"/>
    <x v="70"/>
    <x v="68"/>
    <x v="0"/>
    <x v="125"/>
    <x v="125"/>
    <x v="2"/>
    <x v="0"/>
    <x v="36"/>
    <x v="23"/>
    <x v="44"/>
    <x v="3"/>
    <x v="119"/>
    <x v="1"/>
    <x v="13"/>
    <x v="120"/>
    <x v="121"/>
    <x v="2"/>
    <x v="2"/>
    <x v="124"/>
  </r>
  <r>
    <x v="126"/>
    <x v="0"/>
    <x v="55"/>
    <x v="55"/>
    <x v="2"/>
    <x v="126"/>
    <x v="126"/>
    <x v="1"/>
    <x v="0"/>
    <x v="74"/>
    <x v="21"/>
    <x v="92"/>
    <x v="1"/>
    <x v="120"/>
    <x v="0"/>
    <x v="3"/>
    <x v="121"/>
    <x v="122"/>
    <x v="7"/>
    <x v="2"/>
    <x v="125"/>
  </r>
  <r>
    <x v="127"/>
    <x v="0"/>
    <x v="115"/>
    <x v="113"/>
    <x v="0"/>
    <x v="127"/>
    <x v="127"/>
    <x v="1"/>
    <x v="0"/>
    <x v="20"/>
    <x v="15"/>
    <x v="23"/>
    <x v="3"/>
    <x v="121"/>
    <x v="0"/>
    <x v="3"/>
    <x v="122"/>
    <x v="123"/>
    <x v="0"/>
    <x v="0"/>
    <x v="126"/>
  </r>
  <r>
    <x v="128"/>
    <x v="0"/>
    <x v="101"/>
    <x v="99"/>
    <x v="1"/>
    <x v="128"/>
    <x v="128"/>
    <x v="2"/>
    <x v="0"/>
    <x v="75"/>
    <x v="29"/>
    <x v="93"/>
    <x v="3"/>
    <x v="122"/>
    <x v="1"/>
    <x v="5"/>
    <x v="123"/>
    <x v="124"/>
    <x v="3"/>
    <x v="0"/>
    <x v="127"/>
  </r>
  <r>
    <x v="129"/>
    <x v="0"/>
    <x v="4"/>
    <x v="114"/>
    <x v="2"/>
    <x v="129"/>
    <x v="129"/>
    <x v="0"/>
    <x v="0"/>
    <x v="76"/>
    <x v="17"/>
    <x v="94"/>
    <x v="0"/>
    <x v="123"/>
    <x v="1"/>
    <x v="8"/>
    <x v="124"/>
    <x v="125"/>
    <x v="8"/>
    <x v="0"/>
    <x v="128"/>
  </r>
  <r>
    <x v="130"/>
    <x v="0"/>
    <x v="116"/>
    <x v="115"/>
    <x v="0"/>
    <x v="130"/>
    <x v="130"/>
    <x v="1"/>
    <x v="0"/>
    <x v="77"/>
    <x v="21"/>
    <x v="95"/>
    <x v="1"/>
    <x v="124"/>
    <x v="0"/>
    <x v="3"/>
    <x v="125"/>
    <x v="126"/>
    <x v="6"/>
    <x v="2"/>
    <x v="129"/>
  </r>
  <r>
    <x v="131"/>
    <x v="0"/>
    <x v="117"/>
    <x v="116"/>
    <x v="1"/>
    <x v="131"/>
    <x v="131"/>
    <x v="1"/>
    <x v="0"/>
    <x v="78"/>
    <x v="29"/>
    <x v="96"/>
    <x v="3"/>
    <x v="125"/>
    <x v="0"/>
    <x v="3"/>
    <x v="126"/>
    <x v="127"/>
    <x v="3"/>
    <x v="0"/>
    <x v="130"/>
  </r>
  <r>
    <x v="132"/>
    <x v="0"/>
    <x v="118"/>
    <x v="117"/>
    <x v="1"/>
    <x v="132"/>
    <x v="132"/>
    <x v="1"/>
    <x v="0"/>
    <x v="79"/>
    <x v="2"/>
    <x v="97"/>
    <x v="0"/>
    <x v="126"/>
    <x v="2"/>
    <x v="10"/>
    <x v="127"/>
    <x v="128"/>
    <x v="0"/>
    <x v="2"/>
    <x v="131"/>
  </r>
  <r>
    <x v="133"/>
    <x v="0"/>
    <x v="119"/>
    <x v="118"/>
    <x v="2"/>
    <x v="133"/>
    <x v="133"/>
    <x v="1"/>
    <x v="0"/>
    <x v="10"/>
    <x v="9"/>
    <x v="98"/>
    <x v="3"/>
    <x v="127"/>
    <x v="1"/>
    <x v="8"/>
    <x v="128"/>
    <x v="129"/>
    <x v="6"/>
    <x v="2"/>
    <x v="132"/>
  </r>
  <r>
    <x v="134"/>
    <x v="0"/>
    <x v="120"/>
    <x v="119"/>
    <x v="1"/>
    <x v="134"/>
    <x v="134"/>
    <x v="2"/>
    <x v="0"/>
    <x v="20"/>
    <x v="15"/>
    <x v="23"/>
    <x v="3"/>
    <x v="128"/>
    <x v="0"/>
    <x v="9"/>
    <x v="129"/>
    <x v="130"/>
    <x v="8"/>
    <x v="9"/>
    <x v="133"/>
  </r>
  <r>
    <x v="135"/>
    <x v="0"/>
    <x v="106"/>
    <x v="120"/>
    <x v="1"/>
    <x v="135"/>
    <x v="135"/>
    <x v="1"/>
    <x v="0"/>
    <x v="80"/>
    <x v="1"/>
    <x v="99"/>
    <x v="1"/>
    <x v="129"/>
    <x v="1"/>
    <x v="13"/>
    <x v="130"/>
    <x v="83"/>
    <x v="0"/>
    <x v="0"/>
    <x v="134"/>
  </r>
  <r>
    <x v="136"/>
    <x v="0"/>
    <x v="121"/>
    <x v="121"/>
    <x v="1"/>
    <x v="136"/>
    <x v="136"/>
    <x v="1"/>
    <x v="0"/>
    <x v="81"/>
    <x v="1"/>
    <x v="100"/>
    <x v="1"/>
    <x v="130"/>
    <x v="1"/>
    <x v="5"/>
    <x v="131"/>
    <x v="131"/>
    <x v="4"/>
    <x v="2"/>
    <x v="135"/>
  </r>
  <r>
    <x v="137"/>
    <x v="0"/>
    <x v="122"/>
    <x v="122"/>
    <x v="0"/>
    <x v="137"/>
    <x v="137"/>
    <x v="1"/>
    <x v="0"/>
    <x v="82"/>
    <x v="18"/>
    <x v="101"/>
    <x v="0"/>
    <x v="131"/>
    <x v="0"/>
    <x v="3"/>
    <x v="132"/>
    <x v="132"/>
    <x v="8"/>
    <x v="2"/>
    <x v="136"/>
  </r>
  <r>
    <x v="138"/>
    <x v="1"/>
    <x v="123"/>
    <x v="123"/>
    <x v="2"/>
    <x v="138"/>
    <x v="138"/>
    <x v="0"/>
    <x v="0"/>
    <x v="10"/>
    <x v="9"/>
    <x v="98"/>
    <x v="3"/>
    <x v="132"/>
    <x v="2"/>
    <x v="10"/>
    <x v="133"/>
    <x v="133"/>
    <x v="3"/>
    <x v="7"/>
    <x v="137"/>
  </r>
  <r>
    <x v="139"/>
    <x v="1"/>
    <x v="124"/>
    <x v="124"/>
    <x v="0"/>
    <x v="139"/>
    <x v="139"/>
    <x v="0"/>
    <x v="0"/>
    <x v="10"/>
    <x v="9"/>
    <x v="60"/>
    <x v="3"/>
    <x v="133"/>
    <x v="2"/>
    <x v="10"/>
    <x v="134"/>
    <x v="62"/>
    <x v="0"/>
    <x v="7"/>
    <x v="138"/>
  </r>
  <r>
    <x v="140"/>
    <x v="0"/>
    <x v="125"/>
    <x v="125"/>
    <x v="0"/>
    <x v="140"/>
    <x v="140"/>
    <x v="0"/>
    <x v="0"/>
    <x v="1"/>
    <x v="1"/>
    <x v="59"/>
    <x v="1"/>
    <x v="134"/>
    <x v="1"/>
    <x v="5"/>
    <x v="135"/>
    <x v="134"/>
    <x v="8"/>
    <x v="2"/>
    <x v="139"/>
  </r>
  <r>
    <x v="141"/>
    <x v="0"/>
    <x v="126"/>
    <x v="126"/>
    <x v="1"/>
    <x v="141"/>
    <x v="141"/>
    <x v="1"/>
    <x v="0"/>
    <x v="8"/>
    <x v="1"/>
    <x v="32"/>
    <x v="1"/>
    <x v="135"/>
    <x v="1"/>
    <x v="5"/>
    <x v="136"/>
    <x v="135"/>
    <x v="0"/>
    <x v="2"/>
    <x v="140"/>
  </r>
  <r>
    <x v="142"/>
    <x v="0"/>
    <x v="127"/>
    <x v="127"/>
    <x v="1"/>
    <x v="142"/>
    <x v="142"/>
    <x v="0"/>
    <x v="0"/>
    <x v="8"/>
    <x v="1"/>
    <x v="32"/>
    <x v="1"/>
    <x v="59"/>
    <x v="2"/>
    <x v="10"/>
    <x v="60"/>
    <x v="136"/>
    <x v="3"/>
    <x v="2"/>
    <x v="141"/>
  </r>
  <r>
    <x v="143"/>
    <x v="0"/>
    <x v="128"/>
    <x v="128"/>
    <x v="1"/>
    <x v="143"/>
    <x v="143"/>
    <x v="0"/>
    <x v="0"/>
    <x v="83"/>
    <x v="30"/>
    <x v="102"/>
    <x v="3"/>
    <x v="136"/>
    <x v="1"/>
    <x v="8"/>
    <x v="137"/>
    <x v="137"/>
    <x v="3"/>
    <x v="0"/>
    <x v="142"/>
  </r>
  <r>
    <x v="144"/>
    <x v="0"/>
    <x v="129"/>
    <x v="129"/>
    <x v="2"/>
    <x v="144"/>
    <x v="144"/>
    <x v="2"/>
    <x v="0"/>
    <x v="20"/>
    <x v="15"/>
    <x v="29"/>
    <x v="3"/>
    <x v="107"/>
    <x v="2"/>
    <x v="12"/>
    <x v="108"/>
    <x v="138"/>
    <x v="8"/>
    <x v="0"/>
    <x v="143"/>
  </r>
  <r>
    <x v="145"/>
    <x v="0"/>
    <x v="130"/>
    <x v="130"/>
    <x v="1"/>
    <x v="145"/>
    <x v="145"/>
    <x v="0"/>
    <x v="0"/>
    <x v="20"/>
    <x v="15"/>
    <x v="42"/>
    <x v="3"/>
    <x v="137"/>
    <x v="0"/>
    <x v="0"/>
    <x v="138"/>
    <x v="139"/>
    <x v="4"/>
    <x v="2"/>
    <x v="144"/>
  </r>
  <r>
    <x v="146"/>
    <x v="0"/>
    <x v="131"/>
    <x v="131"/>
    <x v="2"/>
    <x v="146"/>
    <x v="146"/>
    <x v="1"/>
    <x v="0"/>
    <x v="36"/>
    <x v="31"/>
    <x v="103"/>
    <x v="0"/>
    <x v="138"/>
    <x v="1"/>
    <x v="6"/>
    <x v="139"/>
    <x v="140"/>
    <x v="7"/>
    <x v="0"/>
    <x v="145"/>
  </r>
  <r>
    <x v="147"/>
    <x v="0"/>
    <x v="132"/>
    <x v="132"/>
    <x v="1"/>
    <x v="147"/>
    <x v="147"/>
    <x v="0"/>
    <x v="0"/>
    <x v="20"/>
    <x v="15"/>
    <x v="29"/>
    <x v="3"/>
    <x v="139"/>
    <x v="1"/>
    <x v="1"/>
    <x v="140"/>
    <x v="141"/>
    <x v="0"/>
    <x v="0"/>
    <x v="146"/>
  </r>
  <r>
    <x v="148"/>
    <x v="0"/>
    <x v="133"/>
    <x v="133"/>
    <x v="1"/>
    <x v="148"/>
    <x v="148"/>
    <x v="0"/>
    <x v="0"/>
    <x v="8"/>
    <x v="1"/>
    <x v="9"/>
    <x v="1"/>
    <x v="21"/>
    <x v="1"/>
    <x v="7"/>
    <x v="21"/>
    <x v="22"/>
    <x v="6"/>
    <x v="0"/>
    <x v="22"/>
  </r>
  <r>
    <x v="149"/>
    <x v="0"/>
    <x v="134"/>
    <x v="134"/>
    <x v="3"/>
    <x v="149"/>
    <x v="149"/>
    <x v="1"/>
    <x v="0"/>
    <x v="84"/>
    <x v="28"/>
    <x v="104"/>
    <x v="3"/>
    <x v="140"/>
    <x v="1"/>
    <x v="5"/>
    <x v="141"/>
    <x v="142"/>
    <x v="6"/>
    <x v="0"/>
    <x v="147"/>
  </r>
  <r>
    <x v="150"/>
    <x v="0"/>
    <x v="135"/>
    <x v="135"/>
    <x v="1"/>
    <x v="150"/>
    <x v="150"/>
    <x v="0"/>
    <x v="0"/>
    <x v="85"/>
    <x v="5"/>
    <x v="105"/>
    <x v="2"/>
    <x v="141"/>
    <x v="1"/>
    <x v="4"/>
    <x v="142"/>
    <x v="105"/>
    <x v="1"/>
    <x v="2"/>
    <x v="106"/>
  </r>
  <r>
    <x v="151"/>
    <x v="1"/>
    <x v="136"/>
    <x v="136"/>
    <x v="1"/>
    <x v="151"/>
    <x v="151"/>
    <x v="0"/>
    <x v="0"/>
    <x v="86"/>
    <x v="16"/>
    <x v="106"/>
    <x v="1"/>
    <x v="142"/>
    <x v="1"/>
    <x v="5"/>
    <x v="143"/>
    <x v="143"/>
    <x v="1"/>
    <x v="6"/>
    <x v="148"/>
  </r>
  <r>
    <x v="152"/>
    <x v="1"/>
    <x v="137"/>
    <x v="137"/>
    <x v="2"/>
    <x v="152"/>
    <x v="152"/>
    <x v="1"/>
    <x v="0"/>
    <x v="87"/>
    <x v="10"/>
    <x v="107"/>
    <x v="2"/>
    <x v="143"/>
    <x v="1"/>
    <x v="4"/>
    <x v="144"/>
    <x v="129"/>
    <x v="6"/>
    <x v="2"/>
    <x v="149"/>
  </r>
  <r>
    <x v="153"/>
    <x v="1"/>
    <x v="138"/>
    <x v="138"/>
    <x v="1"/>
    <x v="153"/>
    <x v="153"/>
    <x v="1"/>
    <x v="0"/>
    <x v="45"/>
    <x v="30"/>
    <x v="108"/>
    <x v="3"/>
    <x v="144"/>
    <x v="0"/>
    <x v="2"/>
    <x v="145"/>
    <x v="144"/>
    <x v="2"/>
    <x v="4"/>
    <x v="150"/>
  </r>
  <r>
    <x v="154"/>
    <x v="0"/>
    <x v="139"/>
    <x v="27"/>
    <x v="1"/>
    <x v="154"/>
    <x v="154"/>
    <x v="0"/>
    <x v="0"/>
    <x v="12"/>
    <x v="5"/>
    <x v="14"/>
    <x v="2"/>
    <x v="145"/>
    <x v="1"/>
    <x v="6"/>
    <x v="146"/>
    <x v="145"/>
    <x v="3"/>
    <x v="3"/>
    <x v="151"/>
  </r>
  <r>
    <x v="155"/>
    <x v="0"/>
    <x v="95"/>
    <x v="139"/>
    <x v="2"/>
    <x v="155"/>
    <x v="155"/>
    <x v="1"/>
    <x v="0"/>
    <x v="8"/>
    <x v="1"/>
    <x v="9"/>
    <x v="1"/>
    <x v="146"/>
    <x v="1"/>
    <x v="4"/>
    <x v="147"/>
    <x v="146"/>
    <x v="2"/>
    <x v="0"/>
    <x v="152"/>
  </r>
  <r>
    <x v="156"/>
    <x v="0"/>
    <x v="140"/>
    <x v="140"/>
    <x v="0"/>
    <x v="156"/>
    <x v="156"/>
    <x v="1"/>
    <x v="0"/>
    <x v="88"/>
    <x v="12"/>
    <x v="109"/>
    <x v="2"/>
    <x v="147"/>
    <x v="2"/>
    <x v="12"/>
    <x v="148"/>
    <x v="147"/>
    <x v="0"/>
    <x v="0"/>
    <x v="153"/>
  </r>
  <r>
    <x v="157"/>
    <x v="1"/>
    <x v="141"/>
    <x v="141"/>
    <x v="1"/>
    <x v="157"/>
    <x v="157"/>
    <x v="0"/>
    <x v="0"/>
    <x v="89"/>
    <x v="2"/>
    <x v="110"/>
    <x v="0"/>
    <x v="148"/>
    <x v="0"/>
    <x v="2"/>
    <x v="149"/>
    <x v="148"/>
    <x v="3"/>
    <x v="1"/>
    <x v="154"/>
  </r>
  <r>
    <x v="158"/>
    <x v="0"/>
    <x v="142"/>
    <x v="142"/>
    <x v="1"/>
    <x v="158"/>
    <x v="158"/>
    <x v="1"/>
    <x v="0"/>
    <x v="10"/>
    <x v="9"/>
    <x v="11"/>
    <x v="3"/>
    <x v="149"/>
    <x v="2"/>
    <x v="14"/>
    <x v="150"/>
    <x v="149"/>
    <x v="6"/>
    <x v="6"/>
    <x v="155"/>
  </r>
  <r>
    <x v="159"/>
    <x v="0"/>
    <x v="143"/>
    <x v="143"/>
    <x v="2"/>
    <x v="159"/>
    <x v="159"/>
    <x v="0"/>
    <x v="0"/>
    <x v="71"/>
    <x v="23"/>
    <x v="88"/>
    <x v="3"/>
    <x v="150"/>
    <x v="1"/>
    <x v="8"/>
    <x v="151"/>
    <x v="150"/>
    <x v="8"/>
    <x v="2"/>
    <x v="156"/>
  </r>
  <r>
    <x v="160"/>
    <x v="0"/>
    <x v="144"/>
    <x v="144"/>
    <x v="1"/>
    <x v="160"/>
    <x v="160"/>
    <x v="0"/>
    <x v="0"/>
    <x v="20"/>
    <x v="15"/>
    <x v="29"/>
    <x v="3"/>
    <x v="151"/>
    <x v="1"/>
    <x v="5"/>
    <x v="152"/>
    <x v="151"/>
    <x v="6"/>
    <x v="2"/>
    <x v="157"/>
  </r>
  <r>
    <x v="161"/>
    <x v="1"/>
    <x v="145"/>
    <x v="145"/>
    <x v="0"/>
    <x v="161"/>
    <x v="161"/>
    <x v="0"/>
    <x v="0"/>
    <x v="90"/>
    <x v="4"/>
    <x v="111"/>
    <x v="1"/>
    <x v="152"/>
    <x v="2"/>
    <x v="10"/>
    <x v="153"/>
    <x v="152"/>
    <x v="0"/>
    <x v="2"/>
    <x v="158"/>
  </r>
  <r>
    <x v="162"/>
    <x v="1"/>
    <x v="146"/>
    <x v="146"/>
    <x v="0"/>
    <x v="162"/>
    <x v="162"/>
    <x v="1"/>
    <x v="0"/>
    <x v="91"/>
    <x v="10"/>
    <x v="112"/>
    <x v="2"/>
    <x v="153"/>
    <x v="1"/>
    <x v="5"/>
    <x v="154"/>
    <x v="153"/>
    <x v="3"/>
    <x v="3"/>
    <x v="159"/>
  </r>
  <r>
    <x v="163"/>
    <x v="0"/>
    <x v="147"/>
    <x v="147"/>
    <x v="1"/>
    <x v="163"/>
    <x v="163"/>
    <x v="2"/>
    <x v="0"/>
    <x v="92"/>
    <x v="32"/>
    <x v="113"/>
    <x v="1"/>
    <x v="154"/>
    <x v="1"/>
    <x v="5"/>
    <x v="155"/>
    <x v="154"/>
    <x v="3"/>
    <x v="2"/>
    <x v="160"/>
  </r>
  <r>
    <x v="164"/>
    <x v="0"/>
    <x v="148"/>
    <x v="148"/>
    <x v="0"/>
    <x v="164"/>
    <x v="164"/>
    <x v="1"/>
    <x v="0"/>
    <x v="93"/>
    <x v="33"/>
    <x v="114"/>
    <x v="3"/>
    <x v="155"/>
    <x v="1"/>
    <x v="7"/>
    <x v="156"/>
    <x v="155"/>
    <x v="0"/>
    <x v="0"/>
    <x v="161"/>
  </r>
  <r>
    <x v="165"/>
    <x v="0"/>
    <x v="149"/>
    <x v="149"/>
    <x v="0"/>
    <x v="165"/>
    <x v="165"/>
    <x v="0"/>
    <x v="0"/>
    <x v="12"/>
    <x v="5"/>
    <x v="63"/>
    <x v="2"/>
    <x v="156"/>
    <x v="1"/>
    <x v="7"/>
    <x v="157"/>
    <x v="156"/>
    <x v="3"/>
    <x v="2"/>
    <x v="162"/>
  </r>
  <r>
    <x v="166"/>
    <x v="0"/>
    <x v="150"/>
    <x v="150"/>
    <x v="2"/>
    <x v="166"/>
    <x v="166"/>
    <x v="0"/>
    <x v="0"/>
    <x v="94"/>
    <x v="2"/>
    <x v="115"/>
    <x v="0"/>
    <x v="157"/>
    <x v="1"/>
    <x v="4"/>
    <x v="158"/>
    <x v="157"/>
    <x v="0"/>
    <x v="2"/>
    <x v="163"/>
  </r>
  <r>
    <x v="167"/>
    <x v="0"/>
    <x v="151"/>
    <x v="151"/>
    <x v="1"/>
    <x v="167"/>
    <x v="167"/>
    <x v="0"/>
    <x v="0"/>
    <x v="20"/>
    <x v="15"/>
    <x v="23"/>
    <x v="3"/>
    <x v="158"/>
    <x v="1"/>
    <x v="6"/>
    <x v="159"/>
    <x v="158"/>
    <x v="3"/>
    <x v="0"/>
    <x v="164"/>
  </r>
  <r>
    <x v="168"/>
    <x v="0"/>
    <x v="152"/>
    <x v="152"/>
    <x v="1"/>
    <x v="168"/>
    <x v="168"/>
    <x v="0"/>
    <x v="0"/>
    <x v="8"/>
    <x v="1"/>
    <x v="89"/>
    <x v="1"/>
    <x v="159"/>
    <x v="2"/>
    <x v="12"/>
    <x v="160"/>
    <x v="159"/>
    <x v="1"/>
    <x v="0"/>
    <x v="165"/>
  </r>
  <r>
    <x v="169"/>
    <x v="0"/>
    <x v="122"/>
    <x v="153"/>
    <x v="1"/>
    <x v="169"/>
    <x v="169"/>
    <x v="1"/>
    <x v="0"/>
    <x v="4"/>
    <x v="4"/>
    <x v="56"/>
    <x v="1"/>
    <x v="160"/>
    <x v="1"/>
    <x v="4"/>
    <x v="161"/>
    <x v="160"/>
    <x v="2"/>
    <x v="0"/>
    <x v="166"/>
  </r>
  <r>
    <x v="170"/>
    <x v="0"/>
    <x v="88"/>
    <x v="154"/>
    <x v="1"/>
    <x v="170"/>
    <x v="170"/>
    <x v="0"/>
    <x v="0"/>
    <x v="95"/>
    <x v="1"/>
    <x v="116"/>
    <x v="1"/>
    <x v="161"/>
    <x v="1"/>
    <x v="8"/>
    <x v="162"/>
    <x v="161"/>
    <x v="7"/>
    <x v="0"/>
    <x v="167"/>
  </r>
  <r>
    <x v="171"/>
    <x v="0"/>
    <x v="153"/>
    <x v="155"/>
    <x v="1"/>
    <x v="171"/>
    <x v="171"/>
    <x v="0"/>
    <x v="0"/>
    <x v="1"/>
    <x v="1"/>
    <x v="25"/>
    <x v="1"/>
    <x v="162"/>
    <x v="0"/>
    <x v="9"/>
    <x v="163"/>
    <x v="162"/>
    <x v="1"/>
    <x v="2"/>
    <x v="168"/>
  </r>
  <r>
    <x v="172"/>
    <x v="0"/>
    <x v="15"/>
    <x v="15"/>
    <x v="1"/>
    <x v="172"/>
    <x v="172"/>
    <x v="1"/>
    <x v="0"/>
    <x v="96"/>
    <x v="30"/>
    <x v="117"/>
    <x v="3"/>
    <x v="163"/>
    <x v="0"/>
    <x v="3"/>
    <x v="164"/>
    <x v="163"/>
    <x v="6"/>
    <x v="0"/>
    <x v="169"/>
  </r>
  <r>
    <x v="173"/>
    <x v="0"/>
    <x v="154"/>
    <x v="156"/>
    <x v="0"/>
    <x v="173"/>
    <x v="173"/>
    <x v="0"/>
    <x v="0"/>
    <x v="97"/>
    <x v="34"/>
    <x v="118"/>
    <x v="0"/>
    <x v="164"/>
    <x v="0"/>
    <x v="9"/>
    <x v="165"/>
    <x v="164"/>
    <x v="6"/>
    <x v="0"/>
    <x v="170"/>
  </r>
  <r>
    <x v="174"/>
    <x v="0"/>
    <x v="155"/>
    <x v="157"/>
    <x v="2"/>
    <x v="174"/>
    <x v="174"/>
    <x v="2"/>
    <x v="0"/>
    <x v="98"/>
    <x v="15"/>
    <x v="119"/>
    <x v="3"/>
    <x v="165"/>
    <x v="2"/>
    <x v="14"/>
    <x v="166"/>
    <x v="165"/>
    <x v="8"/>
    <x v="0"/>
    <x v="171"/>
  </r>
  <r>
    <x v="175"/>
    <x v="0"/>
    <x v="156"/>
    <x v="158"/>
    <x v="1"/>
    <x v="175"/>
    <x v="175"/>
    <x v="1"/>
    <x v="0"/>
    <x v="50"/>
    <x v="5"/>
    <x v="62"/>
    <x v="2"/>
    <x v="166"/>
    <x v="1"/>
    <x v="8"/>
    <x v="167"/>
    <x v="166"/>
    <x v="4"/>
    <x v="2"/>
    <x v="172"/>
  </r>
  <r>
    <x v="176"/>
    <x v="1"/>
    <x v="157"/>
    <x v="159"/>
    <x v="1"/>
    <x v="176"/>
    <x v="176"/>
    <x v="2"/>
    <x v="0"/>
    <x v="99"/>
    <x v="3"/>
    <x v="120"/>
    <x v="0"/>
    <x v="167"/>
    <x v="1"/>
    <x v="5"/>
    <x v="168"/>
    <x v="167"/>
    <x v="0"/>
    <x v="6"/>
    <x v="173"/>
  </r>
  <r>
    <x v="177"/>
    <x v="1"/>
    <x v="158"/>
    <x v="160"/>
    <x v="1"/>
    <x v="177"/>
    <x v="177"/>
    <x v="0"/>
    <x v="0"/>
    <x v="100"/>
    <x v="2"/>
    <x v="121"/>
    <x v="0"/>
    <x v="168"/>
    <x v="1"/>
    <x v="5"/>
    <x v="169"/>
    <x v="168"/>
    <x v="0"/>
    <x v="6"/>
    <x v="174"/>
  </r>
  <r>
    <x v="178"/>
    <x v="0"/>
    <x v="1"/>
    <x v="161"/>
    <x v="0"/>
    <x v="178"/>
    <x v="178"/>
    <x v="2"/>
    <x v="0"/>
    <x v="22"/>
    <x v="10"/>
    <x v="34"/>
    <x v="2"/>
    <x v="169"/>
    <x v="2"/>
    <x v="14"/>
    <x v="170"/>
    <x v="169"/>
    <x v="3"/>
    <x v="4"/>
    <x v="175"/>
  </r>
  <r>
    <x v="179"/>
    <x v="0"/>
    <x v="159"/>
    <x v="162"/>
    <x v="1"/>
    <x v="179"/>
    <x v="179"/>
    <x v="1"/>
    <x v="0"/>
    <x v="12"/>
    <x v="5"/>
    <x v="122"/>
    <x v="2"/>
    <x v="170"/>
    <x v="1"/>
    <x v="4"/>
    <x v="171"/>
    <x v="170"/>
    <x v="7"/>
    <x v="2"/>
    <x v="176"/>
  </r>
  <r>
    <x v="180"/>
    <x v="0"/>
    <x v="160"/>
    <x v="163"/>
    <x v="0"/>
    <x v="180"/>
    <x v="180"/>
    <x v="0"/>
    <x v="0"/>
    <x v="36"/>
    <x v="14"/>
    <x v="123"/>
    <x v="2"/>
    <x v="171"/>
    <x v="0"/>
    <x v="3"/>
    <x v="172"/>
    <x v="171"/>
    <x v="8"/>
    <x v="0"/>
    <x v="177"/>
  </r>
  <r>
    <x v="181"/>
    <x v="0"/>
    <x v="161"/>
    <x v="164"/>
    <x v="0"/>
    <x v="181"/>
    <x v="181"/>
    <x v="0"/>
    <x v="0"/>
    <x v="101"/>
    <x v="15"/>
    <x v="124"/>
    <x v="3"/>
    <x v="172"/>
    <x v="1"/>
    <x v="8"/>
    <x v="173"/>
    <x v="172"/>
    <x v="3"/>
    <x v="0"/>
    <x v="178"/>
  </r>
  <r>
    <x v="182"/>
    <x v="0"/>
    <x v="162"/>
    <x v="165"/>
    <x v="1"/>
    <x v="182"/>
    <x v="182"/>
    <x v="1"/>
    <x v="0"/>
    <x v="57"/>
    <x v="23"/>
    <x v="72"/>
    <x v="3"/>
    <x v="173"/>
    <x v="0"/>
    <x v="2"/>
    <x v="174"/>
    <x v="173"/>
    <x v="0"/>
    <x v="7"/>
    <x v="179"/>
  </r>
  <r>
    <x v="183"/>
    <x v="1"/>
    <x v="163"/>
    <x v="166"/>
    <x v="1"/>
    <x v="183"/>
    <x v="183"/>
    <x v="0"/>
    <x v="0"/>
    <x v="3"/>
    <x v="1"/>
    <x v="125"/>
    <x v="1"/>
    <x v="174"/>
    <x v="0"/>
    <x v="9"/>
    <x v="175"/>
    <x v="174"/>
    <x v="0"/>
    <x v="2"/>
    <x v="180"/>
  </r>
  <r>
    <x v="184"/>
    <x v="0"/>
    <x v="164"/>
    <x v="124"/>
    <x v="1"/>
    <x v="184"/>
    <x v="184"/>
    <x v="2"/>
    <x v="0"/>
    <x v="40"/>
    <x v="16"/>
    <x v="48"/>
    <x v="1"/>
    <x v="175"/>
    <x v="0"/>
    <x v="3"/>
    <x v="176"/>
    <x v="175"/>
    <x v="1"/>
    <x v="2"/>
    <x v="181"/>
  </r>
  <r>
    <x v="185"/>
    <x v="1"/>
    <x v="165"/>
    <x v="167"/>
    <x v="1"/>
    <x v="185"/>
    <x v="185"/>
    <x v="2"/>
    <x v="0"/>
    <x v="102"/>
    <x v="10"/>
    <x v="126"/>
    <x v="2"/>
    <x v="176"/>
    <x v="0"/>
    <x v="3"/>
    <x v="177"/>
    <x v="176"/>
    <x v="2"/>
    <x v="8"/>
    <x v="182"/>
  </r>
  <r>
    <x v="186"/>
    <x v="0"/>
    <x v="166"/>
    <x v="168"/>
    <x v="1"/>
    <x v="186"/>
    <x v="186"/>
    <x v="1"/>
    <x v="0"/>
    <x v="103"/>
    <x v="15"/>
    <x v="127"/>
    <x v="3"/>
    <x v="177"/>
    <x v="1"/>
    <x v="4"/>
    <x v="178"/>
    <x v="177"/>
    <x v="8"/>
    <x v="0"/>
    <x v="183"/>
  </r>
  <r>
    <x v="187"/>
    <x v="0"/>
    <x v="167"/>
    <x v="169"/>
    <x v="0"/>
    <x v="187"/>
    <x v="187"/>
    <x v="0"/>
    <x v="0"/>
    <x v="8"/>
    <x v="1"/>
    <x v="89"/>
    <x v="1"/>
    <x v="178"/>
    <x v="1"/>
    <x v="7"/>
    <x v="179"/>
    <x v="178"/>
    <x v="3"/>
    <x v="0"/>
    <x v="184"/>
  </r>
  <r>
    <x v="188"/>
    <x v="0"/>
    <x v="168"/>
    <x v="170"/>
    <x v="1"/>
    <x v="188"/>
    <x v="188"/>
    <x v="0"/>
    <x v="0"/>
    <x v="21"/>
    <x v="15"/>
    <x v="24"/>
    <x v="3"/>
    <x v="121"/>
    <x v="0"/>
    <x v="3"/>
    <x v="122"/>
    <x v="179"/>
    <x v="3"/>
    <x v="0"/>
    <x v="185"/>
  </r>
  <r>
    <x v="189"/>
    <x v="0"/>
    <x v="169"/>
    <x v="171"/>
    <x v="1"/>
    <x v="189"/>
    <x v="189"/>
    <x v="1"/>
    <x v="0"/>
    <x v="20"/>
    <x v="15"/>
    <x v="23"/>
    <x v="3"/>
    <x v="179"/>
    <x v="1"/>
    <x v="8"/>
    <x v="180"/>
    <x v="180"/>
    <x v="1"/>
    <x v="0"/>
    <x v="186"/>
  </r>
  <r>
    <x v="190"/>
    <x v="0"/>
    <x v="170"/>
    <x v="172"/>
    <x v="1"/>
    <x v="190"/>
    <x v="190"/>
    <x v="0"/>
    <x v="0"/>
    <x v="68"/>
    <x v="1"/>
    <x v="128"/>
    <x v="1"/>
    <x v="180"/>
    <x v="2"/>
    <x v="12"/>
    <x v="181"/>
    <x v="181"/>
    <x v="3"/>
    <x v="0"/>
    <x v="187"/>
  </r>
  <r>
    <x v="191"/>
    <x v="0"/>
    <x v="171"/>
    <x v="136"/>
    <x v="1"/>
    <x v="191"/>
    <x v="191"/>
    <x v="0"/>
    <x v="0"/>
    <x v="20"/>
    <x v="15"/>
    <x v="23"/>
    <x v="3"/>
    <x v="34"/>
    <x v="1"/>
    <x v="8"/>
    <x v="34"/>
    <x v="182"/>
    <x v="0"/>
    <x v="0"/>
    <x v="188"/>
  </r>
  <r>
    <x v="192"/>
    <x v="0"/>
    <x v="172"/>
    <x v="173"/>
    <x v="2"/>
    <x v="192"/>
    <x v="192"/>
    <x v="2"/>
    <x v="0"/>
    <x v="1"/>
    <x v="1"/>
    <x v="59"/>
    <x v="1"/>
    <x v="181"/>
    <x v="1"/>
    <x v="1"/>
    <x v="182"/>
    <x v="183"/>
    <x v="0"/>
    <x v="0"/>
    <x v="189"/>
  </r>
  <r>
    <x v="193"/>
    <x v="0"/>
    <x v="173"/>
    <x v="174"/>
    <x v="2"/>
    <x v="193"/>
    <x v="193"/>
    <x v="0"/>
    <x v="0"/>
    <x v="22"/>
    <x v="10"/>
    <x v="26"/>
    <x v="2"/>
    <x v="182"/>
    <x v="2"/>
    <x v="10"/>
    <x v="183"/>
    <x v="184"/>
    <x v="4"/>
    <x v="2"/>
    <x v="190"/>
  </r>
  <r>
    <x v="194"/>
    <x v="0"/>
    <x v="3"/>
    <x v="175"/>
    <x v="0"/>
    <x v="194"/>
    <x v="194"/>
    <x v="2"/>
    <x v="0"/>
    <x v="104"/>
    <x v="5"/>
    <x v="129"/>
    <x v="2"/>
    <x v="183"/>
    <x v="2"/>
    <x v="10"/>
    <x v="184"/>
    <x v="185"/>
    <x v="8"/>
    <x v="2"/>
    <x v="191"/>
  </r>
  <r>
    <x v="195"/>
    <x v="0"/>
    <x v="77"/>
    <x v="73"/>
    <x v="1"/>
    <x v="195"/>
    <x v="195"/>
    <x v="0"/>
    <x v="0"/>
    <x v="28"/>
    <x v="15"/>
    <x v="130"/>
    <x v="3"/>
    <x v="184"/>
    <x v="1"/>
    <x v="7"/>
    <x v="185"/>
    <x v="186"/>
    <x v="1"/>
    <x v="0"/>
    <x v="192"/>
  </r>
  <r>
    <x v="196"/>
    <x v="0"/>
    <x v="174"/>
    <x v="176"/>
    <x v="1"/>
    <x v="196"/>
    <x v="196"/>
    <x v="0"/>
    <x v="0"/>
    <x v="4"/>
    <x v="4"/>
    <x v="57"/>
    <x v="1"/>
    <x v="185"/>
    <x v="2"/>
    <x v="12"/>
    <x v="186"/>
    <x v="187"/>
    <x v="0"/>
    <x v="0"/>
    <x v="193"/>
  </r>
  <r>
    <x v="197"/>
    <x v="1"/>
    <x v="175"/>
    <x v="177"/>
    <x v="0"/>
    <x v="197"/>
    <x v="197"/>
    <x v="0"/>
    <x v="0"/>
    <x v="25"/>
    <x v="18"/>
    <x v="30"/>
    <x v="0"/>
    <x v="186"/>
    <x v="0"/>
    <x v="2"/>
    <x v="187"/>
    <x v="188"/>
    <x v="3"/>
    <x v="7"/>
    <x v="194"/>
  </r>
  <r>
    <x v="198"/>
    <x v="0"/>
    <x v="17"/>
    <x v="16"/>
    <x v="1"/>
    <x v="198"/>
    <x v="198"/>
    <x v="0"/>
    <x v="0"/>
    <x v="105"/>
    <x v="35"/>
    <x v="131"/>
    <x v="0"/>
    <x v="187"/>
    <x v="1"/>
    <x v="11"/>
    <x v="188"/>
    <x v="189"/>
    <x v="0"/>
    <x v="0"/>
    <x v="195"/>
  </r>
  <r>
    <x v="199"/>
    <x v="1"/>
    <x v="176"/>
    <x v="178"/>
    <x v="1"/>
    <x v="199"/>
    <x v="199"/>
    <x v="1"/>
    <x v="0"/>
    <x v="106"/>
    <x v="21"/>
    <x v="132"/>
    <x v="1"/>
    <x v="188"/>
    <x v="1"/>
    <x v="5"/>
    <x v="189"/>
    <x v="190"/>
    <x v="0"/>
    <x v="6"/>
    <x v="196"/>
  </r>
  <r>
    <x v="200"/>
    <x v="0"/>
    <x v="177"/>
    <x v="179"/>
    <x v="1"/>
    <x v="200"/>
    <x v="200"/>
    <x v="0"/>
    <x v="0"/>
    <x v="107"/>
    <x v="31"/>
    <x v="133"/>
    <x v="0"/>
    <x v="189"/>
    <x v="1"/>
    <x v="8"/>
    <x v="190"/>
    <x v="191"/>
    <x v="8"/>
    <x v="0"/>
    <x v="197"/>
  </r>
  <r>
    <x v="201"/>
    <x v="0"/>
    <x v="178"/>
    <x v="180"/>
    <x v="2"/>
    <x v="201"/>
    <x v="201"/>
    <x v="0"/>
    <x v="0"/>
    <x v="108"/>
    <x v="24"/>
    <x v="134"/>
    <x v="2"/>
    <x v="190"/>
    <x v="0"/>
    <x v="3"/>
    <x v="191"/>
    <x v="192"/>
    <x v="3"/>
    <x v="0"/>
    <x v="198"/>
  </r>
  <r>
    <x v="202"/>
    <x v="0"/>
    <x v="179"/>
    <x v="181"/>
    <x v="1"/>
    <x v="202"/>
    <x v="202"/>
    <x v="0"/>
    <x v="0"/>
    <x v="1"/>
    <x v="1"/>
    <x v="13"/>
    <x v="1"/>
    <x v="191"/>
    <x v="1"/>
    <x v="8"/>
    <x v="192"/>
    <x v="70"/>
    <x v="3"/>
    <x v="0"/>
    <x v="71"/>
  </r>
  <r>
    <x v="203"/>
    <x v="0"/>
    <x v="180"/>
    <x v="182"/>
    <x v="1"/>
    <x v="203"/>
    <x v="203"/>
    <x v="0"/>
    <x v="0"/>
    <x v="12"/>
    <x v="5"/>
    <x v="16"/>
    <x v="2"/>
    <x v="20"/>
    <x v="2"/>
    <x v="12"/>
    <x v="20"/>
    <x v="193"/>
    <x v="8"/>
    <x v="2"/>
    <x v="199"/>
  </r>
  <r>
    <x v="204"/>
    <x v="0"/>
    <x v="181"/>
    <x v="183"/>
    <x v="2"/>
    <x v="204"/>
    <x v="204"/>
    <x v="1"/>
    <x v="0"/>
    <x v="64"/>
    <x v="12"/>
    <x v="135"/>
    <x v="2"/>
    <x v="186"/>
    <x v="0"/>
    <x v="2"/>
    <x v="187"/>
    <x v="194"/>
    <x v="0"/>
    <x v="0"/>
    <x v="200"/>
  </r>
  <r>
    <x v="205"/>
    <x v="0"/>
    <x v="182"/>
    <x v="184"/>
    <x v="1"/>
    <x v="205"/>
    <x v="205"/>
    <x v="0"/>
    <x v="0"/>
    <x v="96"/>
    <x v="30"/>
    <x v="117"/>
    <x v="3"/>
    <x v="192"/>
    <x v="1"/>
    <x v="13"/>
    <x v="193"/>
    <x v="195"/>
    <x v="1"/>
    <x v="0"/>
    <x v="201"/>
  </r>
  <r>
    <x v="206"/>
    <x v="0"/>
    <x v="183"/>
    <x v="185"/>
    <x v="1"/>
    <x v="206"/>
    <x v="206"/>
    <x v="2"/>
    <x v="0"/>
    <x v="109"/>
    <x v="2"/>
    <x v="136"/>
    <x v="0"/>
    <x v="193"/>
    <x v="0"/>
    <x v="9"/>
    <x v="194"/>
    <x v="196"/>
    <x v="3"/>
    <x v="2"/>
    <x v="202"/>
  </r>
  <r>
    <x v="207"/>
    <x v="1"/>
    <x v="35"/>
    <x v="186"/>
    <x v="1"/>
    <x v="207"/>
    <x v="207"/>
    <x v="0"/>
    <x v="0"/>
    <x v="10"/>
    <x v="9"/>
    <x v="60"/>
    <x v="3"/>
    <x v="194"/>
    <x v="1"/>
    <x v="7"/>
    <x v="195"/>
    <x v="197"/>
    <x v="3"/>
    <x v="2"/>
    <x v="203"/>
  </r>
  <r>
    <x v="208"/>
    <x v="0"/>
    <x v="184"/>
    <x v="187"/>
    <x v="0"/>
    <x v="208"/>
    <x v="208"/>
    <x v="1"/>
    <x v="0"/>
    <x v="1"/>
    <x v="1"/>
    <x v="1"/>
    <x v="1"/>
    <x v="195"/>
    <x v="0"/>
    <x v="9"/>
    <x v="196"/>
    <x v="198"/>
    <x v="8"/>
    <x v="2"/>
    <x v="204"/>
  </r>
  <r>
    <x v="209"/>
    <x v="1"/>
    <x v="185"/>
    <x v="188"/>
    <x v="1"/>
    <x v="209"/>
    <x v="209"/>
    <x v="0"/>
    <x v="0"/>
    <x v="1"/>
    <x v="1"/>
    <x v="3"/>
    <x v="1"/>
    <x v="196"/>
    <x v="0"/>
    <x v="3"/>
    <x v="197"/>
    <x v="199"/>
    <x v="3"/>
    <x v="0"/>
    <x v="205"/>
  </r>
  <r>
    <x v="210"/>
    <x v="0"/>
    <x v="186"/>
    <x v="189"/>
    <x v="0"/>
    <x v="210"/>
    <x v="210"/>
    <x v="0"/>
    <x v="0"/>
    <x v="110"/>
    <x v="19"/>
    <x v="137"/>
    <x v="0"/>
    <x v="197"/>
    <x v="2"/>
    <x v="10"/>
    <x v="198"/>
    <x v="200"/>
    <x v="1"/>
    <x v="0"/>
    <x v="206"/>
  </r>
  <r>
    <x v="211"/>
    <x v="0"/>
    <x v="187"/>
    <x v="190"/>
    <x v="1"/>
    <x v="211"/>
    <x v="211"/>
    <x v="0"/>
    <x v="0"/>
    <x v="111"/>
    <x v="16"/>
    <x v="138"/>
    <x v="1"/>
    <x v="198"/>
    <x v="1"/>
    <x v="7"/>
    <x v="199"/>
    <x v="201"/>
    <x v="0"/>
    <x v="2"/>
    <x v="207"/>
  </r>
  <r>
    <x v="212"/>
    <x v="1"/>
    <x v="188"/>
    <x v="191"/>
    <x v="0"/>
    <x v="212"/>
    <x v="212"/>
    <x v="0"/>
    <x v="0"/>
    <x v="22"/>
    <x v="10"/>
    <x v="139"/>
    <x v="2"/>
    <x v="199"/>
    <x v="1"/>
    <x v="5"/>
    <x v="200"/>
    <x v="202"/>
    <x v="2"/>
    <x v="3"/>
    <x v="208"/>
  </r>
  <r>
    <x v="213"/>
    <x v="0"/>
    <x v="189"/>
    <x v="192"/>
    <x v="1"/>
    <x v="213"/>
    <x v="213"/>
    <x v="0"/>
    <x v="0"/>
    <x v="0"/>
    <x v="0"/>
    <x v="0"/>
    <x v="0"/>
    <x v="200"/>
    <x v="1"/>
    <x v="6"/>
    <x v="201"/>
    <x v="203"/>
    <x v="3"/>
    <x v="0"/>
    <x v="209"/>
  </r>
  <r>
    <x v="214"/>
    <x v="0"/>
    <x v="190"/>
    <x v="193"/>
    <x v="2"/>
    <x v="214"/>
    <x v="214"/>
    <x v="0"/>
    <x v="0"/>
    <x v="112"/>
    <x v="6"/>
    <x v="140"/>
    <x v="2"/>
    <x v="201"/>
    <x v="2"/>
    <x v="12"/>
    <x v="202"/>
    <x v="204"/>
    <x v="4"/>
    <x v="0"/>
    <x v="210"/>
  </r>
  <r>
    <x v="215"/>
    <x v="1"/>
    <x v="191"/>
    <x v="194"/>
    <x v="1"/>
    <x v="215"/>
    <x v="215"/>
    <x v="0"/>
    <x v="0"/>
    <x v="24"/>
    <x v="23"/>
    <x v="141"/>
    <x v="3"/>
    <x v="184"/>
    <x v="1"/>
    <x v="7"/>
    <x v="185"/>
    <x v="205"/>
    <x v="5"/>
    <x v="2"/>
    <x v="211"/>
  </r>
  <r>
    <x v="216"/>
    <x v="0"/>
    <x v="192"/>
    <x v="195"/>
    <x v="2"/>
    <x v="216"/>
    <x v="216"/>
    <x v="2"/>
    <x v="0"/>
    <x v="20"/>
    <x v="15"/>
    <x v="42"/>
    <x v="3"/>
    <x v="202"/>
    <x v="1"/>
    <x v="5"/>
    <x v="203"/>
    <x v="206"/>
    <x v="4"/>
    <x v="2"/>
    <x v="212"/>
  </r>
  <r>
    <x v="217"/>
    <x v="0"/>
    <x v="157"/>
    <x v="196"/>
    <x v="0"/>
    <x v="217"/>
    <x v="217"/>
    <x v="0"/>
    <x v="0"/>
    <x v="8"/>
    <x v="1"/>
    <x v="89"/>
    <x v="1"/>
    <x v="203"/>
    <x v="0"/>
    <x v="9"/>
    <x v="204"/>
    <x v="207"/>
    <x v="0"/>
    <x v="2"/>
    <x v="213"/>
  </r>
  <r>
    <x v="218"/>
    <x v="0"/>
    <x v="193"/>
    <x v="48"/>
    <x v="1"/>
    <x v="218"/>
    <x v="218"/>
    <x v="0"/>
    <x v="0"/>
    <x v="12"/>
    <x v="5"/>
    <x v="122"/>
    <x v="2"/>
    <x v="204"/>
    <x v="1"/>
    <x v="13"/>
    <x v="205"/>
    <x v="208"/>
    <x v="3"/>
    <x v="2"/>
    <x v="214"/>
  </r>
  <r>
    <x v="219"/>
    <x v="0"/>
    <x v="194"/>
    <x v="197"/>
    <x v="0"/>
    <x v="219"/>
    <x v="219"/>
    <x v="0"/>
    <x v="0"/>
    <x v="38"/>
    <x v="3"/>
    <x v="142"/>
    <x v="0"/>
    <x v="205"/>
    <x v="1"/>
    <x v="8"/>
    <x v="206"/>
    <x v="209"/>
    <x v="6"/>
    <x v="2"/>
    <x v="215"/>
  </r>
  <r>
    <x v="220"/>
    <x v="0"/>
    <x v="195"/>
    <x v="33"/>
    <x v="1"/>
    <x v="220"/>
    <x v="220"/>
    <x v="0"/>
    <x v="0"/>
    <x v="1"/>
    <x v="1"/>
    <x v="59"/>
    <x v="1"/>
    <x v="206"/>
    <x v="1"/>
    <x v="1"/>
    <x v="207"/>
    <x v="141"/>
    <x v="0"/>
    <x v="0"/>
    <x v="146"/>
  </r>
  <r>
    <x v="221"/>
    <x v="0"/>
    <x v="196"/>
    <x v="195"/>
    <x v="0"/>
    <x v="221"/>
    <x v="221"/>
    <x v="0"/>
    <x v="0"/>
    <x v="8"/>
    <x v="1"/>
    <x v="89"/>
    <x v="1"/>
    <x v="207"/>
    <x v="0"/>
    <x v="3"/>
    <x v="208"/>
    <x v="210"/>
    <x v="3"/>
    <x v="0"/>
    <x v="216"/>
  </r>
  <r>
    <x v="222"/>
    <x v="0"/>
    <x v="77"/>
    <x v="198"/>
    <x v="0"/>
    <x v="222"/>
    <x v="222"/>
    <x v="0"/>
    <x v="0"/>
    <x v="113"/>
    <x v="2"/>
    <x v="143"/>
    <x v="0"/>
    <x v="208"/>
    <x v="1"/>
    <x v="6"/>
    <x v="209"/>
    <x v="211"/>
    <x v="1"/>
    <x v="2"/>
    <x v="217"/>
  </r>
  <r>
    <x v="223"/>
    <x v="0"/>
    <x v="189"/>
    <x v="199"/>
    <x v="2"/>
    <x v="223"/>
    <x v="223"/>
    <x v="0"/>
    <x v="0"/>
    <x v="4"/>
    <x v="4"/>
    <x v="56"/>
    <x v="1"/>
    <x v="209"/>
    <x v="1"/>
    <x v="13"/>
    <x v="210"/>
    <x v="212"/>
    <x v="0"/>
    <x v="0"/>
    <x v="213"/>
  </r>
  <r>
    <x v="224"/>
    <x v="0"/>
    <x v="197"/>
    <x v="200"/>
    <x v="2"/>
    <x v="224"/>
    <x v="224"/>
    <x v="0"/>
    <x v="0"/>
    <x v="1"/>
    <x v="1"/>
    <x v="144"/>
    <x v="1"/>
    <x v="210"/>
    <x v="2"/>
    <x v="10"/>
    <x v="211"/>
    <x v="213"/>
    <x v="3"/>
    <x v="2"/>
    <x v="218"/>
  </r>
  <r>
    <x v="225"/>
    <x v="0"/>
    <x v="156"/>
    <x v="158"/>
    <x v="1"/>
    <x v="225"/>
    <x v="225"/>
    <x v="1"/>
    <x v="0"/>
    <x v="4"/>
    <x v="4"/>
    <x v="56"/>
    <x v="1"/>
    <x v="211"/>
    <x v="1"/>
    <x v="4"/>
    <x v="212"/>
    <x v="214"/>
    <x v="7"/>
    <x v="0"/>
    <x v="219"/>
  </r>
  <r>
    <x v="226"/>
    <x v="0"/>
    <x v="110"/>
    <x v="201"/>
    <x v="1"/>
    <x v="226"/>
    <x v="226"/>
    <x v="0"/>
    <x v="0"/>
    <x v="20"/>
    <x v="15"/>
    <x v="23"/>
    <x v="3"/>
    <x v="206"/>
    <x v="1"/>
    <x v="1"/>
    <x v="207"/>
    <x v="215"/>
    <x v="2"/>
    <x v="0"/>
    <x v="220"/>
  </r>
  <r>
    <x v="227"/>
    <x v="0"/>
    <x v="51"/>
    <x v="202"/>
    <x v="1"/>
    <x v="227"/>
    <x v="227"/>
    <x v="0"/>
    <x v="0"/>
    <x v="114"/>
    <x v="4"/>
    <x v="145"/>
    <x v="1"/>
    <x v="212"/>
    <x v="1"/>
    <x v="8"/>
    <x v="213"/>
    <x v="63"/>
    <x v="3"/>
    <x v="0"/>
    <x v="64"/>
  </r>
  <r>
    <x v="228"/>
    <x v="0"/>
    <x v="198"/>
    <x v="203"/>
    <x v="0"/>
    <x v="228"/>
    <x v="228"/>
    <x v="0"/>
    <x v="0"/>
    <x v="80"/>
    <x v="1"/>
    <x v="99"/>
    <x v="1"/>
    <x v="211"/>
    <x v="1"/>
    <x v="4"/>
    <x v="212"/>
    <x v="216"/>
    <x v="9"/>
    <x v="0"/>
    <x v="221"/>
  </r>
  <r>
    <x v="229"/>
    <x v="0"/>
    <x v="199"/>
    <x v="204"/>
    <x v="1"/>
    <x v="229"/>
    <x v="229"/>
    <x v="0"/>
    <x v="0"/>
    <x v="22"/>
    <x v="10"/>
    <x v="26"/>
    <x v="2"/>
    <x v="213"/>
    <x v="1"/>
    <x v="7"/>
    <x v="214"/>
    <x v="217"/>
    <x v="0"/>
    <x v="2"/>
    <x v="222"/>
  </r>
  <r>
    <x v="230"/>
    <x v="0"/>
    <x v="200"/>
    <x v="205"/>
    <x v="1"/>
    <x v="230"/>
    <x v="230"/>
    <x v="0"/>
    <x v="0"/>
    <x v="1"/>
    <x v="1"/>
    <x v="25"/>
    <x v="1"/>
    <x v="214"/>
    <x v="1"/>
    <x v="15"/>
    <x v="215"/>
    <x v="218"/>
    <x v="6"/>
    <x v="0"/>
    <x v="223"/>
  </r>
  <r>
    <x v="231"/>
    <x v="0"/>
    <x v="92"/>
    <x v="206"/>
    <x v="1"/>
    <x v="231"/>
    <x v="231"/>
    <x v="0"/>
    <x v="0"/>
    <x v="58"/>
    <x v="21"/>
    <x v="73"/>
    <x v="1"/>
    <x v="15"/>
    <x v="2"/>
    <x v="10"/>
    <x v="15"/>
    <x v="219"/>
    <x v="3"/>
    <x v="2"/>
    <x v="224"/>
  </r>
  <r>
    <x v="232"/>
    <x v="0"/>
    <x v="201"/>
    <x v="207"/>
    <x v="1"/>
    <x v="232"/>
    <x v="232"/>
    <x v="0"/>
    <x v="0"/>
    <x v="115"/>
    <x v="0"/>
    <x v="146"/>
    <x v="0"/>
    <x v="215"/>
    <x v="0"/>
    <x v="9"/>
    <x v="216"/>
    <x v="220"/>
    <x v="8"/>
    <x v="0"/>
    <x v="225"/>
  </r>
  <r>
    <x v="233"/>
    <x v="1"/>
    <x v="202"/>
    <x v="208"/>
    <x v="1"/>
    <x v="233"/>
    <x v="233"/>
    <x v="0"/>
    <x v="0"/>
    <x v="116"/>
    <x v="20"/>
    <x v="147"/>
    <x v="1"/>
    <x v="216"/>
    <x v="2"/>
    <x v="10"/>
    <x v="217"/>
    <x v="221"/>
    <x v="0"/>
    <x v="2"/>
    <x v="226"/>
  </r>
  <r>
    <x v="234"/>
    <x v="0"/>
    <x v="203"/>
    <x v="209"/>
    <x v="1"/>
    <x v="234"/>
    <x v="234"/>
    <x v="0"/>
    <x v="0"/>
    <x v="117"/>
    <x v="5"/>
    <x v="148"/>
    <x v="2"/>
    <x v="217"/>
    <x v="1"/>
    <x v="8"/>
    <x v="218"/>
    <x v="222"/>
    <x v="0"/>
    <x v="2"/>
    <x v="227"/>
  </r>
  <r>
    <x v="235"/>
    <x v="0"/>
    <x v="204"/>
    <x v="210"/>
    <x v="1"/>
    <x v="235"/>
    <x v="235"/>
    <x v="0"/>
    <x v="0"/>
    <x v="68"/>
    <x v="1"/>
    <x v="128"/>
    <x v="1"/>
    <x v="218"/>
    <x v="1"/>
    <x v="6"/>
    <x v="219"/>
    <x v="223"/>
    <x v="0"/>
    <x v="0"/>
    <x v="228"/>
  </r>
  <r>
    <x v="236"/>
    <x v="0"/>
    <x v="205"/>
    <x v="190"/>
    <x v="2"/>
    <x v="236"/>
    <x v="236"/>
    <x v="0"/>
    <x v="0"/>
    <x v="10"/>
    <x v="9"/>
    <x v="60"/>
    <x v="3"/>
    <x v="219"/>
    <x v="1"/>
    <x v="15"/>
    <x v="220"/>
    <x v="224"/>
    <x v="0"/>
    <x v="2"/>
    <x v="229"/>
  </r>
  <r>
    <x v="237"/>
    <x v="1"/>
    <x v="83"/>
    <x v="211"/>
    <x v="1"/>
    <x v="237"/>
    <x v="237"/>
    <x v="0"/>
    <x v="0"/>
    <x v="10"/>
    <x v="9"/>
    <x v="71"/>
    <x v="3"/>
    <x v="220"/>
    <x v="2"/>
    <x v="10"/>
    <x v="221"/>
    <x v="225"/>
    <x v="3"/>
    <x v="7"/>
    <x v="230"/>
  </r>
  <r>
    <x v="238"/>
    <x v="0"/>
    <x v="206"/>
    <x v="212"/>
    <x v="1"/>
    <x v="238"/>
    <x v="238"/>
    <x v="0"/>
    <x v="0"/>
    <x v="113"/>
    <x v="2"/>
    <x v="143"/>
    <x v="0"/>
    <x v="221"/>
    <x v="1"/>
    <x v="7"/>
    <x v="222"/>
    <x v="226"/>
    <x v="8"/>
    <x v="2"/>
    <x v="231"/>
  </r>
  <r>
    <x v="239"/>
    <x v="1"/>
    <x v="207"/>
    <x v="213"/>
    <x v="1"/>
    <x v="239"/>
    <x v="239"/>
    <x v="0"/>
    <x v="0"/>
    <x v="10"/>
    <x v="9"/>
    <x v="60"/>
    <x v="3"/>
    <x v="222"/>
    <x v="1"/>
    <x v="5"/>
    <x v="223"/>
    <x v="227"/>
    <x v="0"/>
    <x v="6"/>
    <x v="232"/>
  </r>
  <r>
    <x v="240"/>
    <x v="0"/>
    <x v="208"/>
    <x v="214"/>
    <x v="2"/>
    <x v="240"/>
    <x v="240"/>
    <x v="1"/>
    <x v="0"/>
    <x v="59"/>
    <x v="5"/>
    <x v="149"/>
    <x v="2"/>
    <x v="152"/>
    <x v="2"/>
    <x v="10"/>
    <x v="153"/>
    <x v="228"/>
    <x v="3"/>
    <x v="2"/>
    <x v="233"/>
  </r>
  <r>
    <x v="241"/>
    <x v="0"/>
    <x v="103"/>
    <x v="215"/>
    <x v="0"/>
    <x v="241"/>
    <x v="241"/>
    <x v="1"/>
    <x v="0"/>
    <x v="10"/>
    <x v="9"/>
    <x v="98"/>
    <x v="3"/>
    <x v="223"/>
    <x v="1"/>
    <x v="4"/>
    <x v="224"/>
    <x v="229"/>
    <x v="0"/>
    <x v="2"/>
    <x v="234"/>
  </r>
  <r>
    <x v="242"/>
    <x v="0"/>
    <x v="209"/>
    <x v="216"/>
    <x v="0"/>
    <x v="242"/>
    <x v="242"/>
    <x v="0"/>
    <x v="0"/>
    <x v="118"/>
    <x v="23"/>
    <x v="150"/>
    <x v="3"/>
    <x v="224"/>
    <x v="2"/>
    <x v="10"/>
    <x v="225"/>
    <x v="230"/>
    <x v="11"/>
    <x v="7"/>
    <x v="235"/>
  </r>
  <r>
    <x v="243"/>
    <x v="0"/>
    <x v="210"/>
    <x v="156"/>
    <x v="0"/>
    <x v="243"/>
    <x v="243"/>
    <x v="1"/>
    <x v="0"/>
    <x v="20"/>
    <x v="15"/>
    <x v="151"/>
    <x v="3"/>
    <x v="225"/>
    <x v="0"/>
    <x v="3"/>
    <x v="226"/>
    <x v="231"/>
    <x v="0"/>
    <x v="0"/>
    <x v="236"/>
  </r>
  <r>
    <x v="244"/>
    <x v="1"/>
    <x v="55"/>
    <x v="217"/>
    <x v="1"/>
    <x v="244"/>
    <x v="244"/>
    <x v="0"/>
    <x v="0"/>
    <x v="22"/>
    <x v="10"/>
    <x v="26"/>
    <x v="2"/>
    <x v="226"/>
    <x v="1"/>
    <x v="5"/>
    <x v="227"/>
    <x v="232"/>
    <x v="1"/>
    <x v="3"/>
    <x v="237"/>
  </r>
  <r>
    <x v="245"/>
    <x v="0"/>
    <x v="211"/>
    <x v="218"/>
    <x v="1"/>
    <x v="245"/>
    <x v="245"/>
    <x v="1"/>
    <x v="0"/>
    <x v="119"/>
    <x v="12"/>
    <x v="152"/>
    <x v="2"/>
    <x v="227"/>
    <x v="0"/>
    <x v="9"/>
    <x v="228"/>
    <x v="233"/>
    <x v="0"/>
    <x v="0"/>
    <x v="238"/>
  </r>
  <r>
    <x v="246"/>
    <x v="0"/>
    <x v="159"/>
    <x v="162"/>
    <x v="1"/>
    <x v="246"/>
    <x v="246"/>
    <x v="2"/>
    <x v="0"/>
    <x v="20"/>
    <x v="15"/>
    <x v="29"/>
    <x v="3"/>
    <x v="228"/>
    <x v="0"/>
    <x v="3"/>
    <x v="229"/>
    <x v="234"/>
    <x v="2"/>
    <x v="0"/>
    <x v="239"/>
  </r>
  <r>
    <x v="247"/>
    <x v="0"/>
    <x v="212"/>
    <x v="219"/>
    <x v="1"/>
    <x v="247"/>
    <x v="247"/>
    <x v="0"/>
    <x v="0"/>
    <x v="4"/>
    <x v="4"/>
    <x v="57"/>
    <x v="1"/>
    <x v="229"/>
    <x v="1"/>
    <x v="6"/>
    <x v="230"/>
    <x v="235"/>
    <x v="0"/>
    <x v="0"/>
    <x v="240"/>
  </r>
  <r>
    <x v="248"/>
    <x v="1"/>
    <x v="25"/>
    <x v="10"/>
    <x v="0"/>
    <x v="248"/>
    <x v="248"/>
    <x v="0"/>
    <x v="0"/>
    <x v="32"/>
    <x v="21"/>
    <x v="39"/>
    <x v="1"/>
    <x v="230"/>
    <x v="1"/>
    <x v="7"/>
    <x v="231"/>
    <x v="236"/>
    <x v="3"/>
    <x v="2"/>
    <x v="241"/>
  </r>
  <r>
    <x v="249"/>
    <x v="0"/>
    <x v="213"/>
    <x v="220"/>
    <x v="0"/>
    <x v="249"/>
    <x v="249"/>
    <x v="1"/>
    <x v="0"/>
    <x v="120"/>
    <x v="31"/>
    <x v="153"/>
    <x v="0"/>
    <x v="231"/>
    <x v="0"/>
    <x v="9"/>
    <x v="232"/>
    <x v="237"/>
    <x v="3"/>
    <x v="0"/>
    <x v="242"/>
  </r>
  <r>
    <x v="250"/>
    <x v="1"/>
    <x v="214"/>
    <x v="221"/>
    <x v="1"/>
    <x v="250"/>
    <x v="250"/>
    <x v="0"/>
    <x v="0"/>
    <x v="32"/>
    <x v="21"/>
    <x v="39"/>
    <x v="1"/>
    <x v="232"/>
    <x v="1"/>
    <x v="5"/>
    <x v="233"/>
    <x v="238"/>
    <x v="3"/>
    <x v="6"/>
    <x v="243"/>
  </r>
  <r>
    <x v="251"/>
    <x v="0"/>
    <x v="114"/>
    <x v="222"/>
    <x v="1"/>
    <x v="251"/>
    <x v="251"/>
    <x v="1"/>
    <x v="0"/>
    <x v="29"/>
    <x v="11"/>
    <x v="36"/>
    <x v="2"/>
    <x v="233"/>
    <x v="0"/>
    <x v="3"/>
    <x v="234"/>
    <x v="239"/>
    <x v="3"/>
    <x v="0"/>
    <x v="244"/>
  </r>
  <r>
    <x v="252"/>
    <x v="0"/>
    <x v="215"/>
    <x v="223"/>
    <x v="0"/>
    <x v="252"/>
    <x v="252"/>
    <x v="0"/>
    <x v="0"/>
    <x v="121"/>
    <x v="1"/>
    <x v="154"/>
    <x v="1"/>
    <x v="234"/>
    <x v="1"/>
    <x v="7"/>
    <x v="235"/>
    <x v="240"/>
    <x v="0"/>
    <x v="0"/>
    <x v="245"/>
  </r>
  <r>
    <x v="253"/>
    <x v="0"/>
    <x v="172"/>
    <x v="224"/>
    <x v="1"/>
    <x v="253"/>
    <x v="253"/>
    <x v="0"/>
    <x v="0"/>
    <x v="122"/>
    <x v="12"/>
    <x v="155"/>
    <x v="2"/>
    <x v="235"/>
    <x v="2"/>
    <x v="12"/>
    <x v="236"/>
    <x v="241"/>
    <x v="6"/>
    <x v="0"/>
    <x v="246"/>
  </r>
  <r>
    <x v="254"/>
    <x v="0"/>
    <x v="216"/>
    <x v="225"/>
    <x v="1"/>
    <x v="254"/>
    <x v="254"/>
    <x v="2"/>
    <x v="0"/>
    <x v="36"/>
    <x v="14"/>
    <x v="123"/>
    <x v="2"/>
    <x v="236"/>
    <x v="1"/>
    <x v="6"/>
    <x v="237"/>
    <x v="242"/>
    <x v="0"/>
    <x v="0"/>
    <x v="247"/>
  </r>
  <r>
    <x v="255"/>
    <x v="0"/>
    <x v="25"/>
    <x v="226"/>
    <x v="0"/>
    <x v="255"/>
    <x v="255"/>
    <x v="1"/>
    <x v="0"/>
    <x v="123"/>
    <x v="4"/>
    <x v="156"/>
    <x v="1"/>
    <x v="237"/>
    <x v="0"/>
    <x v="3"/>
    <x v="238"/>
    <x v="243"/>
    <x v="6"/>
    <x v="0"/>
    <x v="248"/>
  </r>
  <r>
    <x v="256"/>
    <x v="0"/>
    <x v="217"/>
    <x v="139"/>
    <x v="1"/>
    <x v="256"/>
    <x v="256"/>
    <x v="2"/>
    <x v="0"/>
    <x v="20"/>
    <x v="15"/>
    <x v="23"/>
    <x v="3"/>
    <x v="29"/>
    <x v="1"/>
    <x v="4"/>
    <x v="29"/>
    <x v="244"/>
    <x v="11"/>
    <x v="0"/>
    <x v="249"/>
  </r>
  <r>
    <x v="257"/>
    <x v="0"/>
    <x v="218"/>
    <x v="227"/>
    <x v="1"/>
    <x v="257"/>
    <x v="257"/>
    <x v="0"/>
    <x v="0"/>
    <x v="36"/>
    <x v="23"/>
    <x v="44"/>
    <x v="3"/>
    <x v="238"/>
    <x v="1"/>
    <x v="6"/>
    <x v="239"/>
    <x v="245"/>
    <x v="0"/>
    <x v="2"/>
    <x v="250"/>
  </r>
  <r>
    <x v="258"/>
    <x v="1"/>
    <x v="219"/>
    <x v="228"/>
    <x v="3"/>
    <x v="258"/>
    <x v="258"/>
    <x v="2"/>
    <x v="0"/>
    <x v="32"/>
    <x v="10"/>
    <x v="157"/>
    <x v="2"/>
    <x v="239"/>
    <x v="0"/>
    <x v="9"/>
    <x v="240"/>
    <x v="246"/>
    <x v="0"/>
    <x v="4"/>
    <x v="251"/>
  </r>
  <r>
    <x v="259"/>
    <x v="0"/>
    <x v="220"/>
    <x v="229"/>
    <x v="1"/>
    <x v="259"/>
    <x v="259"/>
    <x v="1"/>
    <x v="0"/>
    <x v="20"/>
    <x v="15"/>
    <x v="151"/>
    <x v="3"/>
    <x v="240"/>
    <x v="1"/>
    <x v="7"/>
    <x v="241"/>
    <x v="247"/>
    <x v="1"/>
    <x v="0"/>
    <x v="252"/>
  </r>
  <r>
    <x v="260"/>
    <x v="0"/>
    <x v="105"/>
    <x v="230"/>
    <x v="0"/>
    <x v="260"/>
    <x v="260"/>
    <x v="1"/>
    <x v="0"/>
    <x v="59"/>
    <x v="5"/>
    <x v="158"/>
    <x v="2"/>
    <x v="241"/>
    <x v="1"/>
    <x v="15"/>
    <x v="242"/>
    <x v="248"/>
    <x v="3"/>
    <x v="2"/>
    <x v="253"/>
  </r>
  <r>
    <x v="261"/>
    <x v="0"/>
    <x v="150"/>
    <x v="150"/>
    <x v="2"/>
    <x v="261"/>
    <x v="261"/>
    <x v="0"/>
    <x v="0"/>
    <x v="124"/>
    <x v="23"/>
    <x v="159"/>
    <x v="3"/>
    <x v="242"/>
    <x v="0"/>
    <x v="3"/>
    <x v="243"/>
    <x v="249"/>
    <x v="1"/>
    <x v="2"/>
    <x v="254"/>
  </r>
  <r>
    <x v="262"/>
    <x v="0"/>
    <x v="221"/>
    <x v="231"/>
    <x v="2"/>
    <x v="262"/>
    <x v="262"/>
    <x v="0"/>
    <x v="0"/>
    <x v="36"/>
    <x v="14"/>
    <x v="123"/>
    <x v="2"/>
    <x v="243"/>
    <x v="1"/>
    <x v="6"/>
    <x v="244"/>
    <x v="250"/>
    <x v="3"/>
    <x v="0"/>
    <x v="255"/>
  </r>
  <r>
    <x v="263"/>
    <x v="1"/>
    <x v="222"/>
    <x v="232"/>
    <x v="1"/>
    <x v="263"/>
    <x v="263"/>
    <x v="0"/>
    <x v="0"/>
    <x v="125"/>
    <x v="5"/>
    <x v="160"/>
    <x v="2"/>
    <x v="244"/>
    <x v="1"/>
    <x v="6"/>
    <x v="245"/>
    <x v="251"/>
    <x v="3"/>
    <x v="3"/>
    <x v="256"/>
  </r>
  <r>
    <x v="264"/>
    <x v="0"/>
    <x v="223"/>
    <x v="68"/>
    <x v="1"/>
    <x v="264"/>
    <x v="264"/>
    <x v="0"/>
    <x v="0"/>
    <x v="20"/>
    <x v="15"/>
    <x v="23"/>
    <x v="3"/>
    <x v="245"/>
    <x v="1"/>
    <x v="5"/>
    <x v="246"/>
    <x v="252"/>
    <x v="3"/>
    <x v="2"/>
    <x v="257"/>
  </r>
  <r>
    <x v="265"/>
    <x v="1"/>
    <x v="224"/>
    <x v="233"/>
    <x v="3"/>
    <x v="265"/>
    <x v="265"/>
    <x v="1"/>
    <x v="0"/>
    <x v="126"/>
    <x v="3"/>
    <x v="161"/>
    <x v="0"/>
    <x v="246"/>
    <x v="2"/>
    <x v="14"/>
    <x v="247"/>
    <x v="253"/>
    <x v="6"/>
    <x v="5"/>
    <x v="258"/>
  </r>
  <r>
    <x v="266"/>
    <x v="0"/>
    <x v="225"/>
    <x v="234"/>
    <x v="2"/>
    <x v="266"/>
    <x v="266"/>
    <x v="0"/>
    <x v="0"/>
    <x v="97"/>
    <x v="34"/>
    <x v="118"/>
    <x v="0"/>
    <x v="247"/>
    <x v="2"/>
    <x v="12"/>
    <x v="248"/>
    <x v="254"/>
    <x v="3"/>
    <x v="0"/>
    <x v="259"/>
  </r>
  <r>
    <x v="267"/>
    <x v="0"/>
    <x v="50"/>
    <x v="151"/>
    <x v="1"/>
    <x v="267"/>
    <x v="267"/>
    <x v="0"/>
    <x v="0"/>
    <x v="20"/>
    <x v="15"/>
    <x v="42"/>
    <x v="3"/>
    <x v="248"/>
    <x v="0"/>
    <x v="0"/>
    <x v="249"/>
    <x v="255"/>
    <x v="0"/>
    <x v="2"/>
    <x v="260"/>
  </r>
  <r>
    <x v="268"/>
    <x v="1"/>
    <x v="226"/>
    <x v="235"/>
    <x v="0"/>
    <x v="268"/>
    <x v="268"/>
    <x v="0"/>
    <x v="0"/>
    <x v="127"/>
    <x v="17"/>
    <x v="162"/>
    <x v="0"/>
    <x v="249"/>
    <x v="0"/>
    <x v="3"/>
    <x v="250"/>
    <x v="256"/>
    <x v="8"/>
    <x v="0"/>
    <x v="261"/>
  </r>
  <r>
    <x v="269"/>
    <x v="0"/>
    <x v="227"/>
    <x v="236"/>
    <x v="1"/>
    <x v="269"/>
    <x v="269"/>
    <x v="0"/>
    <x v="0"/>
    <x v="1"/>
    <x v="1"/>
    <x v="1"/>
    <x v="1"/>
    <x v="250"/>
    <x v="2"/>
    <x v="12"/>
    <x v="251"/>
    <x v="257"/>
    <x v="8"/>
    <x v="0"/>
    <x v="262"/>
  </r>
  <r>
    <x v="270"/>
    <x v="0"/>
    <x v="228"/>
    <x v="237"/>
    <x v="2"/>
    <x v="270"/>
    <x v="270"/>
    <x v="2"/>
    <x v="0"/>
    <x v="128"/>
    <x v="9"/>
    <x v="163"/>
    <x v="3"/>
    <x v="127"/>
    <x v="1"/>
    <x v="8"/>
    <x v="128"/>
    <x v="258"/>
    <x v="7"/>
    <x v="2"/>
    <x v="263"/>
  </r>
  <r>
    <x v="271"/>
    <x v="0"/>
    <x v="229"/>
    <x v="238"/>
    <x v="1"/>
    <x v="271"/>
    <x v="271"/>
    <x v="0"/>
    <x v="0"/>
    <x v="80"/>
    <x v="1"/>
    <x v="99"/>
    <x v="1"/>
    <x v="251"/>
    <x v="0"/>
    <x v="2"/>
    <x v="252"/>
    <x v="259"/>
    <x v="3"/>
    <x v="2"/>
    <x v="264"/>
  </r>
  <r>
    <x v="272"/>
    <x v="0"/>
    <x v="155"/>
    <x v="97"/>
    <x v="1"/>
    <x v="272"/>
    <x v="272"/>
    <x v="1"/>
    <x v="0"/>
    <x v="129"/>
    <x v="3"/>
    <x v="164"/>
    <x v="0"/>
    <x v="252"/>
    <x v="1"/>
    <x v="4"/>
    <x v="253"/>
    <x v="260"/>
    <x v="0"/>
    <x v="2"/>
    <x v="265"/>
  </r>
  <r>
    <x v="273"/>
    <x v="0"/>
    <x v="230"/>
    <x v="239"/>
    <x v="2"/>
    <x v="273"/>
    <x v="273"/>
    <x v="0"/>
    <x v="0"/>
    <x v="20"/>
    <x v="15"/>
    <x v="42"/>
    <x v="3"/>
    <x v="253"/>
    <x v="2"/>
    <x v="12"/>
    <x v="254"/>
    <x v="261"/>
    <x v="6"/>
    <x v="0"/>
    <x v="266"/>
  </r>
  <r>
    <x v="274"/>
    <x v="0"/>
    <x v="231"/>
    <x v="240"/>
    <x v="2"/>
    <x v="274"/>
    <x v="274"/>
    <x v="2"/>
    <x v="0"/>
    <x v="20"/>
    <x v="15"/>
    <x v="42"/>
    <x v="3"/>
    <x v="177"/>
    <x v="1"/>
    <x v="4"/>
    <x v="178"/>
    <x v="177"/>
    <x v="8"/>
    <x v="0"/>
    <x v="183"/>
  </r>
  <r>
    <x v="275"/>
    <x v="0"/>
    <x v="188"/>
    <x v="241"/>
    <x v="1"/>
    <x v="275"/>
    <x v="275"/>
    <x v="0"/>
    <x v="0"/>
    <x v="130"/>
    <x v="2"/>
    <x v="165"/>
    <x v="0"/>
    <x v="254"/>
    <x v="1"/>
    <x v="11"/>
    <x v="255"/>
    <x v="262"/>
    <x v="6"/>
    <x v="2"/>
    <x v="267"/>
  </r>
  <r>
    <x v="276"/>
    <x v="1"/>
    <x v="212"/>
    <x v="242"/>
    <x v="1"/>
    <x v="276"/>
    <x v="276"/>
    <x v="1"/>
    <x v="0"/>
    <x v="131"/>
    <x v="15"/>
    <x v="166"/>
    <x v="3"/>
    <x v="255"/>
    <x v="1"/>
    <x v="6"/>
    <x v="256"/>
    <x v="263"/>
    <x v="4"/>
    <x v="0"/>
    <x v="268"/>
  </r>
  <r>
    <x v="277"/>
    <x v="0"/>
    <x v="232"/>
    <x v="243"/>
    <x v="2"/>
    <x v="277"/>
    <x v="277"/>
    <x v="0"/>
    <x v="0"/>
    <x v="18"/>
    <x v="13"/>
    <x v="21"/>
    <x v="3"/>
    <x v="256"/>
    <x v="0"/>
    <x v="3"/>
    <x v="257"/>
    <x v="264"/>
    <x v="0"/>
    <x v="0"/>
    <x v="269"/>
  </r>
  <r>
    <x v="278"/>
    <x v="0"/>
    <x v="233"/>
    <x v="244"/>
    <x v="1"/>
    <x v="278"/>
    <x v="278"/>
    <x v="2"/>
    <x v="0"/>
    <x v="11"/>
    <x v="7"/>
    <x v="12"/>
    <x v="1"/>
    <x v="257"/>
    <x v="1"/>
    <x v="5"/>
    <x v="258"/>
    <x v="265"/>
    <x v="3"/>
    <x v="2"/>
    <x v="270"/>
  </r>
  <r>
    <x v="279"/>
    <x v="0"/>
    <x v="234"/>
    <x v="245"/>
    <x v="1"/>
    <x v="279"/>
    <x v="279"/>
    <x v="2"/>
    <x v="0"/>
    <x v="1"/>
    <x v="1"/>
    <x v="59"/>
    <x v="1"/>
    <x v="258"/>
    <x v="1"/>
    <x v="4"/>
    <x v="259"/>
    <x v="266"/>
    <x v="3"/>
    <x v="0"/>
    <x v="271"/>
  </r>
  <r>
    <x v="280"/>
    <x v="0"/>
    <x v="235"/>
    <x v="246"/>
    <x v="1"/>
    <x v="280"/>
    <x v="280"/>
    <x v="2"/>
    <x v="0"/>
    <x v="10"/>
    <x v="9"/>
    <x v="11"/>
    <x v="3"/>
    <x v="259"/>
    <x v="0"/>
    <x v="3"/>
    <x v="260"/>
    <x v="267"/>
    <x v="1"/>
    <x v="2"/>
    <x v="272"/>
  </r>
  <r>
    <x v="281"/>
    <x v="0"/>
    <x v="236"/>
    <x v="247"/>
    <x v="1"/>
    <x v="281"/>
    <x v="281"/>
    <x v="1"/>
    <x v="0"/>
    <x v="132"/>
    <x v="2"/>
    <x v="167"/>
    <x v="0"/>
    <x v="260"/>
    <x v="1"/>
    <x v="15"/>
    <x v="261"/>
    <x v="268"/>
    <x v="2"/>
    <x v="2"/>
    <x v="273"/>
  </r>
  <r>
    <x v="282"/>
    <x v="0"/>
    <x v="111"/>
    <x v="248"/>
    <x v="1"/>
    <x v="282"/>
    <x v="282"/>
    <x v="0"/>
    <x v="0"/>
    <x v="133"/>
    <x v="5"/>
    <x v="168"/>
    <x v="2"/>
    <x v="261"/>
    <x v="1"/>
    <x v="11"/>
    <x v="262"/>
    <x v="269"/>
    <x v="0"/>
    <x v="2"/>
    <x v="274"/>
  </r>
  <r>
    <x v="283"/>
    <x v="1"/>
    <x v="237"/>
    <x v="249"/>
    <x v="2"/>
    <x v="283"/>
    <x v="283"/>
    <x v="0"/>
    <x v="0"/>
    <x v="134"/>
    <x v="15"/>
    <x v="169"/>
    <x v="3"/>
    <x v="262"/>
    <x v="1"/>
    <x v="4"/>
    <x v="263"/>
    <x v="270"/>
    <x v="7"/>
    <x v="0"/>
    <x v="275"/>
  </r>
  <r>
    <x v="284"/>
    <x v="0"/>
    <x v="238"/>
    <x v="183"/>
    <x v="1"/>
    <x v="284"/>
    <x v="284"/>
    <x v="2"/>
    <x v="0"/>
    <x v="4"/>
    <x v="4"/>
    <x v="57"/>
    <x v="1"/>
    <x v="263"/>
    <x v="1"/>
    <x v="7"/>
    <x v="264"/>
    <x v="271"/>
    <x v="3"/>
    <x v="0"/>
    <x v="276"/>
  </r>
  <r>
    <x v="285"/>
    <x v="0"/>
    <x v="239"/>
    <x v="250"/>
    <x v="1"/>
    <x v="285"/>
    <x v="285"/>
    <x v="2"/>
    <x v="0"/>
    <x v="14"/>
    <x v="10"/>
    <x v="17"/>
    <x v="2"/>
    <x v="264"/>
    <x v="1"/>
    <x v="1"/>
    <x v="265"/>
    <x v="272"/>
    <x v="3"/>
    <x v="2"/>
    <x v="277"/>
  </r>
  <r>
    <x v="286"/>
    <x v="1"/>
    <x v="240"/>
    <x v="123"/>
    <x v="1"/>
    <x v="286"/>
    <x v="286"/>
    <x v="0"/>
    <x v="0"/>
    <x v="59"/>
    <x v="5"/>
    <x v="74"/>
    <x v="2"/>
    <x v="214"/>
    <x v="1"/>
    <x v="15"/>
    <x v="215"/>
    <x v="218"/>
    <x v="1"/>
    <x v="2"/>
    <x v="278"/>
  </r>
  <r>
    <x v="287"/>
    <x v="0"/>
    <x v="202"/>
    <x v="251"/>
    <x v="0"/>
    <x v="287"/>
    <x v="287"/>
    <x v="0"/>
    <x v="0"/>
    <x v="135"/>
    <x v="10"/>
    <x v="170"/>
    <x v="2"/>
    <x v="265"/>
    <x v="2"/>
    <x v="10"/>
    <x v="266"/>
    <x v="273"/>
    <x v="8"/>
    <x v="2"/>
    <x v="279"/>
  </r>
  <r>
    <x v="288"/>
    <x v="0"/>
    <x v="241"/>
    <x v="252"/>
    <x v="1"/>
    <x v="288"/>
    <x v="288"/>
    <x v="0"/>
    <x v="0"/>
    <x v="136"/>
    <x v="12"/>
    <x v="171"/>
    <x v="2"/>
    <x v="266"/>
    <x v="1"/>
    <x v="5"/>
    <x v="267"/>
    <x v="274"/>
    <x v="3"/>
    <x v="0"/>
    <x v="280"/>
  </r>
  <r>
    <x v="289"/>
    <x v="0"/>
    <x v="242"/>
    <x v="253"/>
    <x v="2"/>
    <x v="289"/>
    <x v="289"/>
    <x v="1"/>
    <x v="0"/>
    <x v="8"/>
    <x v="1"/>
    <x v="89"/>
    <x v="1"/>
    <x v="267"/>
    <x v="2"/>
    <x v="16"/>
    <x v="268"/>
    <x v="275"/>
    <x v="3"/>
    <x v="2"/>
    <x v="281"/>
  </r>
  <r>
    <x v="290"/>
    <x v="0"/>
    <x v="243"/>
    <x v="254"/>
    <x v="1"/>
    <x v="290"/>
    <x v="290"/>
    <x v="0"/>
    <x v="0"/>
    <x v="137"/>
    <x v="11"/>
    <x v="172"/>
    <x v="2"/>
    <x v="268"/>
    <x v="1"/>
    <x v="7"/>
    <x v="269"/>
    <x v="276"/>
    <x v="0"/>
    <x v="0"/>
    <x v="282"/>
  </r>
  <r>
    <x v="291"/>
    <x v="0"/>
    <x v="244"/>
    <x v="255"/>
    <x v="1"/>
    <x v="291"/>
    <x v="291"/>
    <x v="1"/>
    <x v="0"/>
    <x v="20"/>
    <x v="15"/>
    <x v="29"/>
    <x v="3"/>
    <x v="222"/>
    <x v="1"/>
    <x v="5"/>
    <x v="223"/>
    <x v="277"/>
    <x v="3"/>
    <x v="2"/>
    <x v="283"/>
  </r>
  <r>
    <x v="292"/>
    <x v="0"/>
    <x v="62"/>
    <x v="256"/>
    <x v="1"/>
    <x v="292"/>
    <x v="292"/>
    <x v="1"/>
    <x v="0"/>
    <x v="112"/>
    <x v="6"/>
    <x v="140"/>
    <x v="2"/>
    <x v="269"/>
    <x v="1"/>
    <x v="4"/>
    <x v="270"/>
    <x v="278"/>
    <x v="6"/>
    <x v="0"/>
    <x v="284"/>
  </r>
  <r>
    <x v="293"/>
    <x v="0"/>
    <x v="245"/>
    <x v="91"/>
    <x v="1"/>
    <x v="293"/>
    <x v="293"/>
    <x v="0"/>
    <x v="0"/>
    <x v="36"/>
    <x v="23"/>
    <x v="44"/>
    <x v="3"/>
    <x v="270"/>
    <x v="2"/>
    <x v="10"/>
    <x v="271"/>
    <x v="279"/>
    <x v="3"/>
    <x v="7"/>
    <x v="285"/>
  </r>
  <r>
    <x v="294"/>
    <x v="0"/>
    <x v="246"/>
    <x v="257"/>
    <x v="0"/>
    <x v="294"/>
    <x v="294"/>
    <x v="1"/>
    <x v="0"/>
    <x v="138"/>
    <x v="27"/>
    <x v="173"/>
    <x v="0"/>
    <x v="72"/>
    <x v="1"/>
    <x v="11"/>
    <x v="73"/>
    <x v="280"/>
    <x v="0"/>
    <x v="0"/>
    <x v="286"/>
  </r>
  <r>
    <x v="295"/>
    <x v="0"/>
    <x v="247"/>
    <x v="258"/>
    <x v="1"/>
    <x v="295"/>
    <x v="295"/>
    <x v="1"/>
    <x v="0"/>
    <x v="79"/>
    <x v="2"/>
    <x v="97"/>
    <x v="0"/>
    <x v="271"/>
    <x v="0"/>
    <x v="3"/>
    <x v="272"/>
    <x v="281"/>
    <x v="0"/>
    <x v="2"/>
    <x v="287"/>
  </r>
  <r>
    <x v="296"/>
    <x v="0"/>
    <x v="248"/>
    <x v="57"/>
    <x v="1"/>
    <x v="296"/>
    <x v="296"/>
    <x v="1"/>
    <x v="0"/>
    <x v="90"/>
    <x v="22"/>
    <x v="174"/>
    <x v="2"/>
    <x v="272"/>
    <x v="1"/>
    <x v="5"/>
    <x v="273"/>
    <x v="282"/>
    <x v="0"/>
    <x v="0"/>
    <x v="288"/>
  </r>
  <r>
    <x v="297"/>
    <x v="0"/>
    <x v="249"/>
    <x v="259"/>
    <x v="1"/>
    <x v="297"/>
    <x v="297"/>
    <x v="0"/>
    <x v="0"/>
    <x v="71"/>
    <x v="23"/>
    <x v="88"/>
    <x v="3"/>
    <x v="273"/>
    <x v="1"/>
    <x v="8"/>
    <x v="274"/>
    <x v="283"/>
    <x v="2"/>
    <x v="2"/>
    <x v="289"/>
  </r>
  <r>
    <x v="298"/>
    <x v="1"/>
    <x v="250"/>
    <x v="260"/>
    <x v="0"/>
    <x v="298"/>
    <x v="298"/>
    <x v="0"/>
    <x v="0"/>
    <x v="36"/>
    <x v="23"/>
    <x v="44"/>
    <x v="3"/>
    <x v="274"/>
    <x v="1"/>
    <x v="5"/>
    <x v="275"/>
    <x v="284"/>
    <x v="1"/>
    <x v="6"/>
    <x v="290"/>
  </r>
  <r>
    <x v="299"/>
    <x v="0"/>
    <x v="251"/>
    <x v="261"/>
    <x v="1"/>
    <x v="299"/>
    <x v="299"/>
    <x v="0"/>
    <x v="0"/>
    <x v="139"/>
    <x v="1"/>
    <x v="175"/>
    <x v="1"/>
    <x v="275"/>
    <x v="0"/>
    <x v="9"/>
    <x v="276"/>
    <x v="285"/>
    <x v="0"/>
    <x v="2"/>
    <x v="291"/>
  </r>
  <r>
    <x v="300"/>
    <x v="0"/>
    <x v="252"/>
    <x v="262"/>
    <x v="3"/>
    <x v="300"/>
    <x v="300"/>
    <x v="0"/>
    <x v="0"/>
    <x v="140"/>
    <x v="3"/>
    <x v="176"/>
    <x v="0"/>
    <x v="276"/>
    <x v="2"/>
    <x v="10"/>
    <x v="277"/>
    <x v="286"/>
    <x v="1"/>
    <x v="2"/>
    <x v="292"/>
  </r>
  <r>
    <x v="301"/>
    <x v="0"/>
    <x v="56"/>
    <x v="263"/>
    <x v="1"/>
    <x v="301"/>
    <x v="301"/>
    <x v="0"/>
    <x v="0"/>
    <x v="8"/>
    <x v="1"/>
    <x v="89"/>
    <x v="1"/>
    <x v="277"/>
    <x v="1"/>
    <x v="1"/>
    <x v="278"/>
    <x v="287"/>
    <x v="0"/>
    <x v="0"/>
    <x v="293"/>
  </r>
  <r>
    <x v="302"/>
    <x v="0"/>
    <x v="253"/>
    <x v="264"/>
    <x v="1"/>
    <x v="302"/>
    <x v="302"/>
    <x v="0"/>
    <x v="0"/>
    <x v="28"/>
    <x v="11"/>
    <x v="35"/>
    <x v="2"/>
    <x v="278"/>
    <x v="1"/>
    <x v="5"/>
    <x v="279"/>
    <x v="288"/>
    <x v="2"/>
    <x v="0"/>
    <x v="294"/>
  </r>
  <r>
    <x v="303"/>
    <x v="0"/>
    <x v="141"/>
    <x v="218"/>
    <x v="1"/>
    <x v="303"/>
    <x v="303"/>
    <x v="0"/>
    <x v="0"/>
    <x v="141"/>
    <x v="1"/>
    <x v="177"/>
    <x v="1"/>
    <x v="279"/>
    <x v="0"/>
    <x v="9"/>
    <x v="280"/>
    <x v="289"/>
    <x v="1"/>
    <x v="2"/>
    <x v="295"/>
  </r>
  <r>
    <x v="304"/>
    <x v="0"/>
    <x v="254"/>
    <x v="265"/>
    <x v="2"/>
    <x v="304"/>
    <x v="304"/>
    <x v="1"/>
    <x v="0"/>
    <x v="68"/>
    <x v="1"/>
    <x v="178"/>
    <x v="1"/>
    <x v="280"/>
    <x v="0"/>
    <x v="3"/>
    <x v="281"/>
    <x v="290"/>
    <x v="8"/>
    <x v="0"/>
    <x v="296"/>
  </r>
  <r>
    <x v="305"/>
    <x v="0"/>
    <x v="255"/>
    <x v="266"/>
    <x v="1"/>
    <x v="305"/>
    <x v="305"/>
    <x v="1"/>
    <x v="0"/>
    <x v="51"/>
    <x v="27"/>
    <x v="65"/>
    <x v="0"/>
    <x v="281"/>
    <x v="1"/>
    <x v="4"/>
    <x v="282"/>
    <x v="41"/>
    <x v="0"/>
    <x v="0"/>
    <x v="41"/>
  </r>
  <r>
    <x v="306"/>
    <x v="0"/>
    <x v="256"/>
    <x v="267"/>
    <x v="2"/>
    <x v="306"/>
    <x v="306"/>
    <x v="0"/>
    <x v="0"/>
    <x v="8"/>
    <x v="1"/>
    <x v="32"/>
    <x v="1"/>
    <x v="282"/>
    <x v="0"/>
    <x v="3"/>
    <x v="283"/>
    <x v="282"/>
    <x v="0"/>
    <x v="0"/>
    <x v="297"/>
  </r>
  <r>
    <x v="307"/>
    <x v="0"/>
    <x v="257"/>
    <x v="268"/>
    <x v="3"/>
    <x v="307"/>
    <x v="307"/>
    <x v="0"/>
    <x v="0"/>
    <x v="142"/>
    <x v="1"/>
    <x v="179"/>
    <x v="1"/>
    <x v="282"/>
    <x v="0"/>
    <x v="3"/>
    <x v="283"/>
    <x v="282"/>
    <x v="0"/>
    <x v="0"/>
    <x v="297"/>
  </r>
  <r>
    <x v="308"/>
    <x v="0"/>
    <x v="258"/>
    <x v="269"/>
    <x v="2"/>
    <x v="308"/>
    <x v="308"/>
    <x v="1"/>
    <x v="0"/>
    <x v="143"/>
    <x v="6"/>
    <x v="180"/>
    <x v="2"/>
    <x v="283"/>
    <x v="1"/>
    <x v="4"/>
    <x v="284"/>
    <x v="291"/>
    <x v="7"/>
    <x v="0"/>
    <x v="298"/>
  </r>
  <r>
    <x v="309"/>
    <x v="0"/>
    <x v="259"/>
    <x v="270"/>
    <x v="1"/>
    <x v="309"/>
    <x v="309"/>
    <x v="0"/>
    <x v="0"/>
    <x v="144"/>
    <x v="29"/>
    <x v="181"/>
    <x v="3"/>
    <x v="284"/>
    <x v="2"/>
    <x v="12"/>
    <x v="285"/>
    <x v="292"/>
    <x v="3"/>
    <x v="0"/>
    <x v="299"/>
  </r>
  <r>
    <x v="310"/>
    <x v="1"/>
    <x v="260"/>
    <x v="8"/>
    <x v="1"/>
    <x v="310"/>
    <x v="310"/>
    <x v="0"/>
    <x v="0"/>
    <x v="8"/>
    <x v="1"/>
    <x v="89"/>
    <x v="1"/>
    <x v="285"/>
    <x v="2"/>
    <x v="12"/>
    <x v="286"/>
    <x v="293"/>
    <x v="6"/>
    <x v="0"/>
    <x v="300"/>
  </r>
  <r>
    <x v="311"/>
    <x v="1"/>
    <x v="224"/>
    <x v="42"/>
    <x v="1"/>
    <x v="311"/>
    <x v="311"/>
    <x v="2"/>
    <x v="0"/>
    <x v="65"/>
    <x v="18"/>
    <x v="81"/>
    <x v="0"/>
    <x v="286"/>
    <x v="1"/>
    <x v="4"/>
    <x v="287"/>
    <x v="294"/>
    <x v="0"/>
    <x v="2"/>
    <x v="301"/>
  </r>
  <r>
    <x v="312"/>
    <x v="0"/>
    <x v="261"/>
    <x v="271"/>
    <x v="1"/>
    <x v="312"/>
    <x v="312"/>
    <x v="1"/>
    <x v="0"/>
    <x v="20"/>
    <x v="15"/>
    <x v="42"/>
    <x v="3"/>
    <x v="287"/>
    <x v="1"/>
    <x v="8"/>
    <x v="288"/>
    <x v="295"/>
    <x v="3"/>
    <x v="0"/>
    <x v="302"/>
  </r>
  <r>
    <x v="313"/>
    <x v="0"/>
    <x v="74"/>
    <x v="272"/>
    <x v="2"/>
    <x v="313"/>
    <x v="313"/>
    <x v="1"/>
    <x v="0"/>
    <x v="1"/>
    <x v="1"/>
    <x v="1"/>
    <x v="1"/>
    <x v="288"/>
    <x v="1"/>
    <x v="5"/>
    <x v="289"/>
    <x v="296"/>
    <x v="6"/>
    <x v="2"/>
    <x v="303"/>
  </r>
  <r>
    <x v="314"/>
    <x v="0"/>
    <x v="262"/>
    <x v="273"/>
    <x v="1"/>
    <x v="314"/>
    <x v="314"/>
    <x v="0"/>
    <x v="0"/>
    <x v="145"/>
    <x v="0"/>
    <x v="182"/>
    <x v="0"/>
    <x v="289"/>
    <x v="2"/>
    <x v="10"/>
    <x v="290"/>
    <x v="297"/>
    <x v="2"/>
    <x v="0"/>
    <x v="304"/>
  </r>
  <r>
    <x v="315"/>
    <x v="0"/>
    <x v="263"/>
    <x v="274"/>
    <x v="1"/>
    <x v="315"/>
    <x v="315"/>
    <x v="0"/>
    <x v="0"/>
    <x v="146"/>
    <x v="23"/>
    <x v="183"/>
    <x v="3"/>
    <x v="290"/>
    <x v="0"/>
    <x v="3"/>
    <x v="291"/>
    <x v="298"/>
    <x v="6"/>
    <x v="2"/>
    <x v="305"/>
  </r>
  <r>
    <x v="316"/>
    <x v="0"/>
    <x v="264"/>
    <x v="275"/>
    <x v="1"/>
    <x v="316"/>
    <x v="316"/>
    <x v="1"/>
    <x v="0"/>
    <x v="147"/>
    <x v="29"/>
    <x v="184"/>
    <x v="3"/>
    <x v="291"/>
    <x v="2"/>
    <x v="12"/>
    <x v="292"/>
    <x v="299"/>
    <x v="2"/>
    <x v="0"/>
    <x v="306"/>
  </r>
  <r>
    <x v="317"/>
    <x v="0"/>
    <x v="23"/>
    <x v="22"/>
    <x v="0"/>
    <x v="317"/>
    <x v="317"/>
    <x v="1"/>
    <x v="0"/>
    <x v="148"/>
    <x v="1"/>
    <x v="185"/>
    <x v="1"/>
    <x v="292"/>
    <x v="1"/>
    <x v="8"/>
    <x v="293"/>
    <x v="300"/>
    <x v="0"/>
    <x v="0"/>
    <x v="307"/>
  </r>
  <r>
    <x v="318"/>
    <x v="0"/>
    <x v="89"/>
    <x v="276"/>
    <x v="1"/>
    <x v="318"/>
    <x v="318"/>
    <x v="0"/>
    <x v="0"/>
    <x v="20"/>
    <x v="15"/>
    <x v="42"/>
    <x v="3"/>
    <x v="293"/>
    <x v="1"/>
    <x v="4"/>
    <x v="294"/>
    <x v="301"/>
    <x v="0"/>
    <x v="0"/>
    <x v="308"/>
  </r>
  <r>
    <x v="319"/>
    <x v="0"/>
    <x v="265"/>
    <x v="277"/>
    <x v="1"/>
    <x v="319"/>
    <x v="319"/>
    <x v="2"/>
    <x v="0"/>
    <x v="149"/>
    <x v="29"/>
    <x v="186"/>
    <x v="3"/>
    <x v="104"/>
    <x v="1"/>
    <x v="4"/>
    <x v="105"/>
    <x v="108"/>
    <x v="8"/>
    <x v="0"/>
    <x v="109"/>
  </r>
  <r>
    <x v="320"/>
    <x v="0"/>
    <x v="3"/>
    <x v="278"/>
    <x v="1"/>
    <x v="320"/>
    <x v="320"/>
    <x v="0"/>
    <x v="0"/>
    <x v="8"/>
    <x v="1"/>
    <x v="32"/>
    <x v="1"/>
    <x v="294"/>
    <x v="1"/>
    <x v="15"/>
    <x v="295"/>
    <x v="302"/>
    <x v="0"/>
    <x v="0"/>
    <x v="309"/>
  </r>
  <r>
    <x v="321"/>
    <x v="0"/>
    <x v="266"/>
    <x v="257"/>
    <x v="1"/>
    <x v="321"/>
    <x v="321"/>
    <x v="1"/>
    <x v="0"/>
    <x v="24"/>
    <x v="17"/>
    <x v="28"/>
    <x v="0"/>
    <x v="295"/>
    <x v="1"/>
    <x v="1"/>
    <x v="296"/>
    <x v="303"/>
    <x v="8"/>
    <x v="0"/>
    <x v="310"/>
  </r>
  <r>
    <x v="322"/>
    <x v="0"/>
    <x v="267"/>
    <x v="279"/>
    <x v="2"/>
    <x v="322"/>
    <x v="322"/>
    <x v="1"/>
    <x v="0"/>
    <x v="10"/>
    <x v="9"/>
    <x v="11"/>
    <x v="3"/>
    <x v="296"/>
    <x v="1"/>
    <x v="1"/>
    <x v="297"/>
    <x v="304"/>
    <x v="6"/>
    <x v="2"/>
    <x v="311"/>
  </r>
  <r>
    <x v="323"/>
    <x v="0"/>
    <x v="268"/>
    <x v="280"/>
    <x v="1"/>
    <x v="323"/>
    <x v="323"/>
    <x v="1"/>
    <x v="0"/>
    <x v="139"/>
    <x v="9"/>
    <x v="187"/>
    <x v="3"/>
    <x v="297"/>
    <x v="1"/>
    <x v="5"/>
    <x v="298"/>
    <x v="305"/>
    <x v="4"/>
    <x v="6"/>
    <x v="312"/>
  </r>
  <r>
    <x v="324"/>
    <x v="0"/>
    <x v="269"/>
    <x v="281"/>
    <x v="2"/>
    <x v="324"/>
    <x v="324"/>
    <x v="2"/>
    <x v="0"/>
    <x v="10"/>
    <x v="9"/>
    <x v="98"/>
    <x v="3"/>
    <x v="298"/>
    <x v="1"/>
    <x v="5"/>
    <x v="299"/>
    <x v="306"/>
    <x v="1"/>
    <x v="6"/>
    <x v="313"/>
  </r>
  <r>
    <x v="325"/>
    <x v="0"/>
    <x v="270"/>
    <x v="282"/>
    <x v="1"/>
    <x v="325"/>
    <x v="325"/>
    <x v="0"/>
    <x v="0"/>
    <x v="20"/>
    <x v="15"/>
    <x v="29"/>
    <x v="3"/>
    <x v="299"/>
    <x v="1"/>
    <x v="4"/>
    <x v="300"/>
    <x v="280"/>
    <x v="0"/>
    <x v="0"/>
    <x v="314"/>
  </r>
  <r>
    <x v="326"/>
    <x v="1"/>
    <x v="271"/>
    <x v="105"/>
    <x v="1"/>
    <x v="326"/>
    <x v="326"/>
    <x v="2"/>
    <x v="0"/>
    <x v="10"/>
    <x v="9"/>
    <x v="71"/>
    <x v="3"/>
    <x v="300"/>
    <x v="1"/>
    <x v="5"/>
    <x v="301"/>
    <x v="307"/>
    <x v="6"/>
    <x v="6"/>
    <x v="315"/>
  </r>
  <r>
    <x v="327"/>
    <x v="0"/>
    <x v="272"/>
    <x v="283"/>
    <x v="2"/>
    <x v="327"/>
    <x v="327"/>
    <x v="2"/>
    <x v="0"/>
    <x v="64"/>
    <x v="12"/>
    <x v="80"/>
    <x v="2"/>
    <x v="233"/>
    <x v="0"/>
    <x v="3"/>
    <x v="234"/>
    <x v="308"/>
    <x v="1"/>
    <x v="0"/>
    <x v="316"/>
  </r>
  <r>
    <x v="328"/>
    <x v="0"/>
    <x v="273"/>
    <x v="284"/>
    <x v="1"/>
    <x v="328"/>
    <x v="328"/>
    <x v="0"/>
    <x v="0"/>
    <x v="28"/>
    <x v="15"/>
    <x v="130"/>
    <x v="3"/>
    <x v="301"/>
    <x v="0"/>
    <x v="3"/>
    <x v="302"/>
    <x v="309"/>
    <x v="0"/>
    <x v="0"/>
    <x v="317"/>
  </r>
  <r>
    <x v="329"/>
    <x v="0"/>
    <x v="274"/>
    <x v="285"/>
    <x v="0"/>
    <x v="329"/>
    <x v="329"/>
    <x v="1"/>
    <x v="0"/>
    <x v="1"/>
    <x v="1"/>
    <x v="59"/>
    <x v="1"/>
    <x v="302"/>
    <x v="1"/>
    <x v="5"/>
    <x v="303"/>
    <x v="310"/>
    <x v="3"/>
    <x v="2"/>
    <x v="318"/>
  </r>
  <r>
    <x v="330"/>
    <x v="0"/>
    <x v="275"/>
    <x v="148"/>
    <x v="1"/>
    <x v="330"/>
    <x v="330"/>
    <x v="2"/>
    <x v="0"/>
    <x v="65"/>
    <x v="36"/>
    <x v="188"/>
    <x v="3"/>
    <x v="303"/>
    <x v="1"/>
    <x v="5"/>
    <x v="304"/>
    <x v="311"/>
    <x v="2"/>
    <x v="0"/>
    <x v="319"/>
  </r>
  <r>
    <x v="331"/>
    <x v="0"/>
    <x v="276"/>
    <x v="286"/>
    <x v="2"/>
    <x v="331"/>
    <x v="331"/>
    <x v="1"/>
    <x v="0"/>
    <x v="8"/>
    <x v="1"/>
    <x v="32"/>
    <x v="1"/>
    <x v="304"/>
    <x v="1"/>
    <x v="7"/>
    <x v="305"/>
    <x v="312"/>
    <x v="2"/>
    <x v="0"/>
    <x v="320"/>
  </r>
  <r>
    <x v="332"/>
    <x v="0"/>
    <x v="277"/>
    <x v="287"/>
    <x v="0"/>
    <x v="332"/>
    <x v="332"/>
    <x v="0"/>
    <x v="0"/>
    <x v="12"/>
    <x v="5"/>
    <x v="14"/>
    <x v="2"/>
    <x v="305"/>
    <x v="1"/>
    <x v="11"/>
    <x v="73"/>
    <x v="313"/>
    <x v="0"/>
    <x v="2"/>
    <x v="321"/>
  </r>
  <r>
    <x v="333"/>
    <x v="0"/>
    <x v="278"/>
    <x v="288"/>
    <x v="1"/>
    <x v="333"/>
    <x v="333"/>
    <x v="0"/>
    <x v="0"/>
    <x v="64"/>
    <x v="12"/>
    <x v="80"/>
    <x v="2"/>
    <x v="181"/>
    <x v="1"/>
    <x v="1"/>
    <x v="182"/>
    <x v="314"/>
    <x v="2"/>
    <x v="0"/>
    <x v="322"/>
  </r>
  <r>
    <x v="334"/>
    <x v="0"/>
    <x v="279"/>
    <x v="289"/>
    <x v="0"/>
    <x v="334"/>
    <x v="334"/>
    <x v="1"/>
    <x v="0"/>
    <x v="101"/>
    <x v="15"/>
    <x v="124"/>
    <x v="3"/>
    <x v="306"/>
    <x v="1"/>
    <x v="4"/>
    <x v="306"/>
    <x v="315"/>
    <x v="7"/>
    <x v="0"/>
    <x v="323"/>
  </r>
  <r>
    <x v="335"/>
    <x v="1"/>
    <x v="280"/>
    <x v="290"/>
    <x v="2"/>
    <x v="335"/>
    <x v="335"/>
    <x v="1"/>
    <x v="0"/>
    <x v="24"/>
    <x v="23"/>
    <x v="141"/>
    <x v="3"/>
    <x v="307"/>
    <x v="1"/>
    <x v="5"/>
    <x v="307"/>
    <x v="316"/>
    <x v="0"/>
    <x v="6"/>
    <x v="324"/>
  </r>
  <r>
    <x v="336"/>
    <x v="0"/>
    <x v="281"/>
    <x v="241"/>
    <x v="1"/>
    <x v="336"/>
    <x v="336"/>
    <x v="2"/>
    <x v="0"/>
    <x v="97"/>
    <x v="12"/>
    <x v="189"/>
    <x v="2"/>
    <x v="308"/>
    <x v="2"/>
    <x v="10"/>
    <x v="308"/>
    <x v="317"/>
    <x v="6"/>
    <x v="0"/>
    <x v="325"/>
  </r>
  <r>
    <x v="337"/>
    <x v="0"/>
    <x v="67"/>
    <x v="291"/>
    <x v="1"/>
    <x v="337"/>
    <x v="337"/>
    <x v="2"/>
    <x v="0"/>
    <x v="150"/>
    <x v="28"/>
    <x v="190"/>
    <x v="3"/>
    <x v="237"/>
    <x v="0"/>
    <x v="3"/>
    <x v="238"/>
    <x v="195"/>
    <x v="4"/>
    <x v="0"/>
    <x v="326"/>
  </r>
  <r>
    <x v="338"/>
    <x v="0"/>
    <x v="282"/>
    <x v="292"/>
    <x v="1"/>
    <x v="338"/>
    <x v="338"/>
    <x v="1"/>
    <x v="0"/>
    <x v="59"/>
    <x v="5"/>
    <x v="74"/>
    <x v="2"/>
    <x v="309"/>
    <x v="1"/>
    <x v="11"/>
    <x v="309"/>
    <x v="318"/>
    <x v="3"/>
    <x v="2"/>
    <x v="327"/>
  </r>
  <r>
    <x v="339"/>
    <x v="0"/>
    <x v="283"/>
    <x v="293"/>
    <x v="1"/>
    <x v="339"/>
    <x v="339"/>
    <x v="0"/>
    <x v="0"/>
    <x v="20"/>
    <x v="15"/>
    <x v="29"/>
    <x v="3"/>
    <x v="310"/>
    <x v="2"/>
    <x v="12"/>
    <x v="310"/>
    <x v="319"/>
    <x v="3"/>
    <x v="0"/>
    <x v="328"/>
  </r>
  <r>
    <x v="340"/>
    <x v="0"/>
    <x v="284"/>
    <x v="294"/>
    <x v="1"/>
    <x v="340"/>
    <x v="340"/>
    <x v="1"/>
    <x v="0"/>
    <x v="20"/>
    <x v="15"/>
    <x v="151"/>
    <x v="3"/>
    <x v="54"/>
    <x v="1"/>
    <x v="5"/>
    <x v="54"/>
    <x v="320"/>
    <x v="0"/>
    <x v="2"/>
    <x v="329"/>
  </r>
  <r>
    <x v="341"/>
    <x v="0"/>
    <x v="99"/>
    <x v="295"/>
    <x v="2"/>
    <x v="341"/>
    <x v="341"/>
    <x v="0"/>
    <x v="0"/>
    <x v="10"/>
    <x v="9"/>
    <x v="98"/>
    <x v="3"/>
    <x v="311"/>
    <x v="1"/>
    <x v="4"/>
    <x v="311"/>
    <x v="4"/>
    <x v="3"/>
    <x v="2"/>
    <x v="4"/>
  </r>
  <r>
    <x v="342"/>
    <x v="0"/>
    <x v="285"/>
    <x v="220"/>
    <x v="1"/>
    <x v="342"/>
    <x v="342"/>
    <x v="2"/>
    <x v="0"/>
    <x v="24"/>
    <x v="17"/>
    <x v="28"/>
    <x v="0"/>
    <x v="312"/>
    <x v="1"/>
    <x v="8"/>
    <x v="312"/>
    <x v="321"/>
    <x v="6"/>
    <x v="0"/>
    <x v="330"/>
  </r>
  <r>
    <x v="343"/>
    <x v="0"/>
    <x v="281"/>
    <x v="296"/>
    <x v="1"/>
    <x v="343"/>
    <x v="343"/>
    <x v="0"/>
    <x v="0"/>
    <x v="10"/>
    <x v="9"/>
    <x v="11"/>
    <x v="3"/>
    <x v="313"/>
    <x v="1"/>
    <x v="4"/>
    <x v="313"/>
    <x v="322"/>
    <x v="3"/>
    <x v="2"/>
    <x v="331"/>
  </r>
  <r>
    <x v="344"/>
    <x v="0"/>
    <x v="23"/>
    <x v="297"/>
    <x v="1"/>
    <x v="344"/>
    <x v="344"/>
    <x v="2"/>
    <x v="0"/>
    <x v="10"/>
    <x v="9"/>
    <x v="71"/>
    <x v="3"/>
    <x v="314"/>
    <x v="1"/>
    <x v="4"/>
    <x v="314"/>
    <x v="323"/>
    <x v="7"/>
    <x v="2"/>
    <x v="332"/>
  </r>
  <r>
    <x v="345"/>
    <x v="0"/>
    <x v="286"/>
    <x v="298"/>
    <x v="1"/>
    <x v="345"/>
    <x v="345"/>
    <x v="1"/>
    <x v="0"/>
    <x v="151"/>
    <x v="1"/>
    <x v="191"/>
    <x v="1"/>
    <x v="315"/>
    <x v="1"/>
    <x v="4"/>
    <x v="315"/>
    <x v="41"/>
    <x v="0"/>
    <x v="0"/>
    <x v="41"/>
  </r>
  <r>
    <x v="346"/>
    <x v="0"/>
    <x v="287"/>
    <x v="299"/>
    <x v="2"/>
    <x v="346"/>
    <x v="346"/>
    <x v="1"/>
    <x v="0"/>
    <x v="8"/>
    <x v="1"/>
    <x v="89"/>
    <x v="1"/>
    <x v="316"/>
    <x v="1"/>
    <x v="4"/>
    <x v="316"/>
    <x v="324"/>
    <x v="0"/>
    <x v="0"/>
    <x v="333"/>
  </r>
  <r>
    <x v="347"/>
    <x v="0"/>
    <x v="288"/>
    <x v="300"/>
    <x v="1"/>
    <x v="347"/>
    <x v="347"/>
    <x v="0"/>
    <x v="0"/>
    <x v="10"/>
    <x v="9"/>
    <x v="98"/>
    <x v="3"/>
    <x v="317"/>
    <x v="0"/>
    <x v="3"/>
    <x v="317"/>
    <x v="325"/>
    <x v="6"/>
    <x v="2"/>
    <x v="334"/>
  </r>
  <r>
    <x v="348"/>
    <x v="0"/>
    <x v="110"/>
    <x v="301"/>
    <x v="1"/>
    <x v="348"/>
    <x v="348"/>
    <x v="0"/>
    <x v="0"/>
    <x v="152"/>
    <x v="5"/>
    <x v="192"/>
    <x v="2"/>
    <x v="318"/>
    <x v="1"/>
    <x v="8"/>
    <x v="318"/>
    <x v="326"/>
    <x v="0"/>
    <x v="2"/>
    <x v="335"/>
  </r>
  <r>
    <x v="349"/>
    <x v="0"/>
    <x v="289"/>
    <x v="302"/>
    <x v="1"/>
    <x v="349"/>
    <x v="349"/>
    <x v="0"/>
    <x v="0"/>
    <x v="97"/>
    <x v="34"/>
    <x v="118"/>
    <x v="0"/>
    <x v="25"/>
    <x v="1"/>
    <x v="7"/>
    <x v="25"/>
    <x v="327"/>
    <x v="1"/>
    <x v="0"/>
    <x v="336"/>
  </r>
  <r>
    <x v="350"/>
    <x v="0"/>
    <x v="290"/>
    <x v="303"/>
    <x v="0"/>
    <x v="350"/>
    <x v="350"/>
    <x v="0"/>
    <x v="0"/>
    <x v="40"/>
    <x v="16"/>
    <x v="48"/>
    <x v="1"/>
    <x v="319"/>
    <x v="2"/>
    <x v="10"/>
    <x v="319"/>
    <x v="328"/>
    <x v="8"/>
    <x v="2"/>
    <x v="337"/>
  </r>
  <r>
    <x v="351"/>
    <x v="0"/>
    <x v="291"/>
    <x v="203"/>
    <x v="3"/>
    <x v="351"/>
    <x v="351"/>
    <x v="0"/>
    <x v="0"/>
    <x v="134"/>
    <x v="1"/>
    <x v="193"/>
    <x v="1"/>
    <x v="320"/>
    <x v="0"/>
    <x v="3"/>
    <x v="320"/>
    <x v="329"/>
    <x v="0"/>
    <x v="0"/>
    <x v="338"/>
  </r>
  <r>
    <x v="352"/>
    <x v="0"/>
    <x v="209"/>
    <x v="304"/>
    <x v="1"/>
    <x v="352"/>
    <x v="352"/>
    <x v="1"/>
    <x v="0"/>
    <x v="8"/>
    <x v="1"/>
    <x v="89"/>
    <x v="1"/>
    <x v="103"/>
    <x v="0"/>
    <x v="9"/>
    <x v="104"/>
    <x v="107"/>
    <x v="0"/>
    <x v="2"/>
    <x v="108"/>
  </r>
  <r>
    <x v="353"/>
    <x v="0"/>
    <x v="141"/>
    <x v="305"/>
    <x v="1"/>
    <x v="353"/>
    <x v="353"/>
    <x v="2"/>
    <x v="0"/>
    <x v="105"/>
    <x v="35"/>
    <x v="131"/>
    <x v="0"/>
    <x v="321"/>
    <x v="1"/>
    <x v="5"/>
    <x v="321"/>
    <x v="330"/>
    <x v="0"/>
    <x v="0"/>
    <x v="339"/>
  </r>
  <r>
    <x v="354"/>
    <x v="0"/>
    <x v="292"/>
    <x v="306"/>
    <x v="2"/>
    <x v="354"/>
    <x v="354"/>
    <x v="2"/>
    <x v="0"/>
    <x v="20"/>
    <x v="15"/>
    <x v="151"/>
    <x v="3"/>
    <x v="322"/>
    <x v="1"/>
    <x v="1"/>
    <x v="322"/>
    <x v="331"/>
    <x v="0"/>
    <x v="0"/>
    <x v="340"/>
  </r>
  <r>
    <x v="355"/>
    <x v="0"/>
    <x v="176"/>
    <x v="307"/>
    <x v="2"/>
    <x v="355"/>
    <x v="355"/>
    <x v="0"/>
    <x v="0"/>
    <x v="38"/>
    <x v="3"/>
    <x v="142"/>
    <x v="0"/>
    <x v="222"/>
    <x v="1"/>
    <x v="5"/>
    <x v="223"/>
    <x v="227"/>
    <x v="0"/>
    <x v="6"/>
    <x v="232"/>
  </r>
  <r>
    <x v="356"/>
    <x v="0"/>
    <x v="7"/>
    <x v="308"/>
    <x v="0"/>
    <x v="356"/>
    <x v="356"/>
    <x v="0"/>
    <x v="0"/>
    <x v="145"/>
    <x v="21"/>
    <x v="194"/>
    <x v="1"/>
    <x v="323"/>
    <x v="1"/>
    <x v="8"/>
    <x v="323"/>
    <x v="332"/>
    <x v="8"/>
    <x v="2"/>
    <x v="341"/>
  </r>
  <r>
    <x v="357"/>
    <x v="0"/>
    <x v="293"/>
    <x v="309"/>
    <x v="1"/>
    <x v="357"/>
    <x v="357"/>
    <x v="2"/>
    <x v="0"/>
    <x v="43"/>
    <x v="5"/>
    <x v="85"/>
    <x v="2"/>
    <x v="277"/>
    <x v="1"/>
    <x v="1"/>
    <x v="278"/>
    <x v="333"/>
    <x v="0"/>
    <x v="2"/>
    <x v="342"/>
  </r>
  <r>
    <x v="358"/>
    <x v="0"/>
    <x v="294"/>
    <x v="310"/>
    <x v="3"/>
    <x v="358"/>
    <x v="358"/>
    <x v="0"/>
    <x v="0"/>
    <x v="12"/>
    <x v="5"/>
    <x v="16"/>
    <x v="2"/>
    <x v="324"/>
    <x v="1"/>
    <x v="5"/>
    <x v="324"/>
    <x v="334"/>
    <x v="0"/>
    <x v="3"/>
    <x v="343"/>
  </r>
  <r>
    <x v="359"/>
    <x v="0"/>
    <x v="295"/>
    <x v="311"/>
    <x v="0"/>
    <x v="359"/>
    <x v="359"/>
    <x v="2"/>
    <x v="0"/>
    <x v="100"/>
    <x v="2"/>
    <x v="121"/>
    <x v="0"/>
    <x v="325"/>
    <x v="0"/>
    <x v="9"/>
    <x v="325"/>
    <x v="335"/>
    <x v="1"/>
    <x v="2"/>
    <x v="344"/>
  </r>
  <r>
    <x v="360"/>
    <x v="0"/>
    <x v="296"/>
    <x v="312"/>
    <x v="1"/>
    <x v="360"/>
    <x v="360"/>
    <x v="1"/>
    <x v="0"/>
    <x v="153"/>
    <x v="17"/>
    <x v="195"/>
    <x v="0"/>
    <x v="326"/>
    <x v="1"/>
    <x v="5"/>
    <x v="326"/>
    <x v="336"/>
    <x v="2"/>
    <x v="0"/>
    <x v="345"/>
  </r>
  <r>
    <x v="361"/>
    <x v="0"/>
    <x v="297"/>
    <x v="313"/>
    <x v="1"/>
    <x v="361"/>
    <x v="361"/>
    <x v="0"/>
    <x v="0"/>
    <x v="0"/>
    <x v="0"/>
    <x v="0"/>
    <x v="0"/>
    <x v="327"/>
    <x v="1"/>
    <x v="11"/>
    <x v="327"/>
    <x v="337"/>
    <x v="8"/>
    <x v="0"/>
    <x v="346"/>
  </r>
  <r>
    <x v="362"/>
    <x v="0"/>
    <x v="298"/>
    <x v="314"/>
    <x v="1"/>
    <x v="362"/>
    <x v="362"/>
    <x v="0"/>
    <x v="0"/>
    <x v="154"/>
    <x v="1"/>
    <x v="196"/>
    <x v="1"/>
    <x v="328"/>
    <x v="1"/>
    <x v="7"/>
    <x v="328"/>
    <x v="338"/>
    <x v="3"/>
    <x v="0"/>
    <x v="347"/>
  </r>
  <r>
    <x v="363"/>
    <x v="0"/>
    <x v="299"/>
    <x v="187"/>
    <x v="2"/>
    <x v="363"/>
    <x v="363"/>
    <x v="0"/>
    <x v="0"/>
    <x v="46"/>
    <x v="16"/>
    <x v="54"/>
    <x v="1"/>
    <x v="329"/>
    <x v="1"/>
    <x v="11"/>
    <x v="329"/>
    <x v="339"/>
    <x v="3"/>
    <x v="2"/>
    <x v="348"/>
  </r>
  <r>
    <x v="364"/>
    <x v="0"/>
    <x v="143"/>
    <x v="143"/>
    <x v="2"/>
    <x v="364"/>
    <x v="364"/>
    <x v="0"/>
    <x v="0"/>
    <x v="68"/>
    <x v="1"/>
    <x v="84"/>
    <x v="1"/>
    <x v="330"/>
    <x v="0"/>
    <x v="3"/>
    <x v="330"/>
    <x v="340"/>
    <x v="6"/>
    <x v="0"/>
    <x v="349"/>
  </r>
  <r>
    <x v="365"/>
    <x v="1"/>
    <x v="300"/>
    <x v="168"/>
    <x v="0"/>
    <x v="365"/>
    <x v="365"/>
    <x v="0"/>
    <x v="0"/>
    <x v="4"/>
    <x v="4"/>
    <x v="5"/>
    <x v="1"/>
    <x v="331"/>
    <x v="0"/>
    <x v="2"/>
    <x v="331"/>
    <x v="341"/>
    <x v="12"/>
    <x v="0"/>
    <x v="350"/>
  </r>
  <r>
    <x v="366"/>
    <x v="0"/>
    <x v="301"/>
    <x v="315"/>
    <x v="1"/>
    <x v="366"/>
    <x v="366"/>
    <x v="1"/>
    <x v="0"/>
    <x v="20"/>
    <x v="15"/>
    <x v="151"/>
    <x v="3"/>
    <x v="332"/>
    <x v="0"/>
    <x v="3"/>
    <x v="332"/>
    <x v="342"/>
    <x v="0"/>
    <x v="0"/>
    <x v="351"/>
  </r>
  <r>
    <x v="367"/>
    <x v="0"/>
    <x v="90"/>
    <x v="316"/>
    <x v="2"/>
    <x v="367"/>
    <x v="367"/>
    <x v="2"/>
    <x v="0"/>
    <x v="1"/>
    <x v="1"/>
    <x v="59"/>
    <x v="1"/>
    <x v="333"/>
    <x v="1"/>
    <x v="5"/>
    <x v="333"/>
    <x v="343"/>
    <x v="0"/>
    <x v="2"/>
    <x v="352"/>
  </r>
  <r>
    <x v="368"/>
    <x v="0"/>
    <x v="302"/>
    <x v="317"/>
    <x v="0"/>
    <x v="368"/>
    <x v="368"/>
    <x v="2"/>
    <x v="0"/>
    <x v="24"/>
    <x v="23"/>
    <x v="141"/>
    <x v="3"/>
    <x v="334"/>
    <x v="1"/>
    <x v="4"/>
    <x v="334"/>
    <x v="4"/>
    <x v="3"/>
    <x v="2"/>
    <x v="4"/>
  </r>
  <r>
    <x v="369"/>
    <x v="0"/>
    <x v="70"/>
    <x v="318"/>
    <x v="2"/>
    <x v="369"/>
    <x v="369"/>
    <x v="0"/>
    <x v="0"/>
    <x v="71"/>
    <x v="23"/>
    <x v="88"/>
    <x v="3"/>
    <x v="335"/>
    <x v="1"/>
    <x v="4"/>
    <x v="335"/>
    <x v="344"/>
    <x v="3"/>
    <x v="2"/>
    <x v="353"/>
  </r>
  <r>
    <x v="370"/>
    <x v="0"/>
    <x v="303"/>
    <x v="319"/>
    <x v="2"/>
    <x v="370"/>
    <x v="370"/>
    <x v="0"/>
    <x v="0"/>
    <x v="1"/>
    <x v="1"/>
    <x v="25"/>
    <x v="1"/>
    <x v="336"/>
    <x v="1"/>
    <x v="5"/>
    <x v="336"/>
    <x v="345"/>
    <x v="3"/>
    <x v="2"/>
    <x v="354"/>
  </r>
  <r>
    <x v="371"/>
    <x v="0"/>
    <x v="196"/>
    <x v="320"/>
    <x v="2"/>
    <x v="371"/>
    <x v="371"/>
    <x v="0"/>
    <x v="0"/>
    <x v="126"/>
    <x v="3"/>
    <x v="161"/>
    <x v="0"/>
    <x v="337"/>
    <x v="1"/>
    <x v="8"/>
    <x v="337"/>
    <x v="346"/>
    <x v="2"/>
    <x v="2"/>
    <x v="355"/>
  </r>
  <r>
    <x v="372"/>
    <x v="0"/>
    <x v="202"/>
    <x v="208"/>
    <x v="1"/>
    <x v="372"/>
    <x v="372"/>
    <x v="2"/>
    <x v="0"/>
    <x v="155"/>
    <x v="24"/>
    <x v="197"/>
    <x v="2"/>
    <x v="338"/>
    <x v="0"/>
    <x v="2"/>
    <x v="338"/>
    <x v="347"/>
    <x v="6"/>
    <x v="0"/>
    <x v="356"/>
  </r>
  <r>
    <x v="373"/>
    <x v="0"/>
    <x v="44"/>
    <x v="321"/>
    <x v="0"/>
    <x v="373"/>
    <x v="373"/>
    <x v="0"/>
    <x v="0"/>
    <x v="20"/>
    <x v="15"/>
    <x v="42"/>
    <x v="3"/>
    <x v="339"/>
    <x v="2"/>
    <x v="12"/>
    <x v="339"/>
    <x v="348"/>
    <x v="0"/>
    <x v="0"/>
    <x v="357"/>
  </r>
  <r>
    <x v="374"/>
    <x v="0"/>
    <x v="304"/>
    <x v="128"/>
    <x v="2"/>
    <x v="374"/>
    <x v="374"/>
    <x v="1"/>
    <x v="0"/>
    <x v="22"/>
    <x v="10"/>
    <x v="26"/>
    <x v="2"/>
    <x v="340"/>
    <x v="1"/>
    <x v="8"/>
    <x v="340"/>
    <x v="349"/>
    <x v="1"/>
    <x v="2"/>
    <x v="358"/>
  </r>
  <r>
    <x v="375"/>
    <x v="1"/>
    <x v="201"/>
    <x v="322"/>
    <x v="2"/>
    <x v="375"/>
    <x v="375"/>
    <x v="1"/>
    <x v="0"/>
    <x v="10"/>
    <x v="9"/>
    <x v="60"/>
    <x v="3"/>
    <x v="341"/>
    <x v="0"/>
    <x v="3"/>
    <x v="341"/>
    <x v="350"/>
    <x v="0"/>
    <x v="2"/>
    <x v="359"/>
  </r>
  <r>
    <x v="376"/>
    <x v="0"/>
    <x v="305"/>
    <x v="323"/>
    <x v="1"/>
    <x v="376"/>
    <x v="376"/>
    <x v="2"/>
    <x v="0"/>
    <x v="20"/>
    <x v="15"/>
    <x v="29"/>
    <x v="3"/>
    <x v="342"/>
    <x v="1"/>
    <x v="8"/>
    <x v="342"/>
    <x v="351"/>
    <x v="0"/>
    <x v="0"/>
    <x v="360"/>
  </r>
  <r>
    <x v="377"/>
    <x v="0"/>
    <x v="306"/>
    <x v="324"/>
    <x v="1"/>
    <x v="377"/>
    <x v="377"/>
    <x v="2"/>
    <x v="0"/>
    <x v="10"/>
    <x v="9"/>
    <x v="98"/>
    <x v="3"/>
    <x v="343"/>
    <x v="1"/>
    <x v="13"/>
    <x v="343"/>
    <x v="352"/>
    <x v="3"/>
    <x v="2"/>
    <x v="361"/>
  </r>
  <r>
    <x v="378"/>
    <x v="0"/>
    <x v="307"/>
    <x v="325"/>
    <x v="1"/>
    <x v="378"/>
    <x v="378"/>
    <x v="1"/>
    <x v="0"/>
    <x v="156"/>
    <x v="23"/>
    <x v="198"/>
    <x v="3"/>
    <x v="344"/>
    <x v="1"/>
    <x v="6"/>
    <x v="344"/>
    <x v="353"/>
    <x v="3"/>
    <x v="2"/>
    <x v="362"/>
  </r>
  <r>
    <x v="379"/>
    <x v="0"/>
    <x v="308"/>
    <x v="279"/>
    <x v="2"/>
    <x v="379"/>
    <x v="379"/>
    <x v="0"/>
    <x v="0"/>
    <x v="8"/>
    <x v="1"/>
    <x v="32"/>
    <x v="1"/>
    <x v="27"/>
    <x v="0"/>
    <x v="9"/>
    <x v="27"/>
    <x v="354"/>
    <x v="6"/>
    <x v="2"/>
    <x v="363"/>
  </r>
  <r>
    <x v="380"/>
    <x v="1"/>
    <x v="309"/>
    <x v="326"/>
    <x v="0"/>
    <x v="380"/>
    <x v="380"/>
    <x v="0"/>
    <x v="0"/>
    <x v="157"/>
    <x v="5"/>
    <x v="199"/>
    <x v="2"/>
    <x v="345"/>
    <x v="1"/>
    <x v="15"/>
    <x v="295"/>
    <x v="355"/>
    <x v="8"/>
    <x v="2"/>
    <x v="364"/>
  </r>
  <r>
    <x v="381"/>
    <x v="0"/>
    <x v="261"/>
    <x v="6"/>
    <x v="1"/>
    <x v="381"/>
    <x v="381"/>
    <x v="2"/>
    <x v="0"/>
    <x v="1"/>
    <x v="1"/>
    <x v="144"/>
    <x v="1"/>
    <x v="346"/>
    <x v="1"/>
    <x v="8"/>
    <x v="345"/>
    <x v="10"/>
    <x v="2"/>
    <x v="0"/>
    <x v="10"/>
  </r>
  <r>
    <x v="382"/>
    <x v="0"/>
    <x v="208"/>
    <x v="327"/>
    <x v="1"/>
    <x v="382"/>
    <x v="382"/>
    <x v="2"/>
    <x v="0"/>
    <x v="58"/>
    <x v="21"/>
    <x v="73"/>
    <x v="1"/>
    <x v="347"/>
    <x v="1"/>
    <x v="4"/>
    <x v="346"/>
    <x v="15"/>
    <x v="3"/>
    <x v="2"/>
    <x v="15"/>
  </r>
  <r>
    <x v="383"/>
    <x v="0"/>
    <x v="209"/>
    <x v="304"/>
    <x v="1"/>
    <x v="383"/>
    <x v="383"/>
    <x v="0"/>
    <x v="0"/>
    <x v="20"/>
    <x v="15"/>
    <x v="42"/>
    <x v="3"/>
    <x v="348"/>
    <x v="1"/>
    <x v="5"/>
    <x v="347"/>
    <x v="356"/>
    <x v="0"/>
    <x v="2"/>
    <x v="365"/>
  </r>
  <r>
    <x v="384"/>
    <x v="0"/>
    <x v="310"/>
    <x v="328"/>
    <x v="1"/>
    <x v="384"/>
    <x v="384"/>
    <x v="0"/>
    <x v="0"/>
    <x v="111"/>
    <x v="16"/>
    <x v="138"/>
    <x v="1"/>
    <x v="349"/>
    <x v="1"/>
    <x v="5"/>
    <x v="348"/>
    <x v="357"/>
    <x v="1"/>
    <x v="6"/>
    <x v="366"/>
  </r>
  <r>
    <x v="385"/>
    <x v="0"/>
    <x v="267"/>
    <x v="329"/>
    <x v="2"/>
    <x v="385"/>
    <x v="385"/>
    <x v="2"/>
    <x v="0"/>
    <x v="36"/>
    <x v="14"/>
    <x v="123"/>
    <x v="2"/>
    <x v="350"/>
    <x v="1"/>
    <x v="8"/>
    <x v="349"/>
    <x v="358"/>
    <x v="2"/>
    <x v="0"/>
    <x v="367"/>
  </r>
  <r>
    <x v="386"/>
    <x v="0"/>
    <x v="311"/>
    <x v="330"/>
    <x v="0"/>
    <x v="386"/>
    <x v="386"/>
    <x v="0"/>
    <x v="0"/>
    <x v="4"/>
    <x v="4"/>
    <x v="56"/>
    <x v="1"/>
    <x v="351"/>
    <x v="1"/>
    <x v="6"/>
    <x v="350"/>
    <x v="261"/>
    <x v="0"/>
    <x v="0"/>
    <x v="368"/>
  </r>
  <r>
    <x v="387"/>
    <x v="0"/>
    <x v="211"/>
    <x v="102"/>
    <x v="1"/>
    <x v="387"/>
    <x v="387"/>
    <x v="1"/>
    <x v="0"/>
    <x v="64"/>
    <x v="12"/>
    <x v="80"/>
    <x v="2"/>
    <x v="352"/>
    <x v="1"/>
    <x v="4"/>
    <x v="14"/>
    <x v="359"/>
    <x v="6"/>
    <x v="0"/>
    <x v="369"/>
  </r>
  <r>
    <x v="388"/>
    <x v="0"/>
    <x v="214"/>
    <x v="331"/>
    <x v="0"/>
    <x v="388"/>
    <x v="388"/>
    <x v="1"/>
    <x v="0"/>
    <x v="158"/>
    <x v="1"/>
    <x v="200"/>
    <x v="1"/>
    <x v="353"/>
    <x v="2"/>
    <x v="10"/>
    <x v="351"/>
    <x v="360"/>
    <x v="3"/>
    <x v="2"/>
    <x v="370"/>
  </r>
  <r>
    <x v="389"/>
    <x v="0"/>
    <x v="17"/>
    <x v="16"/>
    <x v="1"/>
    <x v="389"/>
    <x v="389"/>
    <x v="2"/>
    <x v="0"/>
    <x v="159"/>
    <x v="36"/>
    <x v="201"/>
    <x v="3"/>
    <x v="354"/>
    <x v="1"/>
    <x v="4"/>
    <x v="352"/>
    <x v="361"/>
    <x v="1"/>
    <x v="0"/>
    <x v="371"/>
  </r>
  <r>
    <x v="390"/>
    <x v="0"/>
    <x v="238"/>
    <x v="332"/>
    <x v="1"/>
    <x v="390"/>
    <x v="390"/>
    <x v="2"/>
    <x v="0"/>
    <x v="33"/>
    <x v="3"/>
    <x v="40"/>
    <x v="0"/>
    <x v="355"/>
    <x v="1"/>
    <x v="7"/>
    <x v="353"/>
    <x v="362"/>
    <x v="2"/>
    <x v="2"/>
    <x v="372"/>
  </r>
  <r>
    <x v="391"/>
    <x v="0"/>
    <x v="312"/>
    <x v="333"/>
    <x v="2"/>
    <x v="391"/>
    <x v="391"/>
    <x v="2"/>
    <x v="0"/>
    <x v="8"/>
    <x v="1"/>
    <x v="32"/>
    <x v="1"/>
    <x v="356"/>
    <x v="1"/>
    <x v="8"/>
    <x v="354"/>
    <x v="363"/>
    <x v="6"/>
    <x v="0"/>
    <x v="373"/>
  </r>
  <r>
    <x v="392"/>
    <x v="0"/>
    <x v="134"/>
    <x v="334"/>
    <x v="1"/>
    <x v="392"/>
    <x v="392"/>
    <x v="0"/>
    <x v="0"/>
    <x v="151"/>
    <x v="1"/>
    <x v="191"/>
    <x v="1"/>
    <x v="357"/>
    <x v="1"/>
    <x v="4"/>
    <x v="355"/>
    <x v="364"/>
    <x v="3"/>
    <x v="0"/>
    <x v="374"/>
  </r>
  <r>
    <x v="393"/>
    <x v="0"/>
    <x v="313"/>
    <x v="335"/>
    <x v="0"/>
    <x v="393"/>
    <x v="393"/>
    <x v="1"/>
    <x v="0"/>
    <x v="8"/>
    <x v="1"/>
    <x v="89"/>
    <x v="1"/>
    <x v="358"/>
    <x v="1"/>
    <x v="1"/>
    <x v="356"/>
    <x v="365"/>
    <x v="0"/>
    <x v="0"/>
    <x v="365"/>
  </r>
  <r>
    <x v="394"/>
    <x v="0"/>
    <x v="314"/>
    <x v="35"/>
    <x v="1"/>
    <x v="394"/>
    <x v="394"/>
    <x v="0"/>
    <x v="0"/>
    <x v="160"/>
    <x v="31"/>
    <x v="202"/>
    <x v="0"/>
    <x v="347"/>
    <x v="1"/>
    <x v="4"/>
    <x v="357"/>
    <x v="366"/>
    <x v="1"/>
    <x v="0"/>
    <x v="375"/>
  </r>
  <r>
    <x v="395"/>
    <x v="0"/>
    <x v="310"/>
    <x v="336"/>
    <x v="0"/>
    <x v="395"/>
    <x v="395"/>
    <x v="1"/>
    <x v="0"/>
    <x v="161"/>
    <x v="14"/>
    <x v="203"/>
    <x v="2"/>
    <x v="359"/>
    <x v="1"/>
    <x v="11"/>
    <x v="358"/>
    <x v="367"/>
    <x v="7"/>
    <x v="0"/>
    <x v="376"/>
  </r>
  <r>
    <x v="396"/>
    <x v="0"/>
    <x v="305"/>
    <x v="337"/>
    <x v="3"/>
    <x v="396"/>
    <x v="396"/>
    <x v="0"/>
    <x v="0"/>
    <x v="162"/>
    <x v="12"/>
    <x v="204"/>
    <x v="2"/>
    <x v="360"/>
    <x v="1"/>
    <x v="6"/>
    <x v="359"/>
    <x v="368"/>
    <x v="0"/>
    <x v="9"/>
    <x v="377"/>
  </r>
  <r>
    <x v="397"/>
    <x v="0"/>
    <x v="315"/>
    <x v="338"/>
    <x v="1"/>
    <x v="397"/>
    <x v="397"/>
    <x v="0"/>
    <x v="0"/>
    <x v="29"/>
    <x v="11"/>
    <x v="36"/>
    <x v="2"/>
    <x v="361"/>
    <x v="1"/>
    <x v="6"/>
    <x v="360"/>
    <x v="369"/>
    <x v="3"/>
    <x v="0"/>
    <x v="378"/>
  </r>
  <r>
    <x v="398"/>
    <x v="0"/>
    <x v="316"/>
    <x v="339"/>
    <x v="0"/>
    <x v="398"/>
    <x v="398"/>
    <x v="0"/>
    <x v="0"/>
    <x v="163"/>
    <x v="1"/>
    <x v="205"/>
    <x v="1"/>
    <x v="362"/>
    <x v="1"/>
    <x v="8"/>
    <x v="361"/>
    <x v="370"/>
    <x v="3"/>
    <x v="0"/>
    <x v="379"/>
  </r>
  <r>
    <x v="399"/>
    <x v="0"/>
    <x v="194"/>
    <x v="340"/>
    <x v="1"/>
    <x v="399"/>
    <x v="399"/>
    <x v="2"/>
    <x v="0"/>
    <x v="20"/>
    <x v="15"/>
    <x v="42"/>
    <x v="3"/>
    <x v="363"/>
    <x v="2"/>
    <x v="10"/>
    <x v="362"/>
    <x v="371"/>
    <x v="8"/>
    <x v="0"/>
    <x v="380"/>
  </r>
  <r>
    <x v="400"/>
    <x v="0"/>
    <x v="317"/>
    <x v="341"/>
    <x v="1"/>
    <x v="400"/>
    <x v="400"/>
    <x v="0"/>
    <x v="0"/>
    <x v="97"/>
    <x v="12"/>
    <x v="189"/>
    <x v="2"/>
    <x v="288"/>
    <x v="1"/>
    <x v="5"/>
    <x v="289"/>
    <x v="372"/>
    <x v="6"/>
    <x v="0"/>
    <x v="381"/>
  </r>
  <r>
    <x v="401"/>
    <x v="0"/>
    <x v="318"/>
    <x v="118"/>
    <x v="0"/>
    <x v="401"/>
    <x v="401"/>
    <x v="2"/>
    <x v="0"/>
    <x v="1"/>
    <x v="1"/>
    <x v="25"/>
    <x v="1"/>
    <x v="364"/>
    <x v="1"/>
    <x v="1"/>
    <x v="363"/>
    <x v="373"/>
    <x v="6"/>
    <x v="0"/>
    <x v="382"/>
  </r>
  <r>
    <x v="402"/>
    <x v="0"/>
    <x v="319"/>
    <x v="121"/>
    <x v="0"/>
    <x v="402"/>
    <x v="402"/>
    <x v="2"/>
    <x v="0"/>
    <x v="12"/>
    <x v="5"/>
    <x v="122"/>
    <x v="2"/>
    <x v="365"/>
    <x v="2"/>
    <x v="12"/>
    <x v="364"/>
    <x v="374"/>
    <x v="3"/>
    <x v="2"/>
    <x v="383"/>
  </r>
  <r>
    <x v="403"/>
    <x v="0"/>
    <x v="143"/>
    <x v="342"/>
    <x v="1"/>
    <x v="403"/>
    <x v="403"/>
    <x v="1"/>
    <x v="0"/>
    <x v="4"/>
    <x v="4"/>
    <x v="5"/>
    <x v="1"/>
    <x v="366"/>
    <x v="1"/>
    <x v="5"/>
    <x v="365"/>
    <x v="375"/>
    <x v="2"/>
    <x v="2"/>
    <x v="384"/>
  </r>
  <r>
    <x v="404"/>
    <x v="0"/>
    <x v="320"/>
    <x v="343"/>
    <x v="0"/>
    <x v="404"/>
    <x v="404"/>
    <x v="2"/>
    <x v="0"/>
    <x v="1"/>
    <x v="1"/>
    <x v="1"/>
    <x v="1"/>
    <x v="243"/>
    <x v="1"/>
    <x v="6"/>
    <x v="244"/>
    <x v="376"/>
    <x v="6"/>
    <x v="0"/>
    <x v="385"/>
  </r>
  <r>
    <x v="405"/>
    <x v="0"/>
    <x v="321"/>
    <x v="344"/>
    <x v="2"/>
    <x v="405"/>
    <x v="405"/>
    <x v="0"/>
    <x v="0"/>
    <x v="33"/>
    <x v="3"/>
    <x v="40"/>
    <x v="0"/>
    <x v="367"/>
    <x v="2"/>
    <x v="10"/>
    <x v="366"/>
    <x v="377"/>
    <x v="1"/>
    <x v="2"/>
    <x v="386"/>
  </r>
  <r>
    <x v="406"/>
    <x v="0"/>
    <x v="205"/>
    <x v="345"/>
    <x v="0"/>
    <x v="406"/>
    <x v="406"/>
    <x v="1"/>
    <x v="0"/>
    <x v="20"/>
    <x v="15"/>
    <x v="29"/>
    <x v="3"/>
    <x v="368"/>
    <x v="1"/>
    <x v="7"/>
    <x v="367"/>
    <x v="378"/>
    <x v="8"/>
    <x v="0"/>
    <x v="387"/>
  </r>
  <r>
    <x v="407"/>
    <x v="1"/>
    <x v="322"/>
    <x v="346"/>
    <x v="1"/>
    <x v="407"/>
    <x v="407"/>
    <x v="1"/>
    <x v="0"/>
    <x v="10"/>
    <x v="9"/>
    <x v="60"/>
    <x v="3"/>
    <x v="99"/>
    <x v="0"/>
    <x v="9"/>
    <x v="100"/>
    <x v="379"/>
    <x v="0"/>
    <x v="4"/>
    <x v="388"/>
  </r>
  <r>
    <x v="408"/>
    <x v="0"/>
    <x v="126"/>
    <x v="347"/>
    <x v="1"/>
    <x v="408"/>
    <x v="408"/>
    <x v="2"/>
    <x v="0"/>
    <x v="1"/>
    <x v="1"/>
    <x v="1"/>
    <x v="1"/>
    <x v="8"/>
    <x v="1"/>
    <x v="7"/>
    <x v="8"/>
    <x v="380"/>
    <x v="5"/>
    <x v="0"/>
    <x v="389"/>
  </r>
  <r>
    <x v="409"/>
    <x v="0"/>
    <x v="85"/>
    <x v="348"/>
    <x v="0"/>
    <x v="409"/>
    <x v="409"/>
    <x v="0"/>
    <x v="0"/>
    <x v="164"/>
    <x v="15"/>
    <x v="206"/>
    <x v="3"/>
    <x v="166"/>
    <x v="1"/>
    <x v="8"/>
    <x v="167"/>
    <x v="381"/>
    <x v="0"/>
    <x v="0"/>
    <x v="390"/>
  </r>
  <r>
    <x v="410"/>
    <x v="0"/>
    <x v="176"/>
    <x v="189"/>
    <x v="2"/>
    <x v="410"/>
    <x v="410"/>
    <x v="1"/>
    <x v="0"/>
    <x v="71"/>
    <x v="23"/>
    <x v="88"/>
    <x v="3"/>
    <x v="369"/>
    <x v="2"/>
    <x v="16"/>
    <x v="368"/>
    <x v="382"/>
    <x v="0"/>
    <x v="7"/>
    <x v="391"/>
  </r>
  <r>
    <x v="411"/>
    <x v="0"/>
    <x v="323"/>
    <x v="210"/>
    <x v="1"/>
    <x v="411"/>
    <x v="411"/>
    <x v="0"/>
    <x v="0"/>
    <x v="4"/>
    <x v="4"/>
    <x v="56"/>
    <x v="1"/>
    <x v="370"/>
    <x v="0"/>
    <x v="3"/>
    <x v="369"/>
    <x v="383"/>
    <x v="8"/>
    <x v="0"/>
    <x v="392"/>
  </r>
  <r>
    <x v="412"/>
    <x v="0"/>
    <x v="257"/>
    <x v="349"/>
    <x v="1"/>
    <x v="412"/>
    <x v="412"/>
    <x v="0"/>
    <x v="0"/>
    <x v="165"/>
    <x v="34"/>
    <x v="207"/>
    <x v="0"/>
    <x v="371"/>
    <x v="1"/>
    <x v="11"/>
    <x v="370"/>
    <x v="384"/>
    <x v="5"/>
    <x v="0"/>
    <x v="393"/>
  </r>
  <r>
    <x v="413"/>
    <x v="0"/>
    <x v="324"/>
    <x v="350"/>
    <x v="0"/>
    <x v="413"/>
    <x v="413"/>
    <x v="0"/>
    <x v="0"/>
    <x v="166"/>
    <x v="1"/>
    <x v="208"/>
    <x v="1"/>
    <x v="372"/>
    <x v="0"/>
    <x v="2"/>
    <x v="371"/>
    <x v="385"/>
    <x v="4"/>
    <x v="2"/>
    <x v="394"/>
  </r>
  <r>
    <x v="414"/>
    <x v="0"/>
    <x v="325"/>
    <x v="351"/>
    <x v="1"/>
    <x v="414"/>
    <x v="414"/>
    <x v="2"/>
    <x v="0"/>
    <x v="128"/>
    <x v="9"/>
    <x v="163"/>
    <x v="3"/>
    <x v="373"/>
    <x v="1"/>
    <x v="8"/>
    <x v="372"/>
    <x v="386"/>
    <x v="0"/>
    <x v="2"/>
    <x v="395"/>
  </r>
  <r>
    <x v="415"/>
    <x v="0"/>
    <x v="326"/>
    <x v="352"/>
    <x v="1"/>
    <x v="415"/>
    <x v="415"/>
    <x v="0"/>
    <x v="0"/>
    <x v="100"/>
    <x v="2"/>
    <x v="121"/>
    <x v="0"/>
    <x v="374"/>
    <x v="2"/>
    <x v="10"/>
    <x v="373"/>
    <x v="387"/>
    <x v="3"/>
    <x v="2"/>
    <x v="396"/>
  </r>
  <r>
    <x v="416"/>
    <x v="1"/>
    <x v="95"/>
    <x v="353"/>
    <x v="1"/>
    <x v="416"/>
    <x v="416"/>
    <x v="1"/>
    <x v="0"/>
    <x v="167"/>
    <x v="3"/>
    <x v="209"/>
    <x v="0"/>
    <x v="375"/>
    <x v="1"/>
    <x v="5"/>
    <x v="374"/>
    <x v="388"/>
    <x v="6"/>
    <x v="6"/>
    <x v="397"/>
  </r>
  <r>
    <x v="417"/>
    <x v="0"/>
    <x v="308"/>
    <x v="279"/>
    <x v="2"/>
    <x v="417"/>
    <x v="417"/>
    <x v="0"/>
    <x v="0"/>
    <x v="161"/>
    <x v="14"/>
    <x v="203"/>
    <x v="2"/>
    <x v="65"/>
    <x v="2"/>
    <x v="10"/>
    <x v="66"/>
    <x v="389"/>
    <x v="0"/>
    <x v="0"/>
    <x v="398"/>
  </r>
  <r>
    <x v="418"/>
    <x v="0"/>
    <x v="281"/>
    <x v="241"/>
    <x v="1"/>
    <x v="418"/>
    <x v="418"/>
    <x v="0"/>
    <x v="0"/>
    <x v="8"/>
    <x v="1"/>
    <x v="32"/>
    <x v="1"/>
    <x v="376"/>
    <x v="1"/>
    <x v="8"/>
    <x v="375"/>
    <x v="390"/>
    <x v="3"/>
    <x v="0"/>
    <x v="399"/>
  </r>
  <r>
    <x v="419"/>
    <x v="0"/>
    <x v="327"/>
    <x v="354"/>
    <x v="1"/>
    <x v="419"/>
    <x v="419"/>
    <x v="0"/>
    <x v="0"/>
    <x v="168"/>
    <x v="19"/>
    <x v="210"/>
    <x v="0"/>
    <x v="377"/>
    <x v="1"/>
    <x v="4"/>
    <x v="376"/>
    <x v="391"/>
    <x v="0"/>
    <x v="0"/>
    <x v="400"/>
  </r>
  <r>
    <x v="420"/>
    <x v="0"/>
    <x v="328"/>
    <x v="355"/>
    <x v="1"/>
    <x v="420"/>
    <x v="420"/>
    <x v="0"/>
    <x v="0"/>
    <x v="12"/>
    <x v="5"/>
    <x v="122"/>
    <x v="2"/>
    <x v="378"/>
    <x v="1"/>
    <x v="8"/>
    <x v="377"/>
    <x v="392"/>
    <x v="3"/>
    <x v="2"/>
    <x v="401"/>
  </r>
  <r>
    <x v="421"/>
    <x v="0"/>
    <x v="169"/>
    <x v="356"/>
    <x v="1"/>
    <x v="421"/>
    <x v="421"/>
    <x v="0"/>
    <x v="0"/>
    <x v="169"/>
    <x v="33"/>
    <x v="211"/>
    <x v="3"/>
    <x v="379"/>
    <x v="1"/>
    <x v="7"/>
    <x v="378"/>
    <x v="35"/>
    <x v="1"/>
    <x v="0"/>
    <x v="402"/>
  </r>
  <r>
    <x v="422"/>
    <x v="0"/>
    <x v="329"/>
    <x v="357"/>
    <x v="1"/>
    <x v="422"/>
    <x v="422"/>
    <x v="1"/>
    <x v="0"/>
    <x v="20"/>
    <x v="15"/>
    <x v="29"/>
    <x v="3"/>
    <x v="380"/>
    <x v="0"/>
    <x v="3"/>
    <x v="379"/>
    <x v="393"/>
    <x v="0"/>
    <x v="0"/>
    <x v="403"/>
  </r>
  <r>
    <x v="423"/>
    <x v="0"/>
    <x v="330"/>
    <x v="358"/>
    <x v="1"/>
    <x v="423"/>
    <x v="423"/>
    <x v="0"/>
    <x v="0"/>
    <x v="170"/>
    <x v="21"/>
    <x v="212"/>
    <x v="1"/>
    <x v="381"/>
    <x v="1"/>
    <x v="6"/>
    <x v="380"/>
    <x v="394"/>
    <x v="12"/>
    <x v="2"/>
    <x v="404"/>
  </r>
  <r>
    <x v="424"/>
    <x v="0"/>
    <x v="216"/>
    <x v="359"/>
    <x v="1"/>
    <x v="424"/>
    <x v="424"/>
    <x v="1"/>
    <x v="0"/>
    <x v="52"/>
    <x v="1"/>
    <x v="213"/>
    <x v="1"/>
    <x v="226"/>
    <x v="1"/>
    <x v="5"/>
    <x v="227"/>
    <x v="395"/>
    <x v="0"/>
    <x v="2"/>
    <x v="405"/>
  </r>
  <r>
    <x v="425"/>
    <x v="0"/>
    <x v="16"/>
    <x v="360"/>
    <x v="0"/>
    <x v="425"/>
    <x v="425"/>
    <x v="1"/>
    <x v="0"/>
    <x v="31"/>
    <x v="11"/>
    <x v="38"/>
    <x v="2"/>
    <x v="382"/>
    <x v="2"/>
    <x v="10"/>
    <x v="381"/>
    <x v="396"/>
    <x v="1"/>
    <x v="0"/>
    <x v="406"/>
  </r>
  <r>
    <x v="426"/>
    <x v="0"/>
    <x v="331"/>
    <x v="361"/>
    <x v="0"/>
    <x v="426"/>
    <x v="426"/>
    <x v="2"/>
    <x v="0"/>
    <x v="76"/>
    <x v="17"/>
    <x v="94"/>
    <x v="0"/>
    <x v="383"/>
    <x v="0"/>
    <x v="0"/>
    <x v="382"/>
    <x v="397"/>
    <x v="0"/>
    <x v="0"/>
    <x v="407"/>
  </r>
  <r>
    <x v="427"/>
    <x v="1"/>
    <x v="332"/>
    <x v="362"/>
    <x v="1"/>
    <x v="427"/>
    <x v="427"/>
    <x v="0"/>
    <x v="0"/>
    <x v="36"/>
    <x v="31"/>
    <x v="103"/>
    <x v="0"/>
    <x v="384"/>
    <x v="0"/>
    <x v="3"/>
    <x v="383"/>
    <x v="398"/>
    <x v="8"/>
    <x v="0"/>
    <x v="408"/>
  </r>
  <r>
    <x v="428"/>
    <x v="0"/>
    <x v="114"/>
    <x v="363"/>
    <x v="1"/>
    <x v="428"/>
    <x v="428"/>
    <x v="1"/>
    <x v="0"/>
    <x v="1"/>
    <x v="1"/>
    <x v="3"/>
    <x v="1"/>
    <x v="385"/>
    <x v="1"/>
    <x v="4"/>
    <x v="384"/>
    <x v="399"/>
    <x v="4"/>
    <x v="0"/>
    <x v="409"/>
  </r>
  <r>
    <x v="429"/>
    <x v="0"/>
    <x v="333"/>
    <x v="364"/>
    <x v="1"/>
    <x v="429"/>
    <x v="429"/>
    <x v="1"/>
    <x v="0"/>
    <x v="171"/>
    <x v="2"/>
    <x v="214"/>
    <x v="0"/>
    <x v="374"/>
    <x v="2"/>
    <x v="10"/>
    <x v="373"/>
    <x v="400"/>
    <x v="0"/>
    <x v="2"/>
    <x v="410"/>
  </r>
  <r>
    <x v="430"/>
    <x v="0"/>
    <x v="334"/>
    <x v="365"/>
    <x v="1"/>
    <x v="430"/>
    <x v="430"/>
    <x v="0"/>
    <x v="0"/>
    <x v="71"/>
    <x v="23"/>
    <x v="88"/>
    <x v="3"/>
    <x v="302"/>
    <x v="1"/>
    <x v="5"/>
    <x v="303"/>
    <x v="401"/>
    <x v="3"/>
    <x v="6"/>
    <x v="411"/>
  </r>
  <r>
    <x v="431"/>
    <x v="0"/>
    <x v="335"/>
    <x v="366"/>
    <x v="1"/>
    <x v="431"/>
    <x v="431"/>
    <x v="0"/>
    <x v="0"/>
    <x v="172"/>
    <x v="0"/>
    <x v="215"/>
    <x v="0"/>
    <x v="386"/>
    <x v="1"/>
    <x v="6"/>
    <x v="385"/>
    <x v="402"/>
    <x v="1"/>
    <x v="0"/>
    <x v="412"/>
  </r>
  <r>
    <x v="432"/>
    <x v="0"/>
    <x v="336"/>
    <x v="367"/>
    <x v="2"/>
    <x v="432"/>
    <x v="432"/>
    <x v="0"/>
    <x v="0"/>
    <x v="38"/>
    <x v="3"/>
    <x v="142"/>
    <x v="0"/>
    <x v="387"/>
    <x v="1"/>
    <x v="4"/>
    <x v="386"/>
    <x v="403"/>
    <x v="6"/>
    <x v="2"/>
    <x v="413"/>
  </r>
  <r>
    <x v="433"/>
    <x v="0"/>
    <x v="337"/>
    <x v="116"/>
    <x v="1"/>
    <x v="433"/>
    <x v="433"/>
    <x v="1"/>
    <x v="0"/>
    <x v="96"/>
    <x v="30"/>
    <x v="117"/>
    <x v="3"/>
    <x v="388"/>
    <x v="1"/>
    <x v="7"/>
    <x v="387"/>
    <x v="89"/>
    <x v="3"/>
    <x v="0"/>
    <x v="414"/>
  </r>
  <r>
    <x v="434"/>
    <x v="0"/>
    <x v="338"/>
    <x v="368"/>
    <x v="2"/>
    <x v="434"/>
    <x v="434"/>
    <x v="1"/>
    <x v="0"/>
    <x v="150"/>
    <x v="28"/>
    <x v="190"/>
    <x v="3"/>
    <x v="389"/>
    <x v="1"/>
    <x v="4"/>
    <x v="388"/>
    <x v="404"/>
    <x v="8"/>
    <x v="0"/>
    <x v="415"/>
  </r>
  <r>
    <x v="435"/>
    <x v="0"/>
    <x v="339"/>
    <x v="369"/>
    <x v="0"/>
    <x v="435"/>
    <x v="435"/>
    <x v="2"/>
    <x v="0"/>
    <x v="8"/>
    <x v="1"/>
    <x v="89"/>
    <x v="1"/>
    <x v="390"/>
    <x v="1"/>
    <x v="8"/>
    <x v="389"/>
    <x v="405"/>
    <x v="6"/>
    <x v="0"/>
    <x v="416"/>
  </r>
  <r>
    <x v="436"/>
    <x v="0"/>
    <x v="340"/>
    <x v="370"/>
    <x v="1"/>
    <x v="436"/>
    <x v="436"/>
    <x v="0"/>
    <x v="0"/>
    <x v="8"/>
    <x v="1"/>
    <x v="9"/>
    <x v="1"/>
    <x v="370"/>
    <x v="0"/>
    <x v="3"/>
    <x v="369"/>
    <x v="406"/>
    <x v="3"/>
    <x v="0"/>
    <x v="417"/>
  </r>
  <r>
    <x v="437"/>
    <x v="0"/>
    <x v="341"/>
    <x v="371"/>
    <x v="1"/>
    <x v="437"/>
    <x v="437"/>
    <x v="2"/>
    <x v="0"/>
    <x v="146"/>
    <x v="23"/>
    <x v="183"/>
    <x v="3"/>
    <x v="391"/>
    <x v="2"/>
    <x v="10"/>
    <x v="390"/>
    <x v="407"/>
    <x v="8"/>
    <x v="7"/>
    <x v="418"/>
  </r>
  <r>
    <x v="438"/>
    <x v="0"/>
    <x v="342"/>
    <x v="372"/>
    <x v="1"/>
    <x v="438"/>
    <x v="438"/>
    <x v="0"/>
    <x v="0"/>
    <x v="59"/>
    <x v="5"/>
    <x v="74"/>
    <x v="2"/>
    <x v="392"/>
    <x v="1"/>
    <x v="5"/>
    <x v="391"/>
    <x v="408"/>
    <x v="3"/>
    <x v="3"/>
    <x v="419"/>
  </r>
  <r>
    <x v="439"/>
    <x v="0"/>
    <x v="343"/>
    <x v="373"/>
    <x v="1"/>
    <x v="439"/>
    <x v="439"/>
    <x v="0"/>
    <x v="0"/>
    <x v="173"/>
    <x v="28"/>
    <x v="216"/>
    <x v="3"/>
    <x v="393"/>
    <x v="1"/>
    <x v="7"/>
    <x v="392"/>
    <x v="409"/>
    <x v="6"/>
    <x v="0"/>
    <x v="213"/>
  </r>
  <r>
    <x v="440"/>
    <x v="1"/>
    <x v="344"/>
    <x v="300"/>
    <x v="1"/>
    <x v="440"/>
    <x v="440"/>
    <x v="0"/>
    <x v="0"/>
    <x v="1"/>
    <x v="1"/>
    <x v="144"/>
    <x v="1"/>
    <x v="394"/>
    <x v="0"/>
    <x v="3"/>
    <x v="393"/>
    <x v="410"/>
    <x v="3"/>
    <x v="0"/>
    <x v="420"/>
  </r>
  <r>
    <x v="441"/>
    <x v="0"/>
    <x v="345"/>
    <x v="374"/>
    <x v="0"/>
    <x v="441"/>
    <x v="441"/>
    <x v="0"/>
    <x v="0"/>
    <x v="20"/>
    <x v="15"/>
    <x v="151"/>
    <x v="3"/>
    <x v="395"/>
    <x v="0"/>
    <x v="3"/>
    <x v="394"/>
    <x v="411"/>
    <x v="0"/>
    <x v="0"/>
    <x v="421"/>
  </r>
  <r>
    <x v="442"/>
    <x v="0"/>
    <x v="346"/>
    <x v="375"/>
    <x v="2"/>
    <x v="442"/>
    <x v="442"/>
    <x v="1"/>
    <x v="0"/>
    <x v="100"/>
    <x v="3"/>
    <x v="217"/>
    <x v="0"/>
    <x v="396"/>
    <x v="2"/>
    <x v="14"/>
    <x v="395"/>
    <x v="412"/>
    <x v="0"/>
    <x v="5"/>
    <x v="422"/>
  </r>
  <r>
    <x v="443"/>
    <x v="0"/>
    <x v="347"/>
    <x v="376"/>
    <x v="0"/>
    <x v="443"/>
    <x v="443"/>
    <x v="0"/>
    <x v="0"/>
    <x v="135"/>
    <x v="10"/>
    <x v="170"/>
    <x v="2"/>
    <x v="397"/>
    <x v="0"/>
    <x v="9"/>
    <x v="396"/>
    <x v="413"/>
    <x v="3"/>
    <x v="4"/>
    <x v="423"/>
  </r>
  <r>
    <x v="444"/>
    <x v="0"/>
    <x v="348"/>
    <x v="355"/>
    <x v="2"/>
    <x v="444"/>
    <x v="444"/>
    <x v="0"/>
    <x v="0"/>
    <x v="145"/>
    <x v="0"/>
    <x v="182"/>
    <x v="0"/>
    <x v="398"/>
    <x v="1"/>
    <x v="4"/>
    <x v="397"/>
    <x v="414"/>
    <x v="3"/>
    <x v="0"/>
    <x v="424"/>
  </r>
  <r>
    <x v="445"/>
    <x v="0"/>
    <x v="349"/>
    <x v="377"/>
    <x v="2"/>
    <x v="445"/>
    <x v="445"/>
    <x v="0"/>
    <x v="0"/>
    <x v="5"/>
    <x v="5"/>
    <x v="6"/>
    <x v="2"/>
    <x v="256"/>
    <x v="0"/>
    <x v="3"/>
    <x v="257"/>
    <x v="415"/>
    <x v="8"/>
    <x v="8"/>
    <x v="425"/>
  </r>
  <r>
    <x v="446"/>
    <x v="1"/>
    <x v="350"/>
    <x v="378"/>
    <x v="0"/>
    <x v="446"/>
    <x v="446"/>
    <x v="0"/>
    <x v="0"/>
    <x v="1"/>
    <x v="1"/>
    <x v="13"/>
    <x v="1"/>
    <x v="399"/>
    <x v="0"/>
    <x v="9"/>
    <x v="398"/>
    <x v="416"/>
    <x v="0"/>
    <x v="2"/>
    <x v="213"/>
  </r>
  <r>
    <x v="447"/>
    <x v="0"/>
    <x v="15"/>
    <x v="379"/>
    <x v="1"/>
    <x v="447"/>
    <x v="447"/>
    <x v="1"/>
    <x v="0"/>
    <x v="10"/>
    <x v="9"/>
    <x v="71"/>
    <x v="3"/>
    <x v="400"/>
    <x v="1"/>
    <x v="8"/>
    <x v="399"/>
    <x v="417"/>
    <x v="2"/>
    <x v="2"/>
    <x v="426"/>
  </r>
  <r>
    <x v="448"/>
    <x v="1"/>
    <x v="351"/>
    <x v="42"/>
    <x v="2"/>
    <x v="448"/>
    <x v="448"/>
    <x v="1"/>
    <x v="0"/>
    <x v="86"/>
    <x v="16"/>
    <x v="106"/>
    <x v="1"/>
    <x v="272"/>
    <x v="1"/>
    <x v="5"/>
    <x v="273"/>
    <x v="418"/>
    <x v="9"/>
    <x v="6"/>
    <x v="427"/>
  </r>
  <r>
    <x v="449"/>
    <x v="0"/>
    <x v="128"/>
    <x v="380"/>
    <x v="2"/>
    <x v="449"/>
    <x v="449"/>
    <x v="2"/>
    <x v="0"/>
    <x v="174"/>
    <x v="1"/>
    <x v="218"/>
    <x v="1"/>
    <x v="125"/>
    <x v="0"/>
    <x v="3"/>
    <x v="126"/>
    <x v="419"/>
    <x v="1"/>
    <x v="0"/>
    <x v="428"/>
  </r>
  <r>
    <x v="450"/>
    <x v="0"/>
    <x v="352"/>
    <x v="381"/>
    <x v="1"/>
    <x v="450"/>
    <x v="450"/>
    <x v="2"/>
    <x v="0"/>
    <x v="159"/>
    <x v="36"/>
    <x v="201"/>
    <x v="3"/>
    <x v="401"/>
    <x v="2"/>
    <x v="12"/>
    <x v="400"/>
    <x v="420"/>
    <x v="3"/>
    <x v="0"/>
    <x v="429"/>
  </r>
  <r>
    <x v="451"/>
    <x v="1"/>
    <x v="269"/>
    <x v="321"/>
    <x v="1"/>
    <x v="451"/>
    <x v="451"/>
    <x v="2"/>
    <x v="0"/>
    <x v="32"/>
    <x v="10"/>
    <x v="157"/>
    <x v="2"/>
    <x v="402"/>
    <x v="0"/>
    <x v="3"/>
    <x v="401"/>
    <x v="421"/>
    <x v="3"/>
    <x v="8"/>
    <x v="430"/>
  </r>
  <r>
    <x v="452"/>
    <x v="1"/>
    <x v="353"/>
    <x v="382"/>
    <x v="3"/>
    <x v="452"/>
    <x v="452"/>
    <x v="2"/>
    <x v="0"/>
    <x v="175"/>
    <x v="31"/>
    <x v="219"/>
    <x v="0"/>
    <x v="403"/>
    <x v="1"/>
    <x v="7"/>
    <x v="402"/>
    <x v="422"/>
    <x v="8"/>
    <x v="0"/>
    <x v="431"/>
  </r>
  <r>
    <x v="453"/>
    <x v="0"/>
    <x v="332"/>
    <x v="338"/>
    <x v="2"/>
    <x v="453"/>
    <x v="453"/>
    <x v="1"/>
    <x v="0"/>
    <x v="126"/>
    <x v="3"/>
    <x v="161"/>
    <x v="0"/>
    <x v="404"/>
    <x v="1"/>
    <x v="8"/>
    <x v="403"/>
    <x v="423"/>
    <x v="3"/>
    <x v="2"/>
    <x v="432"/>
  </r>
  <r>
    <x v="454"/>
    <x v="0"/>
    <x v="354"/>
    <x v="383"/>
    <x v="1"/>
    <x v="454"/>
    <x v="454"/>
    <x v="2"/>
    <x v="0"/>
    <x v="116"/>
    <x v="17"/>
    <x v="220"/>
    <x v="0"/>
    <x v="405"/>
    <x v="2"/>
    <x v="10"/>
    <x v="404"/>
    <x v="424"/>
    <x v="0"/>
    <x v="0"/>
    <x v="433"/>
  </r>
  <r>
    <x v="455"/>
    <x v="1"/>
    <x v="355"/>
    <x v="329"/>
    <x v="1"/>
    <x v="455"/>
    <x v="455"/>
    <x v="0"/>
    <x v="0"/>
    <x v="40"/>
    <x v="16"/>
    <x v="48"/>
    <x v="1"/>
    <x v="406"/>
    <x v="0"/>
    <x v="2"/>
    <x v="405"/>
    <x v="425"/>
    <x v="3"/>
    <x v="5"/>
    <x v="434"/>
  </r>
  <r>
    <x v="456"/>
    <x v="0"/>
    <x v="356"/>
    <x v="364"/>
    <x v="1"/>
    <x v="456"/>
    <x v="456"/>
    <x v="0"/>
    <x v="0"/>
    <x v="20"/>
    <x v="15"/>
    <x v="23"/>
    <x v="3"/>
    <x v="407"/>
    <x v="1"/>
    <x v="5"/>
    <x v="406"/>
    <x v="426"/>
    <x v="2"/>
    <x v="2"/>
    <x v="435"/>
  </r>
  <r>
    <x v="457"/>
    <x v="0"/>
    <x v="357"/>
    <x v="384"/>
    <x v="0"/>
    <x v="457"/>
    <x v="457"/>
    <x v="2"/>
    <x v="0"/>
    <x v="176"/>
    <x v="1"/>
    <x v="221"/>
    <x v="1"/>
    <x v="408"/>
    <x v="2"/>
    <x v="12"/>
    <x v="407"/>
    <x v="292"/>
    <x v="3"/>
    <x v="0"/>
    <x v="436"/>
  </r>
  <r>
    <x v="458"/>
    <x v="0"/>
    <x v="358"/>
    <x v="361"/>
    <x v="2"/>
    <x v="458"/>
    <x v="458"/>
    <x v="1"/>
    <x v="0"/>
    <x v="12"/>
    <x v="5"/>
    <x v="16"/>
    <x v="2"/>
    <x v="409"/>
    <x v="2"/>
    <x v="10"/>
    <x v="408"/>
    <x v="427"/>
    <x v="2"/>
    <x v="2"/>
    <x v="437"/>
  </r>
  <r>
    <x v="459"/>
    <x v="0"/>
    <x v="359"/>
    <x v="12"/>
    <x v="1"/>
    <x v="459"/>
    <x v="459"/>
    <x v="1"/>
    <x v="0"/>
    <x v="111"/>
    <x v="16"/>
    <x v="138"/>
    <x v="1"/>
    <x v="410"/>
    <x v="1"/>
    <x v="4"/>
    <x v="409"/>
    <x v="428"/>
    <x v="6"/>
    <x v="2"/>
    <x v="438"/>
  </r>
  <r>
    <x v="460"/>
    <x v="1"/>
    <x v="85"/>
    <x v="385"/>
    <x v="0"/>
    <x v="460"/>
    <x v="460"/>
    <x v="1"/>
    <x v="0"/>
    <x v="148"/>
    <x v="1"/>
    <x v="185"/>
    <x v="1"/>
    <x v="411"/>
    <x v="1"/>
    <x v="5"/>
    <x v="410"/>
    <x v="429"/>
    <x v="0"/>
    <x v="2"/>
    <x v="439"/>
  </r>
  <r>
    <x v="461"/>
    <x v="0"/>
    <x v="259"/>
    <x v="270"/>
    <x v="1"/>
    <x v="461"/>
    <x v="461"/>
    <x v="0"/>
    <x v="0"/>
    <x v="177"/>
    <x v="23"/>
    <x v="222"/>
    <x v="3"/>
    <x v="412"/>
    <x v="1"/>
    <x v="4"/>
    <x v="411"/>
    <x v="430"/>
    <x v="4"/>
    <x v="2"/>
    <x v="440"/>
  </r>
  <r>
    <x v="462"/>
    <x v="0"/>
    <x v="360"/>
    <x v="386"/>
    <x v="0"/>
    <x v="462"/>
    <x v="462"/>
    <x v="0"/>
    <x v="0"/>
    <x v="8"/>
    <x v="1"/>
    <x v="89"/>
    <x v="1"/>
    <x v="413"/>
    <x v="1"/>
    <x v="5"/>
    <x v="412"/>
    <x v="431"/>
    <x v="0"/>
    <x v="2"/>
    <x v="441"/>
  </r>
  <r>
    <x v="463"/>
    <x v="0"/>
    <x v="361"/>
    <x v="387"/>
    <x v="2"/>
    <x v="463"/>
    <x v="463"/>
    <x v="1"/>
    <x v="0"/>
    <x v="115"/>
    <x v="0"/>
    <x v="146"/>
    <x v="0"/>
    <x v="414"/>
    <x v="1"/>
    <x v="4"/>
    <x v="413"/>
    <x v="432"/>
    <x v="0"/>
    <x v="0"/>
    <x v="442"/>
  </r>
  <r>
    <x v="464"/>
    <x v="0"/>
    <x v="362"/>
    <x v="260"/>
    <x v="1"/>
    <x v="464"/>
    <x v="464"/>
    <x v="1"/>
    <x v="0"/>
    <x v="32"/>
    <x v="21"/>
    <x v="39"/>
    <x v="1"/>
    <x v="213"/>
    <x v="1"/>
    <x v="7"/>
    <x v="214"/>
    <x v="433"/>
    <x v="6"/>
    <x v="2"/>
    <x v="443"/>
  </r>
  <r>
    <x v="465"/>
    <x v="1"/>
    <x v="363"/>
    <x v="388"/>
    <x v="2"/>
    <x v="465"/>
    <x v="465"/>
    <x v="0"/>
    <x v="0"/>
    <x v="40"/>
    <x v="16"/>
    <x v="48"/>
    <x v="1"/>
    <x v="415"/>
    <x v="1"/>
    <x v="5"/>
    <x v="414"/>
    <x v="434"/>
    <x v="8"/>
    <x v="6"/>
    <x v="444"/>
  </r>
  <r>
    <x v="466"/>
    <x v="0"/>
    <x v="364"/>
    <x v="389"/>
    <x v="2"/>
    <x v="466"/>
    <x v="466"/>
    <x v="1"/>
    <x v="0"/>
    <x v="178"/>
    <x v="19"/>
    <x v="223"/>
    <x v="0"/>
    <x v="416"/>
    <x v="1"/>
    <x v="4"/>
    <x v="14"/>
    <x v="220"/>
    <x v="2"/>
    <x v="0"/>
    <x v="445"/>
  </r>
  <r>
    <x v="467"/>
    <x v="0"/>
    <x v="365"/>
    <x v="127"/>
    <x v="1"/>
    <x v="467"/>
    <x v="467"/>
    <x v="2"/>
    <x v="0"/>
    <x v="36"/>
    <x v="31"/>
    <x v="103"/>
    <x v="0"/>
    <x v="417"/>
    <x v="1"/>
    <x v="5"/>
    <x v="415"/>
    <x v="435"/>
    <x v="3"/>
    <x v="0"/>
    <x v="446"/>
  </r>
  <r>
    <x v="468"/>
    <x v="0"/>
    <x v="355"/>
    <x v="137"/>
    <x v="1"/>
    <x v="468"/>
    <x v="468"/>
    <x v="1"/>
    <x v="0"/>
    <x v="179"/>
    <x v="5"/>
    <x v="224"/>
    <x v="2"/>
    <x v="277"/>
    <x v="1"/>
    <x v="1"/>
    <x v="278"/>
    <x v="304"/>
    <x v="6"/>
    <x v="2"/>
    <x v="311"/>
  </r>
  <r>
    <x v="469"/>
    <x v="1"/>
    <x v="21"/>
    <x v="390"/>
    <x v="1"/>
    <x v="469"/>
    <x v="469"/>
    <x v="0"/>
    <x v="0"/>
    <x v="180"/>
    <x v="29"/>
    <x v="225"/>
    <x v="3"/>
    <x v="338"/>
    <x v="0"/>
    <x v="2"/>
    <x v="338"/>
    <x v="436"/>
    <x v="0"/>
    <x v="4"/>
    <x v="447"/>
  </r>
  <r>
    <x v="470"/>
    <x v="1"/>
    <x v="366"/>
    <x v="391"/>
    <x v="2"/>
    <x v="470"/>
    <x v="470"/>
    <x v="1"/>
    <x v="0"/>
    <x v="20"/>
    <x v="15"/>
    <x v="29"/>
    <x v="3"/>
    <x v="343"/>
    <x v="1"/>
    <x v="13"/>
    <x v="343"/>
    <x v="437"/>
    <x v="0"/>
    <x v="0"/>
    <x v="448"/>
  </r>
  <r>
    <x v="471"/>
    <x v="0"/>
    <x v="367"/>
    <x v="392"/>
    <x v="1"/>
    <x v="471"/>
    <x v="471"/>
    <x v="1"/>
    <x v="0"/>
    <x v="1"/>
    <x v="1"/>
    <x v="25"/>
    <x v="1"/>
    <x v="295"/>
    <x v="1"/>
    <x v="1"/>
    <x v="296"/>
    <x v="438"/>
    <x v="3"/>
    <x v="0"/>
    <x v="449"/>
  </r>
  <r>
    <x v="472"/>
    <x v="0"/>
    <x v="223"/>
    <x v="393"/>
    <x v="1"/>
    <x v="472"/>
    <x v="472"/>
    <x v="2"/>
    <x v="0"/>
    <x v="181"/>
    <x v="15"/>
    <x v="226"/>
    <x v="3"/>
    <x v="418"/>
    <x v="1"/>
    <x v="8"/>
    <x v="416"/>
    <x v="439"/>
    <x v="4"/>
    <x v="0"/>
    <x v="450"/>
  </r>
  <r>
    <x v="473"/>
    <x v="0"/>
    <x v="368"/>
    <x v="394"/>
    <x v="1"/>
    <x v="473"/>
    <x v="473"/>
    <x v="0"/>
    <x v="0"/>
    <x v="182"/>
    <x v="3"/>
    <x v="227"/>
    <x v="0"/>
    <x v="419"/>
    <x v="1"/>
    <x v="15"/>
    <x v="417"/>
    <x v="440"/>
    <x v="2"/>
    <x v="2"/>
    <x v="451"/>
  </r>
  <r>
    <x v="474"/>
    <x v="0"/>
    <x v="369"/>
    <x v="395"/>
    <x v="1"/>
    <x v="474"/>
    <x v="474"/>
    <x v="0"/>
    <x v="0"/>
    <x v="20"/>
    <x v="15"/>
    <x v="42"/>
    <x v="3"/>
    <x v="420"/>
    <x v="1"/>
    <x v="13"/>
    <x v="193"/>
    <x v="441"/>
    <x v="0"/>
    <x v="0"/>
    <x v="452"/>
  </r>
  <r>
    <x v="475"/>
    <x v="0"/>
    <x v="370"/>
    <x v="396"/>
    <x v="1"/>
    <x v="475"/>
    <x v="475"/>
    <x v="2"/>
    <x v="0"/>
    <x v="1"/>
    <x v="1"/>
    <x v="144"/>
    <x v="1"/>
    <x v="421"/>
    <x v="2"/>
    <x v="10"/>
    <x v="418"/>
    <x v="442"/>
    <x v="2"/>
    <x v="2"/>
    <x v="453"/>
  </r>
  <r>
    <x v="476"/>
    <x v="0"/>
    <x v="371"/>
    <x v="397"/>
    <x v="1"/>
    <x v="476"/>
    <x v="476"/>
    <x v="0"/>
    <x v="0"/>
    <x v="10"/>
    <x v="9"/>
    <x v="98"/>
    <x v="3"/>
    <x v="422"/>
    <x v="1"/>
    <x v="1"/>
    <x v="419"/>
    <x v="443"/>
    <x v="0"/>
    <x v="2"/>
    <x v="454"/>
  </r>
  <r>
    <x v="477"/>
    <x v="0"/>
    <x v="193"/>
    <x v="48"/>
    <x v="1"/>
    <x v="477"/>
    <x v="477"/>
    <x v="1"/>
    <x v="0"/>
    <x v="20"/>
    <x v="15"/>
    <x v="42"/>
    <x v="3"/>
    <x v="423"/>
    <x v="1"/>
    <x v="4"/>
    <x v="420"/>
    <x v="444"/>
    <x v="8"/>
    <x v="0"/>
    <x v="455"/>
  </r>
  <r>
    <x v="478"/>
    <x v="0"/>
    <x v="372"/>
    <x v="398"/>
    <x v="1"/>
    <x v="478"/>
    <x v="478"/>
    <x v="1"/>
    <x v="0"/>
    <x v="123"/>
    <x v="4"/>
    <x v="156"/>
    <x v="1"/>
    <x v="424"/>
    <x v="0"/>
    <x v="3"/>
    <x v="421"/>
    <x v="445"/>
    <x v="0"/>
    <x v="0"/>
    <x v="456"/>
  </r>
  <r>
    <x v="479"/>
    <x v="0"/>
    <x v="373"/>
    <x v="191"/>
    <x v="1"/>
    <x v="479"/>
    <x v="479"/>
    <x v="0"/>
    <x v="0"/>
    <x v="183"/>
    <x v="5"/>
    <x v="228"/>
    <x v="2"/>
    <x v="425"/>
    <x v="1"/>
    <x v="8"/>
    <x v="422"/>
    <x v="446"/>
    <x v="2"/>
    <x v="2"/>
    <x v="457"/>
  </r>
  <r>
    <x v="480"/>
    <x v="0"/>
    <x v="374"/>
    <x v="399"/>
    <x v="1"/>
    <x v="480"/>
    <x v="480"/>
    <x v="2"/>
    <x v="0"/>
    <x v="1"/>
    <x v="1"/>
    <x v="25"/>
    <x v="1"/>
    <x v="426"/>
    <x v="1"/>
    <x v="8"/>
    <x v="423"/>
    <x v="447"/>
    <x v="6"/>
    <x v="0"/>
    <x v="458"/>
  </r>
  <r>
    <x v="481"/>
    <x v="0"/>
    <x v="151"/>
    <x v="151"/>
    <x v="1"/>
    <x v="481"/>
    <x v="481"/>
    <x v="0"/>
    <x v="0"/>
    <x v="20"/>
    <x v="15"/>
    <x v="23"/>
    <x v="3"/>
    <x v="427"/>
    <x v="1"/>
    <x v="5"/>
    <x v="424"/>
    <x v="448"/>
    <x v="3"/>
    <x v="2"/>
    <x v="459"/>
  </r>
  <r>
    <x v="482"/>
    <x v="1"/>
    <x v="144"/>
    <x v="400"/>
    <x v="1"/>
    <x v="482"/>
    <x v="482"/>
    <x v="0"/>
    <x v="0"/>
    <x v="10"/>
    <x v="9"/>
    <x v="71"/>
    <x v="3"/>
    <x v="399"/>
    <x v="0"/>
    <x v="9"/>
    <x v="398"/>
    <x v="449"/>
    <x v="8"/>
    <x v="4"/>
    <x v="460"/>
  </r>
  <r>
    <x v="483"/>
    <x v="0"/>
    <x v="375"/>
    <x v="401"/>
    <x v="0"/>
    <x v="483"/>
    <x v="483"/>
    <x v="0"/>
    <x v="0"/>
    <x v="4"/>
    <x v="4"/>
    <x v="56"/>
    <x v="1"/>
    <x v="130"/>
    <x v="1"/>
    <x v="5"/>
    <x v="131"/>
    <x v="450"/>
    <x v="0"/>
    <x v="2"/>
    <x v="461"/>
  </r>
  <r>
    <x v="484"/>
    <x v="0"/>
    <x v="376"/>
    <x v="402"/>
    <x v="1"/>
    <x v="484"/>
    <x v="484"/>
    <x v="2"/>
    <x v="0"/>
    <x v="22"/>
    <x v="10"/>
    <x v="26"/>
    <x v="2"/>
    <x v="428"/>
    <x v="1"/>
    <x v="8"/>
    <x v="425"/>
    <x v="451"/>
    <x v="1"/>
    <x v="2"/>
    <x v="462"/>
  </r>
  <r>
    <x v="485"/>
    <x v="0"/>
    <x v="377"/>
    <x v="192"/>
    <x v="1"/>
    <x v="485"/>
    <x v="485"/>
    <x v="0"/>
    <x v="0"/>
    <x v="86"/>
    <x v="16"/>
    <x v="106"/>
    <x v="1"/>
    <x v="429"/>
    <x v="0"/>
    <x v="3"/>
    <x v="426"/>
    <x v="452"/>
    <x v="4"/>
    <x v="2"/>
    <x v="463"/>
  </r>
  <r>
    <x v="486"/>
    <x v="0"/>
    <x v="378"/>
    <x v="403"/>
    <x v="1"/>
    <x v="486"/>
    <x v="486"/>
    <x v="2"/>
    <x v="0"/>
    <x v="184"/>
    <x v="1"/>
    <x v="229"/>
    <x v="1"/>
    <x v="248"/>
    <x v="0"/>
    <x v="0"/>
    <x v="249"/>
    <x v="453"/>
    <x v="0"/>
    <x v="10"/>
    <x v="464"/>
  </r>
  <r>
    <x v="487"/>
    <x v="0"/>
    <x v="379"/>
    <x v="170"/>
    <x v="1"/>
    <x v="487"/>
    <x v="487"/>
    <x v="1"/>
    <x v="0"/>
    <x v="185"/>
    <x v="29"/>
    <x v="230"/>
    <x v="3"/>
    <x v="430"/>
    <x v="1"/>
    <x v="7"/>
    <x v="427"/>
    <x v="454"/>
    <x v="3"/>
    <x v="0"/>
    <x v="465"/>
  </r>
  <r>
    <x v="488"/>
    <x v="0"/>
    <x v="159"/>
    <x v="110"/>
    <x v="0"/>
    <x v="488"/>
    <x v="488"/>
    <x v="0"/>
    <x v="0"/>
    <x v="186"/>
    <x v="30"/>
    <x v="231"/>
    <x v="3"/>
    <x v="431"/>
    <x v="2"/>
    <x v="10"/>
    <x v="428"/>
    <x v="455"/>
    <x v="8"/>
    <x v="0"/>
    <x v="466"/>
  </r>
  <r>
    <x v="489"/>
    <x v="0"/>
    <x v="380"/>
    <x v="404"/>
    <x v="1"/>
    <x v="489"/>
    <x v="489"/>
    <x v="2"/>
    <x v="0"/>
    <x v="68"/>
    <x v="1"/>
    <x v="128"/>
    <x v="1"/>
    <x v="432"/>
    <x v="1"/>
    <x v="5"/>
    <x v="429"/>
    <x v="456"/>
    <x v="3"/>
    <x v="2"/>
    <x v="467"/>
  </r>
  <r>
    <x v="490"/>
    <x v="0"/>
    <x v="26"/>
    <x v="405"/>
    <x v="1"/>
    <x v="490"/>
    <x v="490"/>
    <x v="0"/>
    <x v="0"/>
    <x v="68"/>
    <x v="1"/>
    <x v="128"/>
    <x v="1"/>
    <x v="433"/>
    <x v="1"/>
    <x v="4"/>
    <x v="430"/>
    <x v="457"/>
    <x v="0"/>
    <x v="0"/>
    <x v="468"/>
  </r>
  <r>
    <x v="491"/>
    <x v="0"/>
    <x v="381"/>
    <x v="406"/>
    <x v="1"/>
    <x v="491"/>
    <x v="491"/>
    <x v="0"/>
    <x v="0"/>
    <x v="115"/>
    <x v="0"/>
    <x v="146"/>
    <x v="0"/>
    <x v="297"/>
    <x v="1"/>
    <x v="5"/>
    <x v="298"/>
    <x v="458"/>
    <x v="1"/>
    <x v="0"/>
    <x v="469"/>
  </r>
  <r>
    <x v="492"/>
    <x v="0"/>
    <x v="373"/>
    <x v="191"/>
    <x v="1"/>
    <x v="492"/>
    <x v="492"/>
    <x v="0"/>
    <x v="0"/>
    <x v="80"/>
    <x v="15"/>
    <x v="232"/>
    <x v="3"/>
    <x v="20"/>
    <x v="2"/>
    <x v="12"/>
    <x v="20"/>
    <x v="459"/>
    <x v="6"/>
    <x v="0"/>
    <x v="470"/>
  </r>
  <r>
    <x v="493"/>
    <x v="0"/>
    <x v="174"/>
    <x v="407"/>
    <x v="1"/>
    <x v="493"/>
    <x v="493"/>
    <x v="0"/>
    <x v="0"/>
    <x v="10"/>
    <x v="9"/>
    <x v="11"/>
    <x v="3"/>
    <x v="434"/>
    <x v="1"/>
    <x v="11"/>
    <x v="73"/>
    <x v="222"/>
    <x v="8"/>
    <x v="2"/>
    <x v="471"/>
  </r>
  <r>
    <x v="494"/>
    <x v="0"/>
    <x v="382"/>
    <x v="130"/>
    <x v="1"/>
    <x v="494"/>
    <x v="494"/>
    <x v="1"/>
    <x v="0"/>
    <x v="4"/>
    <x v="4"/>
    <x v="5"/>
    <x v="1"/>
    <x v="300"/>
    <x v="1"/>
    <x v="5"/>
    <x v="301"/>
    <x v="460"/>
    <x v="5"/>
    <x v="2"/>
    <x v="472"/>
  </r>
  <r>
    <x v="495"/>
    <x v="1"/>
    <x v="147"/>
    <x v="408"/>
    <x v="3"/>
    <x v="495"/>
    <x v="495"/>
    <x v="0"/>
    <x v="0"/>
    <x v="20"/>
    <x v="15"/>
    <x v="151"/>
    <x v="3"/>
    <x v="2"/>
    <x v="0"/>
    <x v="2"/>
    <x v="2"/>
    <x v="12"/>
    <x v="1"/>
    <x v="7"/>
    <x v="473"/>
  </r>
  <r>
    <x v="496"/>
    <x v="0"/>
    <x v="383"/>
    <x v="187"/>
    <x v="3"/>
    <x v="496"/>
    <x v="496"/>
    <x v="0"/>
    <x v="0"/>
    <x v="10"/>
    <x v="9"/>
    <x v="60"/>
    <x v="3"/>
    <x v="435"/>
    <x v="1"/>
    <x v="4"/>
    <x v="431"/>
    <x v="461"/>
    <x v="3"/>
    <x v="2"/>
    <x v="474"/>
  </r>
  <r>
    <x v="497"/>
    <x v="0"/>
    <x v="211"/>
    <x v="26"/>
    <x v="2"/>
    <x v="497"/>
    <x v="497"/>
    <x v="0"/>
    <x v="0"/>
    <x v="187"/>
    <x v="5"/>
    <x v="233"/>
    <x v="2"/>
    <x v="436"/>
    <x v="2"/>
    <x v="12"/>
    <x v="432"/>
    <x v="462"/>
    <x v="3"/>
    <x v="2"/>
    <x v="475"/>
  </r>
  <r>
    <x v="498"/>
    <x v="0"/>
    <x v="384"/>
    <x v="409"/>
    <x v="2"/>
    <x v="498"/>
    <x v="498"/>
    <x v="0"/>
    <x v="0"/>
    <x v="188"/>
    <x v="5"/>
    <x v="234"/>
    <x v="2"/>
    <x v="437"/>
    <x v="2"/>
    <x v="10"/>
    <x v="433"/>
    <x v="463"/>
    <x v="3"/>
    <x v="2"/>
    <x v="476"/>
  </r>
  <r>
    <x v="499"/>
    <x v="0"/>
    <x v="164"/>
    <x v="121"/>
    <x v="1"/>
    <x v="499"/>
    <x v="499"/>
    <x v="2"/>
    <x v="0"/>
    <x v="32"/>
    <x v="10"/>
    <x v="157"/>
    <x v="2"/>
    <x v="438"/>
    <x v="1"/>
    <x v="7"/>
    <x v="434"/>
    <x v="464"/>
    <x v="0"/>
    <x v="2"/>
    <x v="477"/>
  </r>
  <r>
    <x v="500"/>
    <x v="0"/>
    <x v="385"/>
    <x v="410"/>
    <x v="1"/>
    <x v="500"/>
    <x v="500"/>
    <x v="1"/>
    <x v="0"/>
    <x v="153"/>
    <x v="17"/>
    <x v="195"/>
    <x v="0"/>
    <x v="189"/>
    <x v="1"/>
    <x v="8"/>
    <x v="190"/>
    <x v="465"/>
    <x v="6"/>
    <x v="0"/>
    <x v="478"/>
  </r>
  <r>
    <x v="501"/>
    <x v="1"/>
    <x v="157"/>
    <x v="411"/>
    <x v="1"/>
    <x v="501"/>
    <x v="501"/>
    <x v="1"/>
    <x v="0"/>
    <x v="189"/>
    <x v="5"/>
    <x v="235"/>
    <x v="2"/>
    <x v="439"/>
    <x v="1"/>
    <x v="8"/>
    <x v="435"/>
    <x v="466"/>
    <x v="2"/>
    <x v="2"/>
    <x v="479"/>
  </r>
  <r>
    <x v="502"/>
    <x v="0"/>
    <x v="386"/>
    <x v="412"/>
    <x v="0"/>
    <x v="502"/>
    <x v="502"/>
    <x v="0"/>
    <x v="0"/>
    <x v="190"/>
    <x v="4"/>
    <x v="236"/>
    <x v="1"/>
    <x v="440"/>
    <x v="2"/>
    <x v="10"/>
    <x v="436"/>
    <x v="467"/>
    <x v="6"/>
    <x v="2"/>
    <x v="480"/>
  </r>
  <r>
    <x v="503"/>
    <x v="0"/>
    <x v="387"/>
    <x v="413"/>
    <x v="2"/>
    <x v="503"/>
    <x v="503"/>
    <x v="2"/>
    <x v="0"/>
    <x v="91"/>
    <x v="10"/>
    <x v="112"/>
    <x v="2"/>
    <x v="441"/>
    <x v="0"/>
    <x v="0"/>
    <x v="437"/>
    <x v="468"/>
    <x v="3"/>
    <x v="4"/>
    <x v="481"/>
  </r>
  <r>
    <x v="504"/>
    <x v="0"/>
    <x v="388"/>
    <x v="414"/>
    <x v="1"/>
    <x v="504"/>
    <x v="504"/>
    <x v="1"/>
    <x v="0"/>
    <x v="1"/>
    <x v="1"/>
    <x v="144"/>
    <x v="1"/>
    <x v="441"/>
    <x v="0"/>
    <x v="0"/>
    <x v="437"/>
    <x v="469"/>
    <x v="0"/>
    <x v="10"/>
    <x v="482"/>
  </r>
  <r>
    <x v="505"/>
    <x v="0"/>
    <x v="128"/>
    <x v="392"/>
    <x v="1"/>
    <x v="505"/>
    <x v="505"/>
    <x v="0"/>
    <x v="0"/>
    <x v="191"/>
    <x v="4"/>
    <x v="237"/>
    <x v="1"/>
    <x v="442"/>
    <x v="0"/>
    <x v="3"/>
    <x v="438"/>
    <x v="470"/>
    <x v="0"/>
    <x v="0"/>
    <x v="483"/>
  </r>
  <r>
    <x v="506"/>
    <x v="0"/>
    <x v="389"/>
    <x v="168"/>
    <x v="1"/>
    <x v="506"/>
    <x v="506"/>
    <x v="0"/>
    <x v="0"/>
    <x v="1"/>
    <x v="1"/>
    <x v="13"/>
    <x v="1"/>
    <x v="409"/>
    <x v="2"/>
    <x v="10"/>
    <x v="408"/>
    <x v="471"/>
    <x v="1"/>
    <x v="2"/>
    <x v="484"/>
  </r>
  <r>
    <x v="507"/>
    <x v="0"/>
    <x v="390"/>
    <x v="12"/>
    <x v="1"/>
    <x v="507"/>
    <x v="507"/>
    <x v="0"/>
    <x v="0"/>
    <x v="192"/>
    <x v="27"/>
    <x v="238"/>
    <x v="0"/>
    <x v="443"/>
    <x v="0"/>
    <x v="9"/>
    <x v="439"/>
    <x v="472"/>
    <x v="4"/>
    <x v="0"/>
    <x v="485"/>
  </r>
  <r>
    <x v="508"/>
    <x v="0"/>
    <x v="391"/>
    <x v="415"/>
    <x v="1"/>
    <x v="508"/>
    <x v="508"/>
    <x v="0"/>
    <x v="0"/>
    <x v="193"/>
    <x v="20"/>
    <x v="239"/>
    <x v="1"/>
    <x v="334"/>
    <x v="1"/>
    <x v="4"/>
    <x v="334"/>
    <x v="4"/>
    <x v="3"/>
    <x v="2"/>
    <x v="4"/>
  </r>
  <r>
    <x v="509"/>
    <x v="0"/>
    <x v="392"/>
    <x v="189"/>
    <x v="1"/>
    <x v="509"/>
    <x v="509"/>
    <x v="0"/>
    <x v="0"/>
    <x v="194"/>
    <x v="37"/>
    <x v="240"/>
    <x v="3"/>
    <x v="444"/>
    <x v="1"/>
    <x v="4"/>
    <x v="440"/>
    <x v="473"/>
    <x v="3"/>
    <x v="0"/>
    <x v="486"/>
  </r>
  <r>
    <x v="510"/>
    <x v="1"/>
    <x v="371"/>
    <x v="239"/>
    <x v="1"/>
    <x v="510"/>
    <x v="510"/>
    <x v="1"/>
    <x v="0"/>
    <x v="195"/>
    <x v="10"/>
    <x v="241"/>
    <x v="2"/>
    <x v="445"/>
    <x v="1"/>
    <x v="13"/>
    <x v="193"/>
    <x v="474"/>
    <x v="0"/>
    <x v="2"/>
    <x v="487"/>
  </r>
  <r>
    <x v="511"/>
    <x v="0"/>
    <x v="393"/>
    <x v="416"/>
    <x v="3"/>
    <x v="511"/>
    <x v="511"/>
    <x v="1"/>
    <x v="0"/>
    <x v="8"/>
    <x v="1"/>
    <x v="89"/>
    <x v="1"/>
    <x v="446"/>
    <x v="1"/>
    <x v="4"/>
    <x v="441"/>
    <x v="475"/>
    <x v="0"/>
    <x v="0"/>
    <x v="488"/>
  </r>
  <r>
    <x v="512"/>
    <x v="1"/>
    <x v="394"/>
    <x v="320"/>
    <x v="2"/>
    <x v="512"/>
    <x v="512"/>
    <x v="0"/>
    <x v="0"/>
    <x v="4"/>
    <x v="4"/>
    <x v="56"/>
    <x v="1"/>
    <x v="38"/>
    <x v="1"/>
    <x v="7"/>
    <x v="38"/>
    <x v="476"/>
    <x v="4"/>
    <x v="0"/>
    <x v="489"/>
  </r>
  <r>
    <x v="513"/>
    <x v="0"/>
    <x v="395"/>
    <x v="332"/>
    <x v="1"/>
    <x v="513"/>
    <x v="513"/>
    <x v="0"/>
    <x v="0"/>
    <x v="1"/>
    <x v="1"/>
    <x v="59"/>
    <x v="1"/>
    <x v="447"/>
    <x v="2"/>
    <x v="10"/>
    <x v="442"/>
    <x v="477"/>
    <x v="3"/>
    <x v="2"/>
    <x v="490"/>
  </r>
  <r>
    <x v="514"/>
    <x v="0"/>
    <x v="372"/>
    <x v="417"/>
    <x v="1"/>
    <x v="514"/>
    <x v="514"/>
    <x v="0"/>
    <x v="0"/>
    <x v="4"/>
    <x v="4"/>
    <x v="57"/>
    <x v="1"/>
    <x v="448"/>
    <x v="1"/>
    <x v="5"/>
    <x v="443"/>
    <x v="478"/>
    <x v="3"/>
    <x v="2"/>
    <x v="491"/>
  </r>
  <r>
    <x v="515"/>
    <x v="0"/>
    <x v="306"/>
    <x v="357"/>
    <x v="0"/>
    <x v="515"/>
    <x v="515"/>
    <x v="0"/>
    <x v="0"/>
    <x v="59"/>
    <x v="5"/>
    <x v="149"/>
    <x v="2"/>
    <x v="198"/>
    <x v="1"/>
    <x v="7"/>
    <x v="199"/>
    <x v="479"/>
    <x v="1"/>
    <x v="2"/>
    <x v="492"/>
  </r>
  <r>
    <x v="516"/>
    <x v="0"/>
    <x v="396"/>
    <x v="418"/>
    <x v="2"/>
    <x v="516"/>
    <x v="516"/>
    <x v="1"/>
    <x v="0"/>
    <x v="196"/>
    <x v="32"/>
    <x v="242"/>
    <x v="1"/>
    <x v="449"/>
    <x v="2"/>
    <x v="12"/>
    <x v="444"/>
    <x v="480"/>
    <x v="0"/>
    <x v="0"/>
    <x v="493"/>
  </r>
  <r>
    <x v="517"/>
    <x v="0"/>
    <x v="397"/>
    <x v="419"/>
    <x v="2"/>
    <x v="517"/>
    <x v="517"/>
    <x v="0"/>
    <x v="0"/>
    <x v="197"/>
    <x v="17"/>
    <x v="243"/>
    <x v="0"/>
    <x v="450"/>
    <x v="1"/>
    <x v="1"/>
    <x v="445"/>
    <x v="481"/>
    <x v="0"/>
    <x v="0"/>
    <x v="494"/>
  </r>
  <r>
    <x v="518"/>
    <x v="0"/>
    <x v="398"/>
    <x v="420"/>
    <x v="1"/>
    <x v="518"/>
    <x v="518"/>
    <x v="0"/>
    <x v="0"/>
    <x v="8"/>
    <x v="1"/>
    <x v="89"/>
    <x v="1"/>
    <x v="25"/>
    <x v="1"/>
    <x v="7"/>
    <x v="25"/>
    <x v="482"/>
    <x v="3"/>
    <x v="0"/>
    <x v="495"/>
  </r>
  <r>
    <x v="519"/>
    <x v="1"/>
    <x v="267"/>
    <x v="137"/>
    <x v="0"/>
    <x v="519"/>
    <x v="519"/>
    <x v="0"/>
    <x v="0"/>
    <x v="1"/>
    <x v="1"/>
    <x v="144"/>
    <x v="1"/>
    <x v="451"/>
    <x v="1"/>
    <x v="4"/>
    <x v="446"/>
    <x v="483"/>
    <x v="8"/>
    <x v="0"/>
    <x v="496"/>
  </r>
  <r>
    <x v="520"/>
    <x v="0"/>
    <x v="33"/>
    <x v="144"/>
    <x v="1"/>
    <x v="520"/>
    <x v="520"/>
    <x v="0"/>
    <x v="0"/>
    <x v="198"/>
    <x v="14"/>
    <x v="244"/>
    <x v="2"/>
    <x v="452"/>
    <x v="1"/>
    <x v="4"/>
    <x v="447"/>
    <x v="484"/>
    <x v="1"/>
    <x v="0"/>
    <x v="497"/>
  </r>
  <r>
    <x v="521"/>
    <x v="1"/>
    <x v="399"/>
    <x v="421"/>
    <x v="1"/>
    <x v="521"/>
    <x v="521"/>
    <x v="0"/>
    <x v="0"/>
    <x v="36"/>
    <x v="23"/>
    <x v="44"/>
    <x v="3"/>
    <x v="453"/>
    <x v="0"/>
    <x v="3"/>
    <x v="448"/>
    <x v="485"/>
    <x v="1"/>
    <x v="2"/>
    <x v="498"/>
  </r>
  <r>
    <x v="522"/>
    <x v="0"/>
    <x v="400"/>
    <x v="401"/>
    <x v="1"/>
    <x v="522"/>
    <x v="522"/>
    <x v="2"/>
    <x v="0"/>
    <x v="68"/>
    <x v="1"/>
    <x v="84"/>
    <x v="1"/>
    <x v="454"/>
    <x v="1"/>
    <x v="13"/>
    <x v="193"/>
    <x v="383"/>
    <x v="1"/>
    <x v="0"/>
    <x v="499"/>
  </r>
  <r>
    <x v="523"/>
    <x v="0"/>
    <x v="372"/>
    <x v="122"/>
    <x v="1"/>
    <x v="523"/>
    <x v="523"/>
    <x v="0"/>
    <x v="0"/>
    <x v="8"/>
    <x v="1"/>
    <x v="32"/>
    <x v="1"/>
    <x v="455"/>
    <x v="1"/>
    <x v="1"/>
    <x v="449"/>
    <x v="486"/>
    <x v="4"/>
    <x v="0"/>
    <x v="500"/>
  </r>
  <r>
    <x v="524"/>
    <x v="1"/>
    <x v="401"/>
    <x v="422"/>
    <x v="0"/>
    <x v="524"/>
    <x v="524"/>
    <x v="1"/>
    <x v="0"/>
    <x v="63"/>
    <x v="23"/>
    <x v="79"/>
    <x v="3"/>
    <x v="456"/>
    <x v="0"/>
    <x v="2"/>
    <x v="450"/>
    <x v="487"/>
    <x v="1"/>
    <x v="7"/>
    <x v="501"/>
  </r>
  <r>
    <x v="525"/>
    <x v="0"/>
    <x v="118"/>
    <x v="117"/>
    <x v="1"/>
    <x v="525"/>
    <x v="525"/>
    <x v="2"/>
    <x v="0"/>
    <x v="68"/>
    <x v="1"/>
    <x v="84"/>
    <x v="1"/>
    <x v="457"/>
    <x v="1"/>
    <x v="1"/>
    <x v="451"/>
    <x v="488"/>
    <x v="7"/>
    <x v="0"/>
    <x v="502"/>
  </r>
  <r>
    <x v="526"/>
    <x v="1"/>
    <x v="402"/>
    <x v="423"/>
    <x v="1"/>
    <x v="526"/>
    <x v="526"/>
    <x v="2"/>
    <x v="0"/>
    <x v="12"/>
    <x v="5"/>
    <x v="14"/>
    <x v="2"/>
    <x v="311"/>
    <x v="1"/>
    <x v="4"/>
    <x v="311"/>
    <x v="260"/>
    <x v="0"/>
    <x v="2"/>
    <x v="265"/>
  </r>
  <r>
    <x v="527"/>
    <x v="0"/>
    <x v="275"/>
    <x v="111"/>
    <x v="2"/>
    <x v="527"/>
    <x v="527"/>
    <x v="0"/>
    <x v="0"/>
    <x v="158"/>
    <x v="1"/>
    <x v="200"/>
    <x v="1"/>
    <x v="124"/>
    <x v="0"/>
    <x v="3"/>
    <x v="125"/>
    <x v="489"/>
    <x v="0"/>
    <x v="0"/>
    <x v="503"/>
  </r>
  <r>
    <x v="528"/>
    <x v="0"/>
    <x v="403"/>
    <x v="424"/>
    <x v="1"/>
    <x v="528"/>
    <x v="528"/>
    <x v="0"/>
    <x v="0"/>
    <x v="12"/>
    <x v="5"/>
    <x v="14"/>
    <x v="2"/>
    <x v="449"/>
    <x v="2"/>
    <x v="12"/>
    <x v="444"/>
    <x v="490"/>
    <x v="0"/>
    <x v="2"/>
    <x v="504"/>
  </r>
  <r>
    <x v="529"/>
    <x v="0"/>
    <x v="404"/>
    <x v="425"/>
    <x v="1"/>
    <x v="529"/>
    <x v="529"/>
    <x v="2"/>
    <x v="0"/>
    <x v="197"/>
    <x v="17"/>
    <x v="243"/>
    <x v="0"/>
    <x v="458"/>
    <x v="1"/>
    <x v="15"/>
    <x v="452"/>
    <x v="491"/>
    <x v="0"/>
    <x v="0"/>
    <x v="505"/>
  </r>
  <r>
    <x v="530"/>
    <x v="1"/>
    <x v="405"/>
    <x v="426"/>
    <x v="1"/>
    <x v="530"/>
    <x v="530"/>
    <x v="0"/>
    <x v="0"/>
    <x v="199"/>
    <x v="3"/>
    <x v="245"/>
    <x v="0"/>
    <x v="23"/>
    <x v="1"/>
    <x v="5"/>
    <x v="23"/>
    <x v="492"/>
    <x v="6"/>
    <x v="6"/>
    <x v="506"/>
  </r>
  <r>
    <x v="531"/>
    <x v="0"/>
    <x v="406"/>
    <x v="264"/>
    <x v="1"/>
    <x v="531"/>
    <x v="531"/>
    <x v="1"/>
    <x v="0"/>
    <x v="143"/>
    <x v="6"/>
    <x v="180"/>
    <x v="2"/>
    <x v="446"/>
    <x v="1"/>
    <x v="4"/>
    <x v="441"/>
    <x v="493"/>
    <x v="6"/>
    <x v="0"/>
    <x v="507"/>
  </r>
  <r>
    <x v="532"/>
    <x v="0"/>
    <x v="407"/>
    <x v="427"/>
    <x v="1"/>
    <x v="532"/>
    <x v="532"/>
    <x v="1"/>
    <x v="0"/>
    <x v="200"/>
    <x v="6"/>
    <x v="246"/>
    <x v="2"/>
    <x v="459"/>
    <x v="2"/>
    <x v="10"/>
    <x v="453"/>
    <x v="494"/>
    <x v="3"/>
    <x v="0"/>
    <x v="508"/>
  </r>
  <r>
    <x v="533"/>
    <x v="0"/>
    <x v="408"/>
    <x v="428"/>
    <x v="1"/>
    <x v="533"/>
    <x v="533"/>
    <x v="1"/>
    <x v="0"/>
    <x v="12"/>
    <x v="5"/>
    <x v="16"/>
    <x v="2"/>
    <x v="460"/>
    <x v="1"/>
    <x v="7"/>
    <x v="454"/>
    <x v="495"/>
    <x v="0"/>
    <x v="2"/>
    <x v="509"/>
  </r>
  <r>
    <x v="534"/>
    <x v="0"/>
    <x v="61"/>
    <x v="149"/>
    <x v="1"/>
    <x v="534"/>
    <x v="534"/>
    <x v="2"/>
    <x v="0"/>
    <x v="201"/>
    <x v="38"/>
    <x v="247"/>
    <x v="2"/>
    <x v="378"/>
    <x v="1"/>
    <x v="8"/>
    <x v="377"/>
    <x v="496"/>
    <x v="3"/>
    <x v="0"/>
    <x v="510"/>
  </r>
  <r>
    <x v="535"/>
    <x v="0"/>
    <x v="409"/>
    <x v="429"/>
    <x v="0"/>
    <x v="535"/>
    <x v="535"/>
    <x v="0"/>
    <x v="0"/>
    <x v="59"/>
    <x v="5"/>
    <x v="158"/>
    <x v="2"/>
    <x v="97"/>
    <x v="1"/>
    <x v="13"/>
    <x v="98"/>
    <x v="497"/>
    <x v="6"/>
    <x v="2"/>
    <x v="511"/>
  </r>
  <r>
    <x v="536"/>
    <x v="0"/>
    <x v="410"/>
    <x v="430"/>
    <x v="2"/>
    <x v="536"/>
    <x v="536"/>
    <x v="1"/>
    <x v="0"/>
    <x v="202"/>
    <x v="25"/>
    <x v="248"/>
    <x v="2"/>
    <x v="461"/>
    <x v="2"/>
    <x v="10"/>
    <x v="455"/>
    <x v="498"/>
    <x v="2"/>
    <x v="0"/>
    <x v="512"/>
  </r>
  <r>
    <x v="537"/>
    <x v="1"/>
    <x v="196"/>
    <x v="431"/>
    <x v="1"/>
    <x v="537"/>
    <x v="537"/>
    <x v="0"/>
    <x v="0"/>
    <x v="44"/>
    <x v="23"/>
    <x v="52"/>
    <x v="3"/>
    <x v="462"/>
    <x v="0"/>
    <x v="3"/>
    <x v="456"/>
    <x v="499"/>
    <x v="1"/>
    <x v="2"/>
    <x v="513"/>
  </r>
  <r>
    <x v="538"/>
    <x v="1"/>
    <x v="411"/>
    <x v="432"/>
    <x v="1"/>
    <x v="538"/>
    <x v="538"/>
    <x v="0"/>
    <x v="0"/>
    <x v="22"/>
    <x v="10"/>
    <x v="34"/>
    <x v="2"/>
    <x v="463"/>
    <x v="1"/>
    <x v="6"/>
    <x v="457"/>
    <x v="500"/>
    <x v="0"/>
    <x v="3"/>
    <x v="514"/>
  </r>
  <r>
    <x v="539"/>
    <x v="0"/>
    <x v="412"/>
    <x v="433"/>
    <x v="0"/>
    <x v="539"/>
    <x v="539"/>
    <x v="2"/>
    <x v="0"/>
    <x v="203"/>
    <x v="3"/>
    <x v="249"/>
    <x v="0"/>
    <x v="464"/>
    <x v="2"/>
    <x v="10"/>
    <x v="458"/>
    <x v="501"/>
    <x v="3"/>
    <x v="2"/>
    <x v="515"/>
  </r>
  <r>
    <x v="540"/>
    <x v="1"/>
    <x v="413"/>
    <x v="434"/>
    <x v="0"/>
    <x v="540"/>
    <x v="540"/>
    <x v="1"/>
    <x v="0"/>
    <x v="204"/>
    <x v="31"/>
    <x v="250"/>
    <x v="0"/>
    <x v="465"/>
    <x v="1"/>
    <x v="4"/>
    <x v="459"/>
    <x v="399"/>
    <x v="4"/>
    <x v="0"/>
    <x v="409"/>
  </r>
  <r>
    <x v="541"/>
    <x v="0"/>
    <x v="414"/>
    <x v="86"/>
    <x v="1"/>
    <x v="541"/>
    <x v="541"/>
    <x v="1"/>
    <x v="0"/>
    <x v="33"/>
    <x v="3"/>
    <x v="40"/>
    <x v="0"/>
    <x v="1"/>
    <x v="1"/>
    <x v="1"/>
    <x v="1"/>
    <x v="502"/>
    <x v="3"/>
    <x v="2"/>
    <x v="516"/>
  </r>
  <r>
    <x v="542"/>
    <x v="0"/>
    <x v="415"/>
    <x v="435"/>
    <x v="1"/>
    <x v="542"/>
    <x v="542"/>
    <x v="1"/>
    <x v="0"/>
    <x v="205"/>
    <x v="0"/>
    <x v="251"/>
    <x v="0"/>
    <x v="466"/>
    <x v="0"/>
    <x v="9"/>
    <x v="460"/>
    <x v="503"/>
    <x v="8"/>
    <x v="0"/>
    <x v="517"/>
  </r>
  <r>
    <x v="543"/>
    <x v="1"/>
    <x v="416"/>
    <x v="436"/>
    <x v="1"/>
    <x v="543"/>
    <x v="543"/>
    <x v="0"/>
    <x v="0"/>
    <x v="4"/>
    <x v="4"/>
    <x v="57"/>
    <x v="1"/>
    <x v="467"/>
    <x v="2"/>
    <x v="12"/>
    <x v="461"/>
    <x v="504"/>
    <x v="3"/>
    <x v="0"/>
    <x v="518"/>
  </r>
  <r>
    <x v="544"/>
    <x v="1"/>
    <x v="60"/>
    <x v="437"/>
    <x v="1"/>
    <x v="544"/>
    <x v="544"/>
    <x v="1"/>
    <x v="0"/>
    <x v="32"/>
    <x v="21"/>
    <x v="39"/>
    <x v="1"/>
    <x v="468"/>
    <x v="0"/>
    <x v="2"/>
    <x v="462"/>
    <x v="505"/>
    <x v="1"/>
    <x v="5"/>
    <x v="519"/>
  </r>
  <r>
    <x v="545"/>
    <x v="0"/>
    <x v="417"/>
    <x v="438"/>
    <x v="1"/>
    <x v="545"/>
    <x v="545"/>
    <x v="1"/>
    <x v="0"/>
    <x v="8"/>
    <x v="1"/>
    <x v="32"/>
    <x v="1"/>
    <x v="469"/>
    <x v="1"/>
    <x v="8"/>
    <x v="463"/>
    <x v="506"/>
    <x v="1"/>
    <x v="0"/>
    <x v="520"/>
  </r>
  <r>
    <x v="546"/>
    <x v="0"/>
    <x v="418"/>
    <x v="439"/>
    <x v="1"/>
    <x v="546"/>
    <x v="546"/>
    <x v="0"/>
    <x v="0"/>
    <x v="206"/>
    <x v="4"/>
    <x v="252"/>
    <x v="1"/>
    <x v="470"/>
    <x v="0"/>
    <x v="2"/>
    <x v="464"/>
    <x v="220"/>
    <x v="8"/>
    <x v="0"/>
    <x v="521"/>
  </r>
  <r>
    <x v="547"/>
    <x v="0"/>
    <x v="419"/>
    <x v="440"/>
    <x v="1"/>
    <x v="547"/>
    <x v="547"/>
    <x v="0"/>
    <x v="0"/>
    <x v="50"/>
    <x v="5"/>
    <x v="62"/>
    <x v="2"/>
    <x v="197"/>
    <x v="2"/>
    <x v="10"/>
    <x v="198"/>
    <x v="219"/>
    <x v="3"/>
    <x v="2"/>
    <x v="522"/>
  </r>
  <r>
    <x v="548"/>
    <x v="1"/>
    <x v="420"/>
    <x v="206"/>
    <x v="2"/>
    <x v="548"/>
    <x v="548"/>
    <x v="0"/>
    <x v="0"/>
    <x v="207"/>
    <x v="17"/>
    <x v="253"/>
    <x v="0"/>
    <x v="471"/>
    <x v="1"/>
    <x v="8"/>
    <x v="465"/>
    <x v="507"/>
    <x v="3"/>
    <x v="0"/>
    <x v="523"/>
  </r>
  <r>
    <x v="549"/>
    <x v="0"/>
    <x v="421"/>
    <x v="252"/>
    <x v="2"/>
    <x v="549"/>
    <x v="549"/>
    <x v="0"/>
    <x v="0"/>
    <x v="29"/>
    <x v="11"/>
    <x v="36"/>
    <x v="2"/>
    <x v="472"/>
    <x v="1"/>
    <x v="5"/>
    <x v="466"/>
    <x v="508"/>
    <x v="0"/>
    <x v="0"/>
    <x v="524"/>
  </r>
  <r>
    <x v="550"/>
    <x v="0"/>
    <x v="183"/>
    <x v="165"/>
    <x v="2"/>
    <x v="550"/>
    <x v="550"/>
    <x v="1"/>
    <x v="0"/>
    <x v="198"/>
    <x v="14"/>
    <x v="244"/>
    <x v="2"/>
    <x v="178"/>
    <x v="1"/>
    <x v="7"/>
    <x v="179"/>
    <x v="509"/>
    <x v="7"/>
    <x v="0"/>
    <x v="525"/>
  </r>
  <r>
    <x v="551"/>
    <x v="0"/>
    <x v="422"/>
    <x v="441"/>
    <x v="1"/>
    <x v="551"/>
    <x v="551"/>
    <x v="0"/>
    <x v="0"/>
    <x v="134"/>
    <x v="15"/>
    <x v="169"/>
    <x v="3"/>
    <x v="473"/>
    <x v="0"/>
    <x v="3"/>
    <x v="467"/>
    <x v="510"/>
    <x v="0"/>
    <x v="0"/>
    <x v="526"/>
  </r>
  <r>
    <x v="552"/>
    <x v="0"/>
    <x v="423"/>
    <x v="442"/>
    <x v="2"/>
    <x v="552"/>
    <x v="552"/>
    <x v="0"/>
    <x v="0"/>
    <x v="160"/>
    <x v="31"/>
    <x v="202"/>
    <x v="0"/>
    <x v="253"/>
    <x v="2"/>
    <x v="12"/>
    <x v="254"/>
    <x v="511"/>
    <x v="1"/>
    <x v="0"/>
    <x v="527"/>
  </r>
  <r>
    <x v="553"/>
    <x v="1"/>
    <x v="424"/>
    <x v="443"/>
    <x v="2"/>
    <x v="553"/>
    <x v="553"/>
    <x v="1"/>
    <x v="0"/>
    <x v="208"/>
    <x v="15"/>
    <x v="254"/>
    <x v="3"/>
    <x v="474"/>
    <x v="1"/>
    <x v="5"/>
    <x v="468"/>
    <x v="512"/>
    <x v="1"/>
    <x v="2"/>
    <x v="528"/>
  </r>
  <r>
    <x v="554"/>
    <x v="0"/>
    <x v="425"/>
    <x v="444"/>
    <x v="0"/>
    <x v="554"/>
    <x v="554"/>
    <x v="1"/>
    <x v="0"/>
    <x v="76"/>
    <x v="5"/>
    <x v="255"/>
    <x v="2"/>
    <x v="475"/>
    <x v="2"/>
    <x v="10"/>
    <x v="469"/>
    <x v="513"/>
    <x v="5"/>
    <x v="2"/>
    <x v="529"/>
  </r>
  <r>
    <x v="555"/>
    <x v="0"/>
    <x v="425"/>
    <x v="247"/>
    <x v="1"/>
    <x v="555"/>
    <x v="555"/>
    <x v="0"/>
    <x v="0"/>
    <x v="209"/>
    <x v="21"/>
    <x v="256"/>
    <x v="1"/>
    <x v="476"/>
    <x v="1"/>
    <x v="5"/>
    <x v="470"/>
    <x v="514"/>
    <x v="0"/>
    <x v="6"/>
    <x v="530"/>
  </r>
  <r>
    <x v="556"/>
    <x v="0"/>
    <x v="281"/>
    <x v="296"/>
    <x v="1"/>
    <x v="556"/>
    <x v="556"/>
    <x v="1"/>
    <x v="0"/>
    <x v="20"/>
    <x v="15"/>
    <x v="29"/>
    <x v="3"/>
    <x v="312"/>
    <x v="1"/>
    <x v="8"/>
    <x v="312"/>
    <x v="515"/>
    <x v="0"/>
    <x v="0"/>
    <x v="531"/>
  </r>
  <r>
    <x v="557"/>
    <x v="0"/>
    <x v="426"/>
    <x v="445"/>
    <x v="1"/>
    <x v="557"/>
    <x v="557"/>
    <x v="0"/>
    <x v="0"/>
    <x v="22"/>
    <x v="10"/>
    <x v="26"/>
    <x v="2"/>
    <x v="477"/>
    <x v="1"/>
    <x v="5"/>
    <x v="471"/>
    <x v="516"/>
    <x v="6"/>
    <x v="3"/>
    <x v="532"/>
  </r>
  <r>
    <x v="558"/>
    <x v="0"/>
    <x v="427"/>
    <x v="446"/>
    <x v="2"/>
    <x v="558"/>
    <x v="558"/>
    <x v="0"/>
    <x v="0"/>
    <x v="36"/>
    <x v="23"/>
    <x v="44"/>
    <x v="3"/>
    <x v="478"/>
    <x v="2"/>
    <x v="16"/>
    <x v="472"/>
    <x v="517"/>
    <x v="6"/>
    <x v="7"/>
    <x v="533"/>
  </r>
  <r>
    <x v="559"/>
    <x v="1"/>
    <x v="420"/>
    <x v="302"/>
    <x v="0"/>
    <x v="559"/>
    <x v="559"/>
    <x v="0"/>
    <x v="0"/>
    <x v="12"/>
    <x v="5"/>
    <x v="63"/>
    <x v="2"/>
    <x v="479"/>
    <x v="1"/>
    <x v="6"/>
    <x v="473"/>
    <x v="518"/>
    <x v="1"/>
    <x v="3"/>
    <x v="534"/>
  </r>
  <r>
    <x v="560"/>
    <x v="0"/>
    <x v="428"/>
    <x v="447"/>
    <x v="1"/>
    <x v="560"/>
    <x v="560"/>
    <x v="0"/>
    <x v="0"/>
    <x v="43"/>
    <x v="1"/>
    <x v="51"/>
    <x v="1"/>
    <x v="480"/>
    <x v="2"/>
    <x v="12"/>
    <x v="474"/>
    <x v="519"/>
    <x v="1"/>
    <x v="0"/>
    <x v="535"/>
  </r>
  <r>
    <x v="561"/>
    <x v="0"/>
    <x v="397"/>
    <x v="192"/>
    <x v="3"/>
    <x v="561"/>
    <x v="561"/>
    <x v="0"/>
    <x v="0"/>
    <x v="12"/>
    <x v="5"/>
    <x v="16"/>
    <x v="2"/>
    <x v="481"/>
    <x v="2"/>
    <x v="12"/>
    <x v="475"/>
    <x v="520"/>
    <x v="0"/>
    <x v="2"/>
    <x v="536"/>
  </r>
  <r>
    <x v="562"/>
    <x v="0"/>
    <x v="31"/>
    <x v="30"/>
    <x v="1"/>
    <x v="562"/>
    <x v="562"/>
    <x v="0"/>
    <x v="0"/>
    <x v="101"/>
    <x v="19"/>
    <x v="257"/>
    <x v="0"/>
    <x v="482"/>
    <x v="0"/>
    <x v="9"/>
    <x v="476"/>
    <x v="521"/>
    <x v="8"/>
    <x v="0"/>
    <x v="537"/>
  </r>
  <r>
    <x v="563"/>
    <x v="0"/>
    <x v="219"/>
    <x v="448"/>
    <x v="2"/>
    <x v="563"/>
    <x v="563"/>
    <x v="2"/>
    <x v="0"/>
    <x v="169"/>
    <x v="33"/>
    <x v="211"/>
    <x v="3"/>
    <x v="221"/>
    <x v="1"/>
    <x v="7"/>
    <x v="222"/>
    <x v="522"/>
    <x v="5"/>
    <x v="0"/>
    <x v="538"/>
  </r>
  <r>
    <x v="564"/>
    <x v="0"/>
    <x v="132"/>
    <x v="449"/>
    <x v="1"/>
    <x v="564"/>
    <x v="564"/>
    <x v="0"/>
    <x v="0"/>
    <x v="28"/>
    <x v="11"/>
    <x v="35"/>
    <x v="2"/>
    <x v="483"/>
    <x v="1"/>
    <x v="5"/>
    <x v="477"/>
    <x v="523"/>
    <x v="0"/>
    <x v="0"/>
    <x v="539"/>
  </r>
  <r>
    <x v="565"/>
    <x v="0"/>
    <x v="19"/>
    <x v="211"/>
    <x v="1"/>
    <x v="565"/>
    <x v="565"/>
    <x v="1"/>
    <x v="0"/>
    <x v="210"/>
    <x v="29"/>
    <x v="258"/>
    <x v="3"/>
    <x v="381"/>
    <x v="1"/>
    <x v="6"/>
    <x v="380"/>
    <x v="524"/>
    <x v="0"/>
    <x v="0"/>
    <x v="540"/>
  </r>
  <r>
    <x v="566"/>
    <x v="0"/>
    <x v="429"/>
    <x v="435"/>
    <x v="0"/>
    <x v="566"/>
    <x v="566"/>
    <x v="1"/>
    <x v="0"/>
    <x v="10"/>
    <x v="9"/>
    <x v="60"/>
    <x v="3"/>
    <x v="484"/>
    <x v="1"/>
    <x v="5"/>
    <x v="478"/>
    <x v="525"/>
    <x v="8"/>
    <x v="6"/>
    <x v="541"/>
  </r>
  <r>
    <x v="567"/>
    <x v="1"/>
    <x v="196"/>
    <x v="439"/>
    <x v="1"/>
    <x v="567"/>
    <x v="567"/>
    <x v="0"/>
    <x v="0"/>
    <x v="211"/>
    <x v="1"/>
    <x v="259"/>
    <x v="1"/>
    <x v="215"/>
    <x v="0"/>
    <x v="9"/>
    <x v="216"/>
    <x v="289"/>
    <x v="1"/>
    <x v="2"/>
    <x v="542"/>
  </r>
  <r>
    <x v="568"/>
    <x v="0"/>
    <x v="364"/>
    <x v="78"/>
    <x v="1"/>
    <x v="568"/>
    <x v="568"/>
    <x v="1"/>
    <x v="0"/>
    <x v="4"/>
    <x v="4"/>
    <x v="56"/>
    <x v="1"/>
    <x v="485"/>
    <x v="1"/>
    <x v="5"/>
    <x v="479"/>
    <x v="526"/>
    <x v="0"/>
    <x v="2"/>
    <x v="543"/>
  </r>
  <r>
    <x v="569"/>
    <x v="0"/>
    <x v="430"/>
    <x v="17"/>
    <x v="2"/>
    <x v="569"/>
    <x v="569"/>
    <x v="0"/>
    <x v="0"/>
    <x v="212"/>
    <x v="36"/>
    <x v="260"/>
    <x v="3"/>
    <x v="486"/>
    <x v="1"/>
    <x v="4"/>
    <x v="480"/>
    <x v="527"/>
    <x v="1"/>
    <x v="0"/>
    <x v="544"/>
  </r>
  <r>
    <x v="570"/>
    <x v="0"/>
    <x v="431"/>
    <x v="450"/>
    <x v="1"/>
    <x v="570"/>
    <x v="570"/>
    <x v="0"/>
    <x v="0"/>
    <x v="38"/>
    <x v="13"/>
    <x v="46"/>
    <x v="3"/>
    <x v="487"/>
    <x v="1"/>
    <x v="5"/>
    <x v="481"/>
    <x v="528"/>
    <x v="3"/>
    <x v="0"/>
    <x v="545"/>
  </r>
  <r>
    <x v="571"/>
    <x v="0"/>
    <x v="432"/>
    <x v="451"/>
    <x v="3"/>
    <x v="571"/>
    <x v="571"/>
    <x v="2"/>
    <x v="0"/>
    <x v="86"/>
    <x v="16"/>
    <x v="106"/>
    <x v="1"/>
    <x v="488"/>
    <x v="0"/>
    <x v="9"/>
    <x v="482"/>
    <x v="529"/>
    <x v="6"/>
    <x v="2"/>
    <x v="546"/>
  </r>
  <r>
    <x v="572"/>
    <x v="1"/>
    <x v="433"/>
    <x v="452"/>
    <x v="1"/>
    <x v="572"/>
    <x v="572"/>
    <x v="0"/>
    <x v="0"/>
    <x v="213"/>
    <x v="2"/>
    <x v="261"/>
    <x v="0"/>
    <x v="489"/>
    <x v="1"/>
    <x v="4"/>
    <x v="483"/>
    <x v="4"/>
    <x v="3"/>
    <x v="2"/>
    <x v="4"/>
  </r>
  <r>
    <x v="573"/>
    <x v="0"/>
    <x v="219"/>
    <x v="30"/>
    <x v="1"/>
    <x v="573"/>
    <x v="573"/>
    <x v="0"/>
    <x v="0"/>
    <x v="214"/>
    <x v="1"/>
    <x v="262"/>
    <x v="1"/>
    <x v="490"/>
    <x v="1"/>
    <x v="4"/>
    <x v="484"/>
    <x v="530"/>
    <x v="2"/>
    <x v="0"/>
    <x v="547"/>
  </r>
  <r>
    <x v="574"/>
    <x v="0"/>
    <x v="434"/>
    <x v="453"/>
    <x v="1"/>
    <x v="574"/>
    <x v="574"/>
    <x v="0"/>
    <x v="0"/>
    <x v="10"/>
    <x v="9"/>
    <x v="98"/>
    <x v="3"/>
    <x v="159"/>
    <x v="2"/>
    <x v="12"/>
    <x v="160"/>
    <x v="531"/>
    <x v="3"/>
    <x v="2"/>
    <x v="548"/>
  </r>
  <r>
    <x v="575"/>
    <x v="1"/>
    <x v="435"/>
    <x v="454"/>
    <x v="0"/>
    <x v="575"/>
    <x v="575"/>
    <x v="1"/>
    <x v="0"/>
    <x v="18"/>
    <x v="39"/>
    <x v="263"/>
    <x v="3"/>
    <x v="491"/>
    <x v="1"/>
    <x v="6"/>
    <x v="485"/>
    <x v="532"/>
    <x v="6"/>
    <x v="0"/>
    <x v="549"/>
  </r>
  <r>
    <x v="576"/>
    <x v="0"/>
    <x v="436"/>
    <x v="102"/>
    <x v="1"/>
    <x v="576"/>
    <x v="576"/>
    <x v="0"/>
    <x v="0"/>
    <x v="10"/>
    <x v="9"/>
    <x v="60"/>
    <x v="3"/>
    <x v="5"/>
    <x v="1"/>
    <x v="5"/>
    <x v="5"/>
    <x v="533"/>
    <x v="3"/>
    <x v="6"/>
    <x v="550"/>
  </r>
  <r>
    <x v="577"/>
    <x v="0"/>
    <x v="437"/>
    <x v="455"/>
    <x v="1"/>
    <x v="577"/>
    <x v="577"/>
    <x v="0"/>
    <x v="0"/>
    <x v="53"/>
    <x v="5"/>
    <x v="67"/>
    <x v="2"/>
    <x v="492"/>
    <x v="0"/>
    <x v="3"/>
    <x v="486"/>
    <x v="534"/>
    <x v="1"/>
    <x v="8"/>
    <x v="551"/>
  </r>
  <r>
    <x v="578"/>
    <x v="1"/>
    <x v="192"/>
    <x v="431"/>
    <x v="1"/>
    <x v="578"/>
    <x v="578"/>
    <x v="0"/>
    <x v="0"/>
    <x v="215"/>
    <x v="5"/>
    <x v="264"/>
    <x v="2"/>
    <x v="493"/>
    <x v="0"/>
    <x v="9"/>
    <x v="487"/>
    <x v="535"/>
    <x v="3"/>
    <x v="4"/>
    <x v="552"/>
  </r>
  <r>
    <x v="579"/>
    <x v="0"/>
    <x v="143"/>
    <x v="456"/>
    <x v="0"/>
    <x v="579"/>
    <x v="579"/>
    <x v="0"/>
    <x v="0"/>
    <x v="216"/>
    <x v="24"/>
    <x v="265"/>
    <x v="2"/>
    <x v="494"/>
    <x v="2"/>
    <x v="12"/>
    <x v="488"/>
    <x v="536"/>
    <x v="2"/>
    <x v="0"/>
    <x v="553"/>
  </r>
  <r>
    <x v="580"/>
    <x v="0"/>
    <x v="438"/>
    <x v="457"/>
    <x v="1"/>
    <x v="580"/>
    <x v="580"/>
    <x v="2"/>
    <x v="0"/>
    <x v="217"/>
    <x v="1"/>
    <x v="266"/>
    <x v="1"/>
    <x v="495"/>
    <x v="1"/>
    <x v="4"/>
    <x v="489"/>
    <x v="537"/>
    <x v="3"/>
    <x v="0"/>
    <x v="554"/>
  </r>
  <r>
    <x v="581"/>
    <x v="0"/>
    <x v="439"/>
    <x v="458"/>
    <x v="0"/>
    <x v="581"/>
    <x v="581"/>
    <x v="0"/>
    <x v="0"/>
    <x v="191"/>
    <x v="23"/>
    <x v="267"/>
    <x v="3"/>
    <x v="217"/>
    <x v="1"/>
    <x v="8"/>
    <x v="218"/>
    <x v="116"/>
    <x v="3"/>
    <x v="2"/>
    <x v="555"/>
  </r>
  <r>
    <x v="582"/>
    <x v="0"/>
    <x v="414"/>
    <x v="459"/>
    <x v="2"/>
    <x v="582"/>
    <x v="582"/>
    <x v="0"/>
    <x v="0"/>
    <x v="8"/>
    <x v="1"/>
    <x v="32"/>
    <x v="1"/>
    <x v="496"/>
    <x v="1"/>
    <x v="5"/>
    <x v="490"/>
    <x v="538"/>
    <x v="3"/>
    <x v="2"/>
    <x v="556"/>
  </r>
  <r>
    <x v="583"/>
    <x v="0"/>
    <x v="440"/>
    <x v="134"/>
    <x v="1"/>
    <x v="583"/>
    <x v="583"/>
    <x v="2"/>
    <x v="0"/>
    <x v="218"/>
    <x v="7"/>
    <x v="268"/>
    <x v="1"/>
    <x v="497"/>
    <x v="1"/>
    <x v="4"/>
    <x v="491"/>
    <x v="539"/>
    <x v="0"/>
    <x v="0"/>
    <x v="557"/>
  </r>
  <r>
    <x v="584"/>
    <x v="0"/>
    <x v="205"/>
    <x v="460"/>
    <x v="3"/>
    <x v="584"/>
    <x v="584"/>
    <x v="0"/>
    <x v="0"/>
    <x v="104"/>
    <x v="19"/>
    <x v="269"/>
    <x v="0"/>
    <x v="498"/>
    <x v="2"/>
    <x v="12"/>
    <x v="492"/>
    <x v="540"/>
    <x v="0"/>
    <x v="0"/>
    <x v="558"/>
  </r>
  <r>
    <x v="585"/>
    <x v="1"/>
    <x v="441"/>
    <x v="461"/>
    <x v="1"/>
    <x v="585"/>
    <x v="585"/>
    <x v="2"/>
    <x v="0"/>
    <x v="32"/>
    <x v="10"/>
    <x v="157"/>
    <x v="2"/>
    <x v="274"/>
    <x v="1"/>
    <x v="5"/>
    <x v="275"/>
    <x v="541"/>
    <x v="2"/>
    <x v="3"/>
    <x v="559"/>
  </r>
  <r>
    <x v="586"/>
    <x v="0"/>
    <x v="442"/>
    <x v="462"/>
    <x v="0"/>
    <x v="586"/>
    <x v="586"/>
    <x v="0"/>
    <x v="0"/>
    <x v="52"/>
    <x v="28"/>
    <x v="66"/>
    <x v="3"/>
    <x v="499"/>
    <x v="2"/>
    <x v="10"/>
    <x v="493"/>
    <x v="542"/>
    <x v="2"/>
    <x v="0"/>
    <x v="560"/>
  </r>
  <r>
    <x v="587"/>
    <x v="0"/>
    <x v="56"/>
    <x v="56"/>
    <x v="1"/>
    <x v="587"/>
    <x v="587"/>
    <x v="1"/>
    <x v="0"/>
    <x v="100"/>
    <x v="2"/>
    <x v="121"/>
    <x v="0"/>
    <x v="500"/>
    <x v="1"/>
    <x v="8"/>
    <x v="494"/>
    <x v="543"/>
    <x v="0"/>
    <x v="2"/>
    <x v="561"/>
  </r>
  <r>
    <x v="588"/>
    <x v="0"/>
    <x v="443"/>
    <x v="463"/>
    <x v="1"/>
    <x v="588"/>
    <x v="588"/>
    <x v="1"/>
    <x v="0"/>
    <x v="8"/>
    <x v="1"/>
    <x v="89"/>
    <x v="1"/>
    <x v="321"/>
    <x v="1"/>
    <x v="5"/>
    <x v="321"/>
    <x v="544"/>
    <x v="6"/>
    <x v="2"/>
    <x v="562"/>
  </r>
  <r>
    <x v="589"/>
    <x v="0"/>
    <x v="377"/>
    <x v="464"/>
    <x v="3"/>
    <x v="589"/>
    <x v="589"/>
    <x v="0"/>
    <x v="0"/>
    <x v="219"/>
    <x v="23"/>
    <x v="270"/>
    <x v="3"/>
    <x v="501"/>
    <x v="2"/>
    <x v="10"/>
    <x v="495"/>
    <x v="545"/>
    <x v="0"/>
    <x v="7"/>
    <x v="563"/>
  </r>
  <r>
    <x v="590"/>
    <x v="0"/>
    <x v="444"/>
    <x v="177"/>
    <x v="0"/>
    <x v="590"/>
    <x v="590"/>
    <x v="0"/>
    <x v="0"/>
    <x v="220"/>
    <x v="21"/>
    <x v="271"/>
    <x v="1"/>
    <x v="502"/>
    <x v="0"/>
    <x v="0"/>
    <x v="496"/>
    <x v="546"/>
    <x v="8"/>
    <x v="6"/>
    <x v="564"/>
  </r>
  <r>
    <x v="591"/>
    <x v="0"/>
    <x v="445"/>
    <x v="465"/>
    <x v="1"/>
    <x v="591"/>
    <x v="591"/>
    <x v="0"/>
    <x v="0"/>
    <x v="161"/>
    <x v="14"/>
    <x v="203"/>
    <x v="2"/>
    <x v="341"/>
    <x v="0"/>
    <x v="3"/>
    <x v="341"/>
    <x v="547"/>
    <x v="1"/>
    <x v="0"/>
    <x v="565"/>
  </r>
  <r>
    <x v="592"/>
    <x v="0"/>
    <x v="446"/>
    <x v="394"/>
    <x v="0"/>
    <x v="592"/>
    <x v="592"/>
    <x v="0"/>
    <x v="0"/>
    <x v="1"/>
    <x v="1"/>
    <x v="13"/>
    <x v="1"/>
    <x v="503"/>
    <x v="1"/>
    <x v="5"/>
    <x v="497"/>
    <x v="548"/>
    <x v="8"/>
    <x v="2"/>
    <x v="566"/>
  </r>
  <r>
    <x v="593"/>
    <x v="0"/>
    <x v="418"/>
    <x v="439"/>
    <x v="1"/>
    <x v="593"/>
    <x v="593"/>
    <x v="2"/>
    <x v="0"/>
    <x v="43"/>
    <x v="1"/>
    <x v="51"/>
    <x v="1"/>
    <x v="38"/>
    <x v="1"/>
    <x v="7"/>
    <x v="38"/>
    <x v="163"/>
    <x v="0"/>
    <x v="0"/>
    <x v="567"/>
  </r>
  <r>
    <x v="594"/>
    <x v="0"/>
    <x v="407"/>
    <x v="466"/>
    <x v="0"/>
    <x v="594"/>
    <x v="594"/>
    <x v="0"/>
    <x v="0"/>
    <x v="1"/>
    <x v="1"/>
    <x v="25"/>
    <x v="1"/>
    <x v="504"/>
    <x v="1"/>
    <x v="4"/>
    <x v="498"/>
    <x v="549"/>
    <x v="0"/>
    <x v="0"/>
    <x v="568"/>
  </r>
  <r>
    <x v="595"/>
    <x v="0"/>
    <x v="447"/>
    <x v="467"/>
    <x v="0"/>
    <x v="595"/>
    <x v="595"/>
    <x v="2"/>
    <x v="0"/>
    <x v="68"/>
    <x v="1"/>
    <x v="128"/>
    <x v="1"/>
    <x v="505"/>
    <x v="1"/>
    <x v="13"/>
    <x v="499"/>
    <x v="550"/>
    <x v="8"/>
    <x v="0"/>
    <x v="569"/>
  </r>
  <r>
    <x v="596"/>
    <x v="1"/>
    <x v="191"/>
    <x v="468"/>
    <x v="3"/>
    <x v="596"/>
    <x v="596"/>
    <x v="0"/>
    <x v="0"/>
    <x v="20"/>
    <x v="15"/>
    <x v="42"/>
    <x v="3"/>
    <x v="250"/>
    <x v="2"/>
    <x v="12"/>
    <x v="251"/>
    <x v="257"/>
    <x v="8"/>
    <x v="0"/>
    <x v="262"/>
  </r>
  <r>
    <x v="597"/>
    <x v="0"/>
    <x v="448"/>
    <x v="469"/>
    <x v="2"/>
    <x v="597"/>
    <x v="597"/>
    <x v="0"/>
    <x v="0"/>
    <x v="76"/>
    <x v="17"/>
    <x v="94"/>
    <x v="0"/>
    <x v="248"/>
    <x v="0"/>
    <x v="0"/>
    <x v="249"/>
    <x v="551"/>
    <x v="3"/>
    <x v="0"/>
    <x v="570"/>
  </r>
  <r>
    <x v="598"/>
    <x v="0"/>
    <x v="449"/>
    <x v="470"/>
    <x v="3"/>
    <x v="598"/>
    <x v="598"/>
    <x v="2"/>
    <x v="0"/>
    <x v="51"/>
    <x v="3"/>
    <x v="272"/>
    <x v="0"/>
    <x v="506"/>
    <x v="1"/>
    <x v="4"/>
    <x v="500"/>
    <x v="333"/>
    <x v="0"/>
    <x v="2"/>
    <x v="571"/>
  </r>
  <r>
    <x v="599"/>
    <x v="0"/>
    <x v="450"/>
    <x v="110"/>
    <x v="3"/>
    <x v="599"/>
    <x v="599"/>
    <x v="0"/>
    <x v="0"/>
    <x v="4"/>
    <x v="4"/>
    <x v="57"/>
    <x v="1"/>
    <x v="507"/>
    <x v="1"/>
    <x v="4"/>
    <x v="501"/>
    <x v="41"/>
    <x v="0"/>
    <x v="0"/>
    <x v="572"/>
  </r>
  <r>
    <x v="600"/>
    <x v="0"/>
    <x v="372"/>
    <x v="37"/>
    <x v="2"/>
    <x v="600"/>
    <x v="600"/>
    <x v="0"/>
    <x v="0"/>
    <x v="4"/>
    <x v="4"/>
    <x v="57"/>
    <x v="1"/>
    <x v="508"/>
    <x v="0"/>
    <x v="9"/>
    <x v="502"/>
    <x v="552"/>
    <x v="0"/>
    <x v="2"/>
    <x v="573"/>
  </r>
  <r>
    <x v="601"/>
    <x v="0"/>
    <x v="348"/>
    <x v="471"/>
    <x v="2"/>
    <x v="601"/>
    <x v="601"/>
    <x v="1"/>
    <x v="0"/>
    <x v="82"/>
    <x v="18"/>
    <x v="101"/>
    <x v="0"/>
    <x v="509"/>
    <x v="1"/>
    <x v="4"/>
    <x v="503"/>
    <x v="252"/>
    <x v="3"/>
    <x v="2"/>
    <x v="574"/>
  </r>
  <r>
    <x v="602"/>
    <x v="0"/>
    <x v="451"/>
    <x v="472"/>
    <x v="2"/>
    <x v="602"/>
    <x v="602"/>
    <x v="1"/>
    <x v="0"/>
    <x v="4"/>
    <x v="4"/>
    <x v="57"/>
    <x v="1"/>
    <x v="510"/>
    <x v="0"/>
    <x v="2"/>
    <x v="504"/>
    <x v="553"/>
    <x v="0"/>
    <x v="0"/>
    <x v="575"/>
  </r>
  <r>
    <x v="603"/>
    <x v="0"/>
    <x v="57"/>
    <x v="473"/>
    <x v="1"/>
    <x v="603"/>
    <x v="603"/>
    <x v="0"/>
    <x v="0"/>
    <x v="20"/>
    <x v="15"/>
    <x v="29"/>
    <x v="3"/>
    <x v="201"/>
    <x v="2"/>
    <x v="12"/>
    <x v="202"/>
    <x v="554"/>
    <x v="1"/>
    <x v="0"/>
    <x v="576"/>
  </r>
  <r>
    <x v="604"/>
    <x v="1"/>
    <x v="452"/>
    <x v="104"/>
    <x v="2"/>
    <x v="604"/>
    <x v="604"/>
    <x v="2"/>
    <x v="0"/>
    <x v="91"/>
    <x v="16"/>
    <x v="273"/>
    <x v="1"/>
    <x v="511"/>
    <x v="0"/>
    <x v="9"/>
    <x v="505"/>
    <x v="555"/>
    <x v="8"/>
    <x v="2"/>
    <x v="577"/>
  </r>
  <r>
    <x v="605"/>
    <x v="0"/>
    <x v="199"/>
    <x v="474"/>
    <x v="1"/>
    <x v="605"/>
    <x v="605"/>
    <x v="1"/>
    <x v="0"/>
    <x v="221"/>
    <x v="40"/>
    <x v="274"/>
    <x v="2"/>
    <x v="512"/>
    <x v="1"/>
    <x v="1"/>
    <x v="506"/>
    <x v="1"/>
    <x v="0"/>
    <x v="0"/>
    <x v="1"/>
  </r>
  <r>
    <x v="606"/>
    <x v="0"/>
    <x v="453"/>
    <x v="475"/>
    <x v="0"/>
    <x v="606"/>
    <x v="606"/>
    <x v="1"/>
    <x v="0"/>
    <x v="20"/>
    <x v="15"/>
    <x v="42"/>
    <x v="3"/>
    <x v="476"/>
    <x v="1"/>
    <x v="5"/>
    <x v="470"/>
    <x v="556"/>
    <x v="3"/>
    <x v="2"/>
    <x v="578"/>
  </r>
  <r>
    <x v="607"/>
    <x v="0"/>
    <x v="311"/>
    <x v="264"/>
    <x v="2"/>
    <x v="607"/>
    <x v="607"/>
    <x v="2"/>
    <x v="0"/>
    <x v="222"/>
    <x v="21"/>
    <x v="275"/>
    <x v="1"/>
    <x v="513"/>
    <x v="1"/>
    <x v="11"/>
    <x v="507"/>
    <x v="252"/>
    <x v="3"/>
    <x v="2"/>
    <x v="574"/>
  </r>
  <r>
    <x v="608"/>
    <x v="0"/>
    <x v="433"/>
    <x v="476"/>
    <x v="1"/>
    <x v="608"/>
    <x v="608"/>
    <x v="0"/>
    <x v="0"/>
    <x v="223"/>
    <x v="18"/>
    <x v="276"/>
    <x v="0"/>
    <x v="145"/>
    <x v="1"/>
    <x v="6"/>
    <x v="146"/>
    <x v="557"/>
    <x v="4"/>
    <x v="2"/>
    <x v="579"/>
  </r>
  <r>
    <x v="609"/>
    <x v="0"/>
    <x v="454"/>
    <x v="477"/>
    <x v="2"/>
    <x v="609"/>
    <x v="609"/>
    <x v="1"/>
    <x v="0"/>
    <x v="8"/>
    <x v="1"/>
    <x v="32"/>
    <x v="1"/>
    <x v="514"/>
    <x v="0"/>
    <x v="0"/>
    <x v="508"/>
    <x v="558"/>
    <x v="2"/>
    <x v="10"/>
    <x v="580"/>
  </r>
  <r>
    <x v="610"/>
    <x v="1"/>
    <x v="419"/>
    <x v="478"/>
    <x v="2"/>
    <x v="610"/>
    <x v="610"/>
    <x v="0"/>
    <x v="0"/>
    <x v="166"/>
    <x v="1"/>
    <x v="208"/>
    <x v="1"/>
    <x v="515"/>
    <x v="1"/>
    <x v="6"/>
    <x v="509"/>
    <x v="559"/>
    <x v="6"/>
    <x v="0"/>
    <x v="581"/>
  </r>
  <r>
    <x v="611"/>
    <x v="1"/>
    <x v="377"/>
    <x v="479"/>
    <x v="1"/>
    <x v="611"/>
    <x v="611"/>
    <x v="0"/>
    <x v="0"/>
    <x v="20"/>
    <x v="15"/>
    <x v="29"/>
    <x v="3"/>
    <x v="516"/>
    <x v="1"/>
    <x v="4"/>
    <x v="510"/>
    <x v="560"/>
    <x v="8"/>
    <x v="0"/>
    <x v="582"/>
  </r>
  <r>
    <x v="612"/>
    <x v="0"/>
    <x v="395"/>
    <x v="183"/>
    <x v="1"/>
    <x v="612"/>
    <x v="612"/>
    <x v="0"/>
    <x v="0"/>
    <x v="8"/>
    <x v="1"/>
    <x v="32"/>
    <x v="1"/>
    <x v="517"/>
    <x v="1"/>
    <x v="8"/>
    <x v="511"/>
    <x v="561"/>
    <x v="1"/>
    <x v="0"/>
    <x v="583"/>
  </r>
  <r>
    <x v="613"/>
    <x v="0"/>
    <x v="455"/>
    <x v="480"/>
    <x v="0"/>
    <x v="613"/>
    <x v="613"/>
    <x v="1"/>
    <x v="0"/>
    <x v="1"/>
    <x v="1"/>
    <x v="1"/>
    <x v="1"/>
    <x v="518"/>
    <x v="1"/>
    <x v="5"/>
    <x v="512"/>
    <x v="562"/>
    <x v="1"/>
    <x v="2"/>
    <x v="584"/>
  </r>
  <r>
    <x v="614"/>
    <x v="0"/>
    <x v="449"/>
    <x v="369"/>
    <x v="1"/>
    <x v="614"/>
    <x v="614"/>
    <x v="1"/>
    <x v="0"/>
    <x v="224"/>
    <x v="26"/>
    <x v="277"/>
    <x v="1"/>
    <x v="519"/>
    <x v="2"/>
    <x v="12"/>
    <x v="513"/>
    <x v="563"/>
    <x v="1"/>
    <x v="0"/>
    <x v="585"/>
  </r>
  <r>
    <x v="615"/>
    <x v="0"/>
    <x v="456"/>
    <x v="481"/>
    <x v="1"/>
    <x v="615"/>
    <x v="615"/>
    <x v="2"/>
    <x v="0"/>
    <x v="225"/>
    <x v="10"/>
    <x v="278"/>
    <x v="2"/>
    <x v="36"/>
    <x v="1"/>
    <x v="7"/>
    <x v="36"/>
    <x v="37"/>
    <x v="3"/>
    <x v="2"/>
    <x v="37"/>
  </r>
  <r>
    <x v="616"/>
    <x v="0"/>
    <x v="457"/>
    <x v="482"/>
    <x v="1"/>
    <x v="616"/>
    <x v="616"/>
    <x v="0"/>
    <x v="0"/>
    <x v="20"/>
    <x v="15"/>
    <x v="29"/>
    <x v="3"/>
    <x v="520"/>
    <x v="0"/>
    <x v="9"/>
    <x v="514"/>
    <x v="564"/>
    <x v="2"/>
    <x v="9"/>
    <x v="586"/>
  </r>
  <r>
    <x v="617"/>
    <x v="0"/>
    <x v="458"/>
    <x v="483"/>
    <x v="0"/>
    <x v="617"/>
    <x v="617"/>
    <x v="0"/>
    <x v="0"/>
    <x v="145"/>
    <x v="21"/>
    <x v="194"/>
    <x v="1"/>
    <x v="521"/>
    <x v="0"/>
    <x v="2"/>
    <x v="515"/>
    <x v="565"/>
    <x v="0"/>
    <x v="5"/>
    <x v="587"/>
  </r>
  <r>
    <x v="618"/>
    <x v="0"/>
    <x v="459"/>
    <x v="484"/>
    <x v="0"/>
    <x v="618"/>
    <x v="618"/>
    <x v="0"/>
    <x v="0"/>
    <x v="4"/>
    <x v="4"/>
    <x v="57"/>
    <x v="1"/>
    <x v="522"/>
    <x v="1"/>
    <x v="4"/>
    <x v="516"/>
    <x v="566"/>
    <x v="3"/>
    <x v="0"/>
    <x v="588"/>
  </r>
  <r>
    <x v="619"/>
    <x v="1"/>
    <x v="460"/>
    <x v="485"/>
    <x v="1"/>
    <x v="619"/>
    <x v="619"/>
    <x v="0"/>
    <x v="0"/>
    <x v="105"/>
    <x v="3"/>
    <x v="279"/>
    <x v="0"/>
    <x v="523"/>
    <x v="0"/>
    <x v="3"/>
    <x v="517"/>
    <x v="567"/>
    <x v="7"/>
    <x v="2"/>
    <x v="589"/>
  </r>
  <r>
    <x v="620"/>
    <x v="0"/>
    <x v="373"/>
    <x v="191"/>
    <x v="0"/>
    <x v="620"/>
    <x v="620"/>
    <x v="1"/>
    <x v="0"/>
    <x v="1"/>
    <x v="1"/>
    <x v="1"/>
    <x v="1"/>
    <x v="524"/>
    <x v="0"/>
    <x v="2"/>
    <x v="518"/>
    <x v="568"/>
    <x v="3"/>
    <x v="2"/>
    <x v="590"/>
  </r>
  <r>
    <x v="621"/>
    <x v="0"/>
    <x v="461"/>
    <x v="486"/>
    <x v="0"/>
    <x v="621"/>
    <x v="621"/>
    <x v="0"/>
    <x v="0"/>
    <x v="20"/>
    <x v="15"/>
    <x v="23"/>
    <x v="3"/>
    <x v="525"/>
    <x v="2"/>
    <x v="10"/>
    <x v="519"/>
    <x v="569"/>
    <x v="6"/>
    <x v="0"/>
    <x v="591"/>
  </r>
  <r>
    <x v="622"/>
    <x v="0"/>
    <x v="80"/>
    <x v="487"/>
    <x v="1"/>
    <x v="622"/>
    <x v="622"/>
    <x v="0"/>
    <x v="0"/>
    <x v="226"/>
    <x v="15"/>
    <x v="280"/>
    <x v="3"/>
    <x v="526"/>
    <x v="2"/>
    <x v="10"/>
    <x v="520"/>
    <x v="570"/>
    <x v="2"/>
    <x v="0"/>
    <x v="592"/>
  </r>
  <r>
    <x v="623"/>
    <x v="0"/>
    <x v="462"/>
    <x v="488"/>
    <x v="1"/>
    <x v="623"/>
    <x v="623"/>
    <x v="0"/>
    <x v="0"/>
    <x v="227"/>
    <x v="14"/>
    <x v="281"/>
    <x v="2"/>
    <x v="174"/>
    <x v="0"/>
    <x v="9"/>
    <x v="175"/>
    <x v="140"/>
    <x v="7"/>
    <x v="0"/>
    <x v="593"/>
  </r>
  <r>
    <x v="624"/>
    <x v="0"/>
    <x v="43"/>
    <x v="43"/>
    <x v="2"/>
    <x v="624"/>
    <x v="624"/>
    <x v="1"/>
    <x v="0"/>
    <x v="195"/>
    <x v="10"/>
    <x v="241"/>
    <x v="2"/>
    <x v="357"/>
    <x v="1"/>
    <x v="4"/>
    <x v="355"/>
    <x v="571"/>
    <x v="0"/>
    <x v="2"/>
    <x v="594"/>
  </r>
  <r>
    <x v="625"/>
    <x v="0"/>
    <x v="463"/>
    <x v="328"/>
    <x v="1"/>
    <x v="625"/>
    <x v="625"/>
    <x v="0"/>
    <x v="0"/>
    <x v="8"/>
    <x v="1"/>
    <x v="89"/>
    <x v="1"/>
    <x v="527"/>
    <x v="1"/>
    <x v="1"/>
    <x v="521"/>
    <x v="572"/>
    <x v="0"/>
    <x v="0"/>
    <x v="595"/>
  </r>
  <r>
    <x v="626"/>
    <x v="0"/>
    <x v="420"/>
    <x v="489"/>
    <x v="1"/>
    <x v="626"/>
    <x v="626"/>
    <x v="2"/>
    <x v="0"/>
    <x v="113"/>
    <x v="2"/>
    <x v="143"/>
    <x v="0"/>
    <x v="199"/>
    <x v="1"/>
    <x v="5"/>
    <x v="200"/>
    <x v="573"/>
    <x v="1"/>
    <x v="6"/>
    <x v="596"/>
  </r>
  <r>
    <x v="627"/>
    <x v="0"/>
    <x v="464"/>
    <x v="54"/>
    <x v="1"/>
    <x v="627"/>
    <x v="627"/>
    <x v="0"/>
    <x v="0"/>
    <x v="12"/>
    <x v="5"/>
    <x v="16"/>
    <x v="2"/>
    <x v="217"/>
    <x v="1"/>
    <x v="8"/>
    <x v="218"/>
    <x v="574"/>
    <x v="5"/>
    <x v="2"/>
    <x v="597"/>
  </r>
  <r>
    <x v="628"/>
    <x v="0"/>
    <x v="465"/>
    <x v="35"/>
    <x v="2"/>
    <x v="628"/>
    <x v="628"/>
    <x v="1"/>
    <x v="0"/>
    <x v="228"/>
    <x v="1"/>
    <x v="282"/>
    <x v="1"/>
    <x v="48"/>
    <x v="2"/>
    <x v="12"/>
    <x v="48"/>
    <x v="575"/>
    <x v="6"/>
    <x v="0"/>
    <x v="598"/>
  </r>
  <r>
    <x v="629"/>
    <x v="0"/>
    <x v="466"/>
    <x v="490"/>
    <x v="1"/>
    <x v="629"/>
    <x v="629"/>
    <x v="1"/>
    <x v="0"/>
    <x v="46"/>
    <x v="16"/>
    <x v="54"/>
    <x v="1"/>
    <x v="528"/>
    <x v="0"/>
    <x v="3"/>
    <x v="522"/>
    <x v="576"/>
    <x v="2"/>
    <x v="2"/>
    <x v="599"/>
  </r>
  <r>
    <x v="630"/>
    <x v="0"/>
    <x v="350"/>
    <x v="378"/>
    <x v="0"/>
    <x v="630"/>
    <x v="630"/>
    <x v="1"/>
    <x v="0"/>
    <x v="10"/>
    <x v="9"/>
    <x v="60"/>
    <x v="3"/>
    <x v="351"/>
    <x v="1"/>
    <x v="6"/>
    <x v="350"/>
    <x v="577"/>
    <x v="3"/>
    <x v="2"/>
    <x v="600"/>
  </r>
  <r>
    <x v="631"/>
    <x v="0"/>
    <x v="179"/>
    <x v="386"/>
    <x v="2"/>
    <x v="631"/>
    <x v="631"/>
    <x v="0"/>
    <x v="0"/>
    <x v="205"/>
    <x v="0"/>
    <x v="251"/>
    <x v="0"/>
    <x v="529"/>
    <x v="2"/>
    <x v="12"/>
    <x v="523"/>
    <x v="578"/>
    <x v="6"/>
    <x v="0"/>
    <x v="601"/>
  </r>
  <r>
    <x v="632"/>
    <x v="0"/>
    <x v="467"/>
    <x v="491"/>
    <x v="0"/>
    <x v="632"/>
    <x v="632"/>
    <x v="0"/>
    <x v="0"/>
    <x v="229"/>
    <x v="5"/>
    <x v="283"/>
    <x v="2"/>
    <x v="530"/>
    <x v="2"/>
    <x v="12"/>
    <x v="524"/>
    <x v="579"/>
    <x v="2"/>
    <x v="2"/>
    <x v="602"/>
  </r>
  <r>
    <x v="633"/>
    <x v="0"/>
    <x v="30"/>
    <x v="178"/>
    <x v="3"/>
    <x v="633"/>
    <x v="633"/>
    <x v="0"/>
    <x v="0"/>
    <x v="20"/>
    <x v="15"/>
    <x v="42"/>
    <x v="3"/>
    <x v="352"/>
    <x v="1"/>
    <x v="4"/>
    <x v="14"/>
    <x v="580"/>
    <x v="3"/>
    <x v="0"/>
    <x v="603"/>
  </r>
  <r>
    <x v="634"/>
    <x v="0"/>
    <x v="468"/>
    <x v="492"/>
    <x v="1"/>
    <x v="634"/>
    <x v="634"/>
    <x v="1"/>
    <x v="0"/>
    <x v="100"/>
    <x v="2"/>
    <x v="121"/>
    <x v="0"/>
    <x v="531"/>
    <x v="1"/>
    <x v="5"/>
    <x v="525"/>
    <x v="581"/>
    <x v="8"/>
    <x v="6"/>
    <x v="604"/>
  </r>
  <r>
    <x v="635"/>
    <x v="0"/>
    <x v="208"/>
    <x v="493"/>
    <x v="1"/>
    <x v="635"/>
    <x v="635"/>
    <x v="1"/>
    <x v="0"/>
    <x v="1"/>
    <x v="1"/>
    <x v="59"/>
    <x v="1"/>
    <x v="532"/>
    <x v="0"/>
    <x v="9"/>
    <x v="526"/>
    <x v="582"/>
    <x v="0"/>
    <x v="2"/>
    <x v="605"/>
  </r>
  <r>
    <x v="636"/>
    <x v="0"/>
    <x v="469"/>
    <x v="494"/>
    <x v="1"/>
    <x v="636"/>
    <x v="636"/>
    <x v="1"/>
    <x v="0"/>
    <x v="1"/>
    <x v="1"/>
    <x v="13"/>
    <x v="1"/>
    <x v="162"/>
    <x v="0"/>
    <x v="9"/>
    <x v="163"/>
    <x v="583"/>
    <x v="3"/>
    <x v="2"/>
    <x v="606"/>
  </r>
  <r>
    <x v="637"/>
    <x v="0"/>
    <x v="470"/>
    <x v="397"/>
    <x v="0"/>
    <x v="637"/>
    <x v="637"/>
    <x v="1"/>
    <x v="0"/>
    <x v="216"/>
    <x v="24"/>
    <x v="265"/>
    <x v="2"/>
    <x v="533"/>
    <x v="1"/>
    <x v="4"/>
    <x v="527"/>
    <x v="105"/>
    <x v="6"/>
    <x v="0"/>
    <x v="607"/>
  </r>
  <r>
    <x v="638"/>
    <x v="0"/>
    <x v="471"/>
    <x v="165"/>
    <x v="2"/>
    <x v="638"/>
    <x v="638"/>
    <x v="2"/>
    <x v="0"/>
    <x v="20"/>
    <x v="15"/>
    <x v="23"/>
    <x v="3"/>
    <x v="534"/>
    <x v="2"/>
    <x v="16"/>
    <x v="528"/>
    <x v="584"/>
    <x v="6"/>
    <x v="2"/>
    <x v="608"/>
  </r>
  <r>
    <x v="639"/>
    <x v="1"/>
    <x v="290"/>
    <x v="495"/>
    <x v="1"/>
    <x v="639"/>
    <x v="639"/>
    <x v="0"/>
    <x v="0"/>
    <x v="4"/>
    <x v="4"/>
    <x v="5"/>
    <x v="1"/>
    <x v="535"/>
    <x v="0"/>
    <x v="3"/>
    <x v="529"/>
    <x v="301"/>
    <x v="0"/>
    <x v="0"/>
    <x v="609"/>
  </r>
  <r>
    <x v="640"/>
    <x v="0"/>
    <x v="472"/>
    <x v="496"/>
    <x v="1"/>
    <x v="640"/>
    <x v="640"/>
    <x v="1"/>
    <x v="0"/>
    <x v="1"/>
    <x v="1"/>
    <x v="59"/>
    <x v="1"/>
    <x v="328"/>
    <x v="1"/>
    <x v="7"/>
    <x v="328"/>
    <x v="585"/>
    <x v="0"/>
    <x v="0"/>
    <x v="610"/>
  </r>
  <r>
    <x v="641"/>
    <x v="0"/>
    <x v="365"/>
    <x v="497"/>
    <x v="1"/>
    <x v="641"/>
    <x v="641"/>
    <x v="0"/>
    <x v="0"/>
    <x v="20"/>
    <x v="15"/>
    <x v="42"/>
    <x v="3"/>
    <x v="536"/>
    <x v="1"/>
    <x v="4"/>
    <x v="530"/>
    <x v="586"/>
    <x v="6"/>
    <x v="0"/>
    <x v="611"/>
  </r>
  <r>
    <x v="642"/>
    <x v="0"/>
    <x v="473"/>
    <x v="277"/>
    <x v="2"/>
    <x v="642"/>
    <x v="642"/>
    <x v="2"/>
    <x v="0"/>
    <x v="24"/>
    <x v="24"/>
    <x v="284"/>
    <x v="2"/>
    <x v="537"/>
    <x v="1"/>
    <x v="5"/>
    <x v="531"/>
    <x v="587"/>
    <x v="0"/>
    <x v="0"/>
    <x v="612"/>
  </r>
  <r>
    <x v="643"/>
    <x v="0"/>
    <x v="308"/>
    <x v="137"/>
    <x v="3"/>
    <x v="643"/>
    <x v="643"/>
    <x v="0"/>
    <x v="0"/>
    <x v="230"/>
    <x v="5"/>
    <x v="285"/>
    <x v="2"/>
    <x v="235"/>
    <x v="2"/>
    <x v="12"/>
    <x v="236"/>
    <x v="588"/>
    <x v="3"/>
    <x v="2"/>
    <x v="613"/>
  </r>
  <r>
    <x v="644"/>
    <x v="1"/>
    <x v="474"/>
    <x v="498"/>
    <x v="1"/>
    <x v="644"/>
    <x v="644"/>
    <x v="2"/>
    <x v="0"/>
    <x v="1"/>
    <x v="1"/>
    <x v="59"/>
    <x v="1"/>
    <x v="11"/>
    <x v="0"/>
    <x v="9"/>
    <x v="11"/>
    <x v="589"/>
    <x v="8"/>
    <x v="2"/>
    <x v="614"/>
  </r>
  <r>
    <x v="645"/>
    <x v="0"/>
    <x v="278"/>
    <x v="71"/>
    <x v="0"/>
    <x v="645"/>
    <x v="645"/>
    <x v="1"/>
    <x v="0"/>
    <x v="83"/>
    <x v="30"/>
    <x v="102"/>
    <x v="3"/>
    <x v="538"/>
    <x v="1"/>
    <x v="4"/>
    <x v="532"/>
    <x v="590"/>
    <x v="3"/>
    <x v="0"/>
    <x v="615"/>
  </r>
  <r>
    <x v="646"/>
    <x v="0"/>
    <x v="475"/>
    <x v="103"/>
    <x v="3"/>
    <x v="646"/>
    <x v="646"/>
    <x v="0"/>
    <x v="0"/>
    <x v="68"/>
    <x v="1"/>
    <x v="128"/>
    <x v="1"/>
    <x v="539"/>
    <x v="1"/>
    <x v="4"/>
    <x v="533"/>
    <x v="590"/>
    <x v="3"/>
    <x v="0"/>
    <x v="615"/>
  </r>
  <r>
    <x v="647"/>
    <x v="1"/>
    <x v="226"/>
    <x v="499"/>
    <x v="3"/>
    <x v="647"/>
    <x v="647"/>
    <x v="0"/>
    <x v="0"/>
    <x v="170"/>
    <x v="21"/>
    <x v="212"/>
    <x v="1"/>
    <x v="540"/>
    <x v="1"/>
    <x v="5"/>
    <x v="534"/>
    <x v="591"/>
    <x v="2"/>
    <x v="6"/>
    <x v="616"/>
  </r>
  <r>
    <x v="648"/>
    <x v="0"/>
    <x v="476"/>
    <x v="500"/>
    <x v="2"/>
    <x v="648"/>
    <x v="648"/>
    <x v="0"/>
    <x v="0"/>
    <x v="139"/>
    <x v="23"/>
    <x v="286"/>
    <x v="3"/>
    <x v="541"/>
    <x v="1"/>
    <x v="4"/>
    <x v="535"/>
    <x v="592"/>
    <x v="0"/>
    <x v="2"/>
    <x v="617"/>
  </r>
  <r>
    <x v="649"/>
    <x v="0"/>
    <x v="477"/>
    <x v="138"/>
    <x v="1"/>
    <x v="649"/>
    <x v="649"/>
    <x v="2"/>
    <x v="0"/>
    <x v="36"/>
    <x v="31"/>
    <x v="103"/>
    <x v="0"/>
    <x v="159"/>
    <x v="2"/>
    <x v="12"/>
    <x v="160"/>
    <x v="593"/>
    <x v="0"/>
    <x v="0"/>
    <x v="618"/>
  </r>
  <r>
    <x v="650"/>
    <x v="0"/>
    <x v="478"/>
    <x v="376"/>
    <x v="1"/>
    <x v="650"/>
    <x v="650"/>
    <x v="0"/>
    <x v="0"/>
    <x v="231"/>
    <x v="1"/>
    <x v="287"/>
    <x v="1"/>
    <x v="542"/>
    <x v="1"/>
    <x v="1"/>
    <x v="536"/>
    <x v="594"/>
    <x v="1"/>
    <x v="0"/>
    <x v="619"/>
  </r>
  <r>
    <x v="651"/>
    <x v="0"/>
    <x v="479"/>
    <x v="501"/>
    <x v="1"/>
    <x v="651"/>
    <x v="651"/>
    <x v="0"/>
    <x v="0"/>
    <x v="4"/>
    <x v="4"/>
    <x v="56"/>
    <x v="1"/>
    <x v="68"/>
    <x v="1"/>
    <x v="8"/>
    <x v="69"/>
    <x v="70"/>
    <x v="3"/>
    <x v="0"/>
    <x v="71"/>
  </r>
  <r>
    <x v="652"/>
    <x v="0"/>
    <x v="120"/>
    <x v="502"/>
    <x v="1"/>
    <x v="652"/>
    <x v="652"/>
    <x v="0"/>
    <x v="0"/>
    <x v="68"/>
    <x v="1"/>
    <x v="84"/>
    <x v="1"/>
    <x v="543"/>
    <x v="0"/>
    <x v="3"/>
    <x v="537"/>
    <x v="595"/>
    <x v="0"/>
    <x v="0"/>
    <x v="620"/>
  </r>
  <r>
    <x v="653"/>
    <x v="0"/>
    <x v="480"/>
    <x v="503"/>
    <x v="1"/>
    <x v="653"/>
    <x v="653"/>
    <x v="0"/>
    <x v="0"/>
    <x v="232"/>
    <x v="2"/>
    <x v="288"/>
    <x v="0"/>
    <x v="544"/>
    <x v="1"/>
    <x v="5"/>
    <x v="538"/>
    <x v="596"/>
    <x v="3"/>
    <x v="6"/>
    <x v="621"/>
  </r>
  <r>
    <x v="654"/>
    <x v="0"/>
    <x v="481"/>
    <x v="325"/>
    <x v="1"/>
    <x v="654"/>
    <x v="654"/>
    <x v="0"/>
    <x v="0"/>
    <x v="8"/>
    <x v="1"/>
    <x v="32"/>
    <x v="1"/>
    <x v="545"/>
    <x v="1"/>
    <x v="8"/>
    <x v="539"/>
    <x v="597"/>
    <x v="0"/>
    <x v="0"/>
    <x v="622"/>
  </r>
  <r>
    <x v="655"/>
    <x v="0"/>
    <x v="21"/>
    <x v="390"/>
    <x v="1"/>
    <x v="655"/>
    <x v="655"/>
    <x v="2"/>
    <x v="0"/>
    <x v="36"/>
    <x v="31"/>
    <x v="103"/>
    <x v="0"/>
    <x v="546"/>
    <x v="0"/>
    <x v="3"/>
    <x v="540"/>
    <x v="598"/>
    <x v="6"/>
    <x v="0"/>
    <x v="623"/>
  </r>
  <r>
    <x v="656"/>
    <x v="0"/>
    <x v="388"/>
    <x v="432"/>
    <x v="2"/>
    <x v="656"/>
    <x v="656"/>
    <x v="2"/>
    <x v="0"/>
    <x v="172"/>
    <x v="7"/>
    <x v="289"/>
    <x v="1"/>
    <x v="547"/>
    <x v="1"/>
    <x v="4"/>
    <x v="541"/>
    <x v="599"/>
    <x v="1"/>
    <x v="0"/>
    <x v="624"/>
  </r>
  <r>
    <x v="657"/>
    <x v="1"/>
    <x v="482"/>
    <x v="504"/>
    <x v="1"/>
    <x v="657"/>
    <x v="657"/>
    <x v="0"/>
    <x v="0"/>
    <x v="59"/>
    <x v="5"/>
    <x v="74"/>
    <x v="2"/>
    <x v="548"/>
    <x v="1"/>
    <x v="6"/>
    <x v="542"/>
    <x v="600"/>
    <x v="0"/>
    <x v="3"/>
    <x v="625"/>
  </r>
  <r>
    <x v="658"/>
    <x v="0"/>
    <x v="122"/>
    <x v="505"/>
    <x v="1"/>
    <x v="658"/>
    <x v="658"/>
    <x v="0"/>
    <x v="0"/>
    <x v="233"/>
    <x v="26"/>
    <x v="290"/>
    <x v="1"/>
    <x v="42"/>
    <x v="0"/>
    <x v="3"/>
    <x v="42"/>
    <x v="601"/>
    <x v="3"/>
    <x v="0"/>
    <x v="626"/>
  </r>
  <r>
    <x v="659"/>
    <x v="0"/>
    <x v="483"/>
    <x v="506"/>
    <x v="0"/>
    <x v="659"/>
    <x v="659"/>
    <x v="0"/>
    <x v="0"/>
    <x v="4"/>
    <x v="4"/>
    <x v="57"/>
    <x v="1"/>
    <x v="549"/>
    <x v="1"/>
    <x v="13"/>
    <x v="543"/>
    <x v="602"/>
    <x v="0"/>
    <x v="0"/>
    <x v="627"/>
  </r>
  <r>
    <x v="660"/>
    <x v="0"/>
    <x v="125"/>
    <x v="35"/>
    <x v="1"/>
    <x v="660"/>
    <x v="660"/>
    <x v="2"/>
    <x v="0"/>
    <x v="45"/>
    <x v="30"/>
    <x v="108"/>
    <x v="3"/>
    <x v="413"/>
    <x v="1"/>
    <x v="5"/>
    <x v="412"/>
    <x v="603"/>
    <x v="1"/>
    <x v="0"/>
    <x v="628"/>
  </r>
  <r>
    <x v="661"/>
    <x v="0"/>
    <x v="348"/>
    <x v="471"/>
    <x v="2"/>
    <x v="661"/>
    <x v="661"/>
    <x v="0"/>
    <x v="0"/>
    <x v="234"/>
    <x v="1"/>
    <x v="128"/>
    <x v="1"/>
    <x v="550"/>
    <x v="1"/>
    <x v="5"/>
    <x v="544"/>
    <x v="447"/>
    <x v="1"/>
    <x v="2"/>
    <x v="629"/>
  </r>
  <r>
    <x v="662"/>
    <x v="0"/>
    <x v="484"/>
    <x v="384"/>
    <x v="0"/>
    <x v="662"/>
    <x v="662"/>
    <x v="1"/>
    <x v="0"/>
    <x v="235"/>
    <x v="19"/>
    <x v="291"/>
    <x v="0"/>
    <x v="68"/>
    <x v="1"/>
    <x v="8"/>
    <x v="69"/>
    <x v="604"/>
    <x v="2"/>
    <x v="0"/>
    <x v="630"/>
  </r>
  <r>
    <x v="663"/>
    <x v="0"/>
    <x v="485"/>
    <x v="507"/>
    <x v="1"/>
    <x v="663"/>
    <x v="663"/>
    <x v="0"/>
    <x v="0"/>
    <x v="104"/>
    <x v="5"/>
    <x v="129"/>
    <x v="2"/>
    <x v="184"/>
    <x v="1"/>
    <x v="7"/>
    <x v="185"/>
    <x v="605"/>
    <x v="0"/>
    <x v="2"/>
    <x v="631"/>
  </r>
  <r>
    <x v="664"/>
    <x v="0"/>
    <x v="486"/>
    <x v="277"/>
    <x v="1"/>
    <x v="664"/>
    <x v="664"/>
    <x v="1"/>
    <x v="0"/>
    <x v="160"/>
    <x v="31"/>
    <x v="202"/>
    <x v="0"/>
    <x v="551"/>
    <x v="0"/>
    <x v="3"/>
    <x v="545"/>
    <x v="606"/>
    <x v="4"/>
    <x v="0"/>
    <x v="632"/>
  </r>
  <r>
    <x v="665"/>
    <x v="0"/>
    <x v="90"/>
    <x v="508"/>
    <x v="1"/>
    <x v="665"/>
    <x v="665"/>
    <x v="2"/>
    <x v="0"/>
    <x v="36"/>
    <x v="14"/>
    <x v="123"/>
    <x v="2"/>
    <x v="314"/>
    <x v="1"/>
    <x v="4"/>
    <x v="314"/>
    <x v="607"/>
    <x v="6"/>
    <x v="0"/>
    <x v="633"/>
  </r>
  <r>
    <x v="666"/>
    <x v="0"/>
    <x v="214"/>
    <x v="509"/>
    <x v="0"/>
    <x v="666"/>
    <x v="666"/>
    <x v="0"/>
    <x v="0"/>
    <x v="105"/>
    <x v="3"/>
    <x v="279"/>
    <x v="0"/>
    <x v="466"/>
    <x v="0"/>
    <x v="9"/>
    <x v="460"/>
    <x v="608"/>
    <x v="0"/>
    <x v="2"/>
    <x v="634"/>
  </r>
  <r>
    <x v="667"/>
    <x v="0"/>
    <x v="405"/>
    <x v="426"/>
    <x v="1"/>
    <x v="667"/>
    <x v="667"/>
    <x v="1"/>
    <x v="0"/>
    <x v="86"/>
    <x v="16"/>
    <x v="106"/>
    <x v="1"/>
    <x v="552"/>
    <x v="1"/>
    <x v="4"/>
    <x v="546"/>
    <x v="609"/>
    <x v="3"/>
    <x v="2"/>
    <x v="635"/>
  </r>
  <r>
    <x v="668"/>
    <x v="0"/>
    <x v="273"/>
    <x v="510"/>
    <x v="0"/>
    <x v="668"/>
    <x v="668"/>
    <x v="0"/>
    <x v="0"/>
    <x v="236"/>
    <x v="27"/>
    <x v="292"/>
    <x v="0"/>
    <x v="532"/>
    <x v="0"/>
    <x v="9"/>
    <x v="526"/>
    <x v="610"/>
    <x v="0"/>
    <x v="0"/>
    <x v="636"/>
  </r>
  <r>
    <x v="669"/>
    <x v="0"/>
    <x v="487"/>
    <x v="511"/>
    <x v="0"/>
    <x v="669"/>
    <x v="669"/>
    <x v="0"/>
    <x v="0"/>
    <x v="36"/>
    <x v="31"/>
    <x v="103"/>
    <x v="0"/>
    <x v="553"/>
    <x v="0"/>
    <x v="3"/>
    <x v="547"/>
    <x v="239"/>
    <x v="3"/>
    <x v="0"/>
    <x v="637"/>
  </r>
  <r>
    <x v="670"/>
    <x v="0"/>
    <x v="100"/>
    <x v="41"/>
    <x v="3"/>
    <x v="670"/>
    <x v="670"/>
    <x v="2"/>
    <x v="0"/>
    <x v="237"/>
    <x v="16"/>
    <x v="293"/>
    <x v="1"/>
    <x v="95"/>
    <x v="2"/>
    <x v="12"/>
    <x v="96"/>
    <x v="611"/>
    <x v="6"/>
    <x v="2"/>
    <x v="638"/>
  </r>
  <r>
    <x v="671"/>
    <x v="0"/>
    <x v="488"/>
    <x v="338"/>
    <x v="1"/>
    <x v="671"/>
    <x v="671"/>
    <x v="2"/>
    <x v="0"/>
    <x v="208"/>
    <x v="15"/>
    <x v="254"/>
    <x v="3"/>
    <x v="279"/>
    <x v="0"/>
    <x v="9"/>
    <x v="280"/>
    <x v="612"/>
    <x v="3"/>
    <x v="9"/>
    <x v="639"/>
  </r>
  <r>
    <x v="672"/>
    <x v="0"/>
    <x v="489"/>
    <x v="87"/>
    <x v="0"/>
    <x v="672"/>
    <x v="672"/>
    <x v="1"/>
    <x v="0"/>
    <x v="134"/>
    <x v="1"/>
    <x v="193"/>
    <x v="1"/>
    <x v="11"/>
    <x v="0"/>
    <x v="9"/>
    <x v="11"/>
    <x v="613"/>
    <x v="0"/>
    <x v="2"/>
    <x v="640"/>
  </r>
  <r>
    <x v="673"/>
    <x v="0"/>
    <x v="490"/>
    <x v="512"/>
    <x v="1"/>
    <x v="673"/>
    <x v="673"/>
    <x v="0"/>
    <x v="0"/>
    <x v="10"/>
    <x v="9"/>
    <x v="60"/>
    <x v="3"/>
    <x v="554"/>
    <x v="1"/>
    <x v="4"/>
    <x v="548"/>
    <x v="614"/>
    <x v="6"/>
    <x v="2"/>
    <x v="641"/>
  </r>
  <r>
    <x v="674"/>
    <x v="0"/>
    <x v="491"/>
    <x v="513"/>
    <x v="1"/>
    <x v="674"/>
    <x v="674"/>
    <x v="2"/>
    <x v="0"/>
    <x v="36"/>
    <x v="31"/>
    <x v="103"/>
    <x v="0"/>
    <x v="555"/>
    <x v="0"/>
    <x v="3"/>
    <x v="549"/>
    <x v="615"/>
    <x v="6"/>
    <x v="0"/>
    <x v="642"/>
  </r>
  <r>
    <x v="675"/>
    <x v="0"/>
    <x v="149"/>
    <x v="149"/>
    <x v="2"/>
    <x v="675"/>
    <x v="675"/>
    <x v="2"/>
    <x v="0"/>
    <x v="20"/>
    <x v="15"/>
    <x v="151"/>
    <x v="3"/>
    <x v="556"/>
    <x v="1"/>
    <x v="6"/>
    <x v="550"/>
    <x v="616"/>
    <x v="8"/>
    <x v="0"/>
    <x v="643"/>
  </r>
  <r>
    <x v="676"/>
    <x v="0"/>
    <x v="492"/>
    <x v="514"/>
    <x v="1"/>
    <x v="676"/>
    <x v="676"/>
    <x v="2"/>
    <x v="0"/>
    <x v="145"/>
    <x v="21"/>
    <x v="194"/>
    <x v="1"/>
    <x v="168"/>
    <x v="1"/>
    <x v="5"/>
    <x v="169"/>
    <x v="617"/>
    <x v="1"/>
    <x v="6"/>
    <x v="644"/>
  </r>
  <r>
    <x v="677"/>
    <x v="0"/>
    <x v="493"/>
    <x v="515"/>
    <x v="1"/>
    <x v="677"/>
    <x v="677"/>
    <x v="0"/>
    <x v="0"/>
    <x v="157"/>
    <x v="5"/>
    <x v="199"/>
    <x v="2"/>
    <x v="502"/>
    <x v="0"/>
    <x v="0"/>
    <x v="496"/>
    <x v="618"/>
    <x v="0"/>
    <x v="11"/>
    <x v="645"/>
  </r>
  <r>
    <x v="678"/>
    <x v="0"/>
    <x v="358"/>
    <x v="516"/>
    <x v="1"/>
    <x v="678"/>
    <x v="678"/>
    <x v="1"/>
    <x v="0"/>
    <x v="238"/>
    <x v="12"/>
    <x v="294"/>
    <x v="2"/>
    <x v="557"/>
    <x v="0"/>
    <x v="0"/>
    <x v="551"/>
    <x v="619"/>
    <x v="6"/>
    <x v="0"/>
    <x v="646"/>
  </r>
  <r>
    <x v="679"/>
    <x v="0"/>
    <x v="344"/>
    <x v="517"/>
    <x v="2"/>
    <x v="679"/>
    <x v="679"/>
    <x v="2"/>
    <x v="0"/>
    <x v="36"/>
    <x v="31"/>
    <x v="103"/>
    <x v="0"/>
    <x v="57"/>
    <x v="0"/>
    <x v="2"/>
    <x v="57"/>
    <x v="620"/>
    <x v="0"/>
    <x v="0"/>
    <x v="647"/>
  </r>
  <r>
    <x v="680"/>
    <x v="0"/>
    <x v="382"/>
    <x v="518"/>
    <x v="0"/>
    <x v="680"/>
    <x v="680"/>
    <x v="2"/>
    <x v="0"/>
    <x v="64"/>
    <x v="12"/>
    <x v="80"/>
    <x v="2"/>
    <x v="558"/>
    <x v="2"/>
    <x v="10"/>
    <x v="552"/>
    <x v="621"/>
    <x v="0"/>
    <x v="0"/>
    <x v="648"/>
  </r>
  <r>
    <x v="681"/>
    <x v="0"/>
    <x v="335"/>
    <x v="519"/>
    <x v="1"/>
    <x v="681"/>
    <x v="681"/>
    <x v="0"/>
    <x v="0"/>
    <x v="59"/>
    <x v="5"/>
    <x v="158"/>
    <x v="2"/>
    <x v="559"/>
    <x v="1"/>
    <x v="4"/>
    <x v="553"/>
    <x v="622"/>
    <x v="7"/>
    <x v="2"/>
    <x v="649"/>
  </r>
  <r>
    <x v="682"/>
    <x v="0"/>
    <x v="438"/>
    <x v="520"/>
    <x v="0"/>
    <x v="682"/>
    <x v="682"/>
    <x v="2"/>
    <x v="0"/>
    <x v="224"/>
    <x v="26"/>
    <x v="277"/>
    <x v="1"/>
    <x v="560"/>
    <x v="1"/>
    <x v="7"/>
    <x v="554"/>
    <x v="623"/>
    <x v="7"/>
    <x v="0"/>
    <x v="650"/>
  </r>
  <r>
    <x v="683"/>
    <x v="0"/>
    <x v="373"/>
    <x v="521"/>
    <x v="2"/>
    <x v="683"/>
    <x v="683"/>
    <x v="2"/>
    <x v="0"/>
    <x v="239"/>
    <x v="1"/>
    <x v="295"/>
    <x v="1"/>
    <x v="252"/>
    <x v="1"/>
    <x v="4"/>
    <x v="253"/>
    <x v="41"/>
    <x v="0"/>
    <x v="0"/>
    <x v="41"/>
  </r>
  <r>
    <x v="684"/>
    <x v="0"/>
    <x v="63"/>
    <x v="60"/>
    <x v="0"/>
    <x v="684"/>
    <x v="684"/>
    <x v="1"/>
    <x v="0"/>
    <x v="169"/>
    <x v="33"/>
    <x v="211"/>
    <x v="3"/>
    <x v="561"/>
    <x v="1"/>
    <x v="15"/>
    <x v="555"/>
    <x v="624"/>
    <x v="4"/>
    <x v="0"/>
    <x v="651"/>
  </r>
  <r>
    <x v="685"/>
    <x v="1"/>
    <x v="485"/>
    <x v="440"/>
    <x v="1"/>
    <x v="685"/>
    <x v="685"/>
    <x v="0"/>
    <x v="0"/>
    <x v="20"/>
    <x v="15"/>
    <x v="23"/>
    <x v="3"/>
    <x v="562"/>
    <x v="1"/>
    <x v="4"/>
    <x v="556"/>
    <x v="625"/>
    <x v="4"/>
    <x v="0"/>
    <x v="652"/>
  </r>
  <r>
    <x v="686"/>
    <x v="0"/>
    <x v="494"/>
    <x v="522"/>
    <x v="1"/>
    <x v="686"/>
    <x v="686"/>
    <x v="0"/>
    <x v="0"/>
    <x v="10"/>
    <x v="9"/>
    <x v="60"/>
    <x v="3"/>
    <x v="563"/>
    <x v="2"/>
    <x v="10"/>
    <x v="557"/>
    <x v="626"/>
    <x v="0"/>
    <x v="7"/>
    <x v="653"/>
  </r>
  <r>
    <x v="687"/>
    <x v="0"/>
    <x v="495"/>
    <x v="523"/>
    <x v="2"/>
    <x v="687"/>
    <x v="687"/>
    <x v="1"/>
    <x v="0"/>
    <x v="134"/>
    <x v="15"/>
    <x v="169"/>
    <x v="3"/>
    <x v="564"/>
    <x v="0"/>
    <x v="3"/>
    <x v="558"/>
    <x v="627"/>
    <x v="0"/>
    <x v="0"/>
    <x v="654"/>
  </r>
  <r>
    <x v="688"/>
    <x v="0"/>
    <x v="496"/>
    <x v="524"/>
    <x v="0"/>
    <x v="688"/>
    <x v="688"/>
    <x v="1"/>
    <x v="0"/>
    <x v="4"/>
    <x v="4"/>
    <x v="56"/>
    <x v="1"/>
    <x v="565"/>
    <x v="0"/>
    <x v="9"/>
    <x v="559"/>
    <x v="628"/>
    <x v="6"/>
    <x v="2"/>
    <x v="655"/>
  </r>
  <r>
    <x v="689"/>
    <x v="0"/>
    <x v="89"/>
    <x v="86"/>
    <x v="0"/>
    <x v="689"/>
    <x v="689"/>
    <x v="2"/>
    <x v="0"/>
    <x v="237"/>
    <x v="16"/>
    <x v="293"/>
    <x v="1"/>
    <x v="566"/>
    <x v="1"/>
    <x v="4"/>
    <x v="560"/>
    <x v="629"/>
    <x v="3"/>
    <x v="2"/>
    <x v="656"/>
  </r>
  <r>
    <x v="690"/>
    <x v="1"/>
    <x v="155"/>
    <x v="295"/>
    <x v="0"/>
    <x v="690"/>
    <x v="690"/>
    <x v="0"/>
    <x v="0"/>
    <x v="12"/>
    <x v="5"/>
    <x v="122"/>
    <x v="2"/>
    <x v="567"/>
    <x v="1"/>
    <x v="5"/>
    <x v="561"/>
    <x v="630"/>
    <x v="1"/>
    <x v="3"/>
    <x v="657"/>
  </r>
  <r>
    <x v="691"/>
    <x v="0"/>
    <x v="316"/>
    <x v="525"/>
    <x v="2"/>
    <x v="691"/>
    <x v="691"/>
    <x v="0"/>
    <x v="0"/>
    <x v="12"/>
    <x v="5"/>
    <x v="63"/>
    <x v="2"/>
    <x v="411"/>
    <x v="1"/>
    <x v="5"/>
    <x v="410"/>
    <x v="631"/>
    <x v="3"/>
    <x v="3"/>
    <x v="658"/>
  </r>
  <r>
    <x v="692"/>
    <x v="0"/>
    <x v="422"/>
    <x v="508"/>
    <x v="1"/>
    <x v="692"/>
    <x v="692"/>
    <x v="1"/>
    <x v="0"/>
    <x v="10"/>
    <x v="9"/>
    <x v="60"/>
    <x v="3"/>
    <x v="568"/>
    <x v="1"/>
    <x v="8"/>
    <x v="562"/>
    <x v="632"/>
    <x v="2"/>
    <x v="2"/>
    <x v="659"/>
  </r>
  <r>
    <x v="693"/>
    <x v="0"/>
    <x v="328"/>
    <x v="327"/>
    <x v="3"/>
    <x v="693"/>
    <x v="693"/>
    <x v="0"/>
    <x v="0"/>
    <x v="20"/>
    <x v="15"/>
    <x v="23"/>
    <x v="3"/>
    <x v="156"/>
    <x v="1"/>
    <x v="7"/>
    <x v="157"/>
    <x v="633"/>
    <x v="3"/>
    <x v="0"/>
    <x v="660"/>
  </r>
  <r>
    <x v="694"/>
    <x v="1"/>
    <x v="70"/>
    <x v="526"/>
    <x v="1"/>
    <x v="694"/>
    <x v="694"/>
    <x v="1"/>
    <x v="0"/>
    <x v="12"/>
    <x v="5"/>
    <x v="14"/>
    <x v="2"/>
    <x v="569"/>
    <x v="0"/>
    <x v="9"/>
    <x v="563"/>
    <x v="634"/>
    <x v="1"/>
    <x v="4"/>
    <x v="661"/>
  </r>
  <r>
    <x v="695"/>
    <x v="0"/>
    <x v="92"/>
    <x v="206"/>
    <x v="1"/>
    <x v="695"/>
    <x v="695"/>
    <x v="0"/>
    <x v="0"/>
    <x v="53"/>
    <x v="5"/>
    <x v="67"/>
    <x v="2"/>
    <x v="570"/>
    <x v="2"/>
    <x v="10"/>
    <x v="564"/>
    <x v="635"/>
    <x v="1"/>
    <x v="2"/>
    <x v="662"/>
  </r>
  <r>
    <x v="696"/>
    <x v="0"/>
    <x v="492"/>
    <x v="527"/>
    <x v="2"/>
    <x v="696"/>
    <x v="696"/>
    <x v="0"/>
    <x v="0"/>
    <x v="10"/>
    <x v="9"/>
    <x v="71"/>
    <x v="3"/>
    <x v="571"/>
    <x v="0"/>
    <x v="3"/>
    <x v="565"/>
    <x v="636"/>
    <x v="3"/>
    <x v="2"/>
    <x v="663"/>
  </r>
  <r>
    <x v="697"/>
    <x v="1"/>
    <x v="368"/>
    <x v="394"/>
    <x v="1"/>
    <x v="697"/>
    <x v="697"/>
    <x v="2"/>
    <x v="0"/>
    <x v="240"/>
    <x v="10"/>
    <x v="296"/>
    <x v="2"/>
    <x v="572"/>
    <x v="1"/>
    <x v="5"/>
    <x v="566"/>
    <x v="637"/>
    <x v="0"/>
    <x v="3"/>
    <x v="664"/>
  </r>
  <r>
    <x v="698"/>
    <x v="0"/>
    <x v="442"/>
    <x v="528"/>
    <x v="2"/>
    <x v="698"/>
    <x v="698"/>
    <x v="1"/>
    <x v="0"/>
    <x v="43"/>
    <x v="5"/>
    <x v="85"/>
    <x v="2"/>
    <x v="573"/>
    <x v="1"/>
    <x v="4"/>
    <x v="567"/>
    <x v="614"/>
    <x v="6"/>
    <x v="2"/>
    <x v="641"/>
  </r>
  <r>
    <x v="699"/>
    <x v="0"/>
    <x v="497"/>
    <x v="432"/>
    <x v="1"/>
    <x v="699"/>
    <x v="699"/>
    <x v="0"/>
    <x v="0"/>
    <x v="26"/>
    <x v="19"/>
    <x v="31"/>
    <x v="0"/>
    <x v="367"/>
    <x v="2"/>
    <x v="10"/>
    <x v="366"/>
    <x v="638"/>
    <x v="0"/>
    <x v="0"/>
    <x v="665"/>
  </r>
  <r>
    <x v="700"/>
    <x v="0"/>
    <x v="498"/>
    <x v="160"/>
    <x v="1"/>
    <x v="700"/>
    <x v="700"/>
    <x v="0"/>
    <x v="0"/>
    <x v="65"/>
    <x v="18"/>
    <x v="81"/>
    <x v="0"/>
    <x v="574"/>
    <x v="1"/>
    <x v="6"/>
    <x v="568"/>
    <x v="639"/>
    <x v="2"/>
    <x v="2"/>
    <x v="666"/>
  </r>
  <r>
    <x v="701"/>
    <x v="1"/>
    <x v="154"/>
    <x v="529"/>
    <x v="2"/>
    <x v="701"/>
    <x v="701"/>
    <x v="0"/>
    <x v="0"/>
    <x v="158"/>
    <x v="1"/>
    <x v="200"/>
    <x v="1"/>
    <x v="337"/>
    <x v="1"/>
    <x v="8"/>
    <x v="337"/>
    <x v="324"/>
    <x v="6"/>
    <x v="0"/>
    <x v="667"/>
  </r>
  <r>
    <x v="702"/>
    <x v="0"/>
    <x v="499"/>
    <x v="530"/>
    <x v="2"/>
    <x v="702"/>
    <x v="702"/>
    <x v="0"/>
    <x v="0"/>
    <x v="121"/>
    <x v="1"/>
    <x v="154"/>
    <x v="1"/>
    <x v="575"/>
    <x v="0"/>
    <x v="0"/>
    <x v="569"/>
    <x v="469"/>
    <x v="0"/>
    <x v="10"/>
    <x v="668"/>
  </r>
  <r>
    <x v="703"/>
    <x v="0"/>
    <x v="354"/>
    <x v="353"/>
    <x v="2"/>
    <x v="703"/>
    <x v="703"/>
    <x v="1"/>
    <x v="0"/>
    <x v="241"/>
    <x v="5"/>
    <x v="297"/>
    <x v="2"/>
    <x v="576"/>
    <x v="1"/>
    <x v="7"/>
    <x v="570"/>
    <x v="640"/>
    <x v="5"/>
    <x v="2"/>
    <x v="669"/>
  </r>
  <r>
    <x v="704"/>
    <x v="0"/>
    <x v="500"/>
    <x v="143"/>
    <x v="1"/>
    <x v="704"/>
    <x v="704"/>
    <x v="1"/>
    <x v="0"/>
    <x v="115"/>
    <x v="0"/>
    <x v="146"/>
    <x v="0"/>
    <x v="319"/>
    <x v="2"/>
    <x v="10"/>
    <x v="319"/>
    <x v="641"/>
    <x v="8"/>
    <x v="0"/>
    <x v="670"/>
  </r>
  <r>
    <x v="705"/>
    <x v="0"/>
    <x v="501"/>
    <x v="531"/>
    <x v="1"/>
    <x v="705"/>
    <x v="705"/>
    <x v="1"/>
    <x v="0"/>
    <x v="10"/>
    <x v="9"/>
    <x v="11"/>
    <x v="3"/>
    <x v="21"/>
    <x v="1"/>
    <x v="7"/>
    <x v="21"/>
    <x v="221"/>
    <x v="0"/>
    <x v="2"/>
    <x v="671"/>
  </r>
  <r>
    <x v="706"/>
    <x v="0"/>
    <x v="502"/>
    <x v="532"/>
    <x v="2"/>
    <x v="706"/>
    <x v="706"/>
    <x v="1"/>
    <x v="0"/>
    <x v="20"/>
    <x v="15"/>
    <x v="23"/>
    <x v="3"/>
    <x v="577"/>
    <x v="1"/>
    <x v="4"/>
    <x v="14"/>
    <x v="642"/>
    <x v="0"/>
    <x v="0"/>
    <x v="672"/>
  </r>
  <r>
    <x v="707"/>
    <x v="0"/>
    <x v="503"/>
    <x v="533"/>
    <x v="1"/>
    <x v="707"/>
    <x v="707"/>
    <x v="2"/>
    <x v="0"/>
    <x v="100"/>
    <x v="2"/>
    <x v="121"/>
    <x v="0"/>
    <x v="578"/>
    <x v="1"/>
    <x v="4"/>
    <x v="571"/>
    <x v="643"/>
    <x v="8"/>
    <x v="2"/>
    <x v="673"/>
  </r>
  <r>
    <x v="708"/>
    <x v="0"/>
    <x v="464"/>
    <x v="54"/>
    <x v="1"/>
    <x v="708"/>
    <x v="708"/>
    <x v="0"/>
    <x v="0"/>
    <x v="100"/>
    <x v="3"/>
    <x v="217"/>
    <x v="0"/>
    <x v="293"/>
    <x v="1"/>
    <x v="4"/>
    <x v="294"/>
    <x v="644"/>
    <x v="3"/>
    <x v="2"/>
    <x v="674"/>
  </r>
  <r>
    <x v="709"/>
    <x v="0"/>
    <x v="265"/>
    <x v="534"/>
    <x v="3"/>
    <x v="709"/>
    <x v="709"/>
    <x v="0"/>
    <x v="0"/>
    <x v="133"/>
    <x v="5"/>
    <x v="168"/>
    <x v="2"/>
    <x v="579"/>
    <x v="1"/>
    <x v="4"/>
    <x v="572"/>
    <x v="260"/>
    <x v="0"/>
    <x v="2"/>
    <x v="265"/>
  </r>
  <r>
    <x v="710"/>
    <x v="0"/>
    <x v="504"/>
    <x v="535"/>
    <x v="1"/>
    <x v="710"/>
    <x v="710"/>
    <x v="0"/>
    <x v="0"/>
    <x v="242"/>
    <x v="5"/>
    <x v="298"/>
    <x v="2"/>
    <x v="580"/>
    <x v="2"/>
    <x v="10"/>
    <x v="573"/>
    <x v="645"/>
    <x v="0"/>
    <x v="2"/>
    <x v="675"/>
  </r>
  <r>
    <x v="711"/>
    <x v="0"/>
    <x v="505"/>
    <x v="144"/>
    <x v="0"/>
    <x v="711"/>
    <x v="711"/>
    <x v="2"/>
    <x v="0"/>
    <x v="97"/>
    <x v="34"/>
    <x v="118"/>
    <x v="0"/>
    <x v="581"/>
    <x v="2"/>
    <x v="12"/>
    <x v="574"/>
    <x v="646"/>
    <x v="3"/>
    <x v="0"/>
    <x v="676"/>
  </r>
  <r>
    <x v="712"/>
    <x v="1"/>
    <x v="315"/>
    <x v="338"/>
    <x v="1"/>
    <x v="712"/>
    <x v="712"/>
    <x v="1"/>
    <x v="0"/>
    <x v="243"/>
    <x v="5"/>
    <x v="299"/>
    <x v="2"/>
    <x v="281"/>
    <x v="1"/>
    <x v="4"/>
    <x v="282"/>
    <x v="647"/>
    <x v="8"/>
    <x v="2"/>
    <x v="677"/>
  </r>
  <r>
    <x v="713"/>
    <x v="0"/>
    <x v="506"/>
    <x v="77"/>
    <x v="1"/>
    <x v="713"/>
    <x v="713"/>
    <x v="0"/>
    <x v="0"/>
    <x v="10"/>
    <x v="9"/>
    <x v="98"/>
    <x v="3"/>
    <x v="582"/>
    <x v="1"/>
    <x v="4"/>
    <x v="575"/>
    <x v="648"/>
    <x v="0"/>
    <x v="2"/>
    <x v="678"/>
  </r>
  <r>
    <x v="714"/>
    <x v="1"/>
    <x v="507"/>
    <x v="324"/>
    <x v="0"/>
    <x v="714"/>
    <x v="714"/>
    <x v="1"/>
    <x v="0"/>
    <x v="59"/>
    <x v="5"/>
    <x v="149"/>
    <x v="2"/>
    <x v="583"/>
    <x v="2"/>
    <x v="12"/>
    <x v="576"/>
    <x v="649"/>
    <x v="0"/>
    <x v="2"/>
    <x v="679"/>
  </r>
  <r>
    <x v="715"/>
    <x v="0"/>
    <x v="508"/>
    <x v="536"/>
    <x v="0"/>
    <x v="715"/>
    <x v="715"/>
    <x v="1"/>
    <x v="0"/>
    <x v="1"/>
    <x v="1"/>
    <x v="25"/>
    <x v="1"/>
    <x v="584"/>
    <x v="1"/>
    <x v="7"/>
    <x v="577"/>
    <x v="650"/>
    <x v="0"/>
    <x v="0"/>
    <x v="680"/>
  </r>
  <r>
    <x v="716"/>
    <x v="0"/>
    <x v="509"/>
    <x v="317"/>
    <x v="0"/>
    <x v="716"/>
    <x v="716"/>
    <x v="1"/>
    <x v="0"/>
    <x v="156"/>
    <x v="23"/>
    <x v="198"/>
    <x v="3"/>
    <x v="585"/>
    <x v="0"/>
    <x v="3"/>
    <x v="578"/>
    <x v="651"/>
    <x v="0"/>
    <x v="2"/>
    <x v="681"/>
  </r>
  <r>
    <x v="717"/>
    <x v="0"/>
    <x v="510"/>
    <x v="131"/>
    <x v="0"/>
    <x v="717"/>
    <x v="717"/>
    <x v="0"/>
    <x v="0"/>
    <x v="20"/>
    <x v="15"/>
    <x v="151"/>
    <x v="3"/>
    <x v="586"/>
    <x v="1"/>
    <x v="4"/>
    <x v="579"/>
    <x v="652"/>
    <x v="8"/>
    <x v="0"/>
    <x v="682"/>
  </r>
  <r>
    <x v="718"/>
    <x v="0"/>
    <x v="511"/>
    <x v="266"/>
    <x v="3"/>
    <x v="718"/>
    <x v="718"/>
    <x v="0"/>
    <x v="0"/>
    <x v="44"/>
    <x v="13"/>
    <x v="300"/>
    <x v="3"/>
    <x v="587"/>
    <x v="2"/>
    <x v="10"/>
    <x v="580"/>
    <x v="653"/>
    <x v="0"/>
    <x v="0"/>
    <x v="683"/>
  </r>
  <r>
    <x v="719"/>
    <x v="1"/>
    <x v="512"/>
    <x v="530"/>
    <x v="1"/>
    <x v="719"/>
    <x v="719"/>
    <x v="0"/>
    <x v="0"/>
    <x v="68"/>
    <x v="1"/>
    <x v="84"/>
    <x v="1"/>
    <x v="588"/>
    <x v="1"/>
    <x v="7"/>
    <x v="581"/>
    <x v="654"/>
    <x v="8"/>
    <x v="0"/>
    <x v="684"/>
  </r>
  <r>
    <x v="720"/>
    <x v="0"/>
    <x v="513"/>
    <x v="537"/>
    <x v="1"/>
    <x v="720"/>
    <x v="720"/>
    <x v="0"/>
    <x v="0"/>
    <x v="100"/>
    <x v="3"/>
    <x v="217"/>
    <x v="0"/>
    <x v="589"/>
    <x v="0"/>
    <x v="9"/>
    <x v="582"/>
    <x v="655"/>
    <x v="8"/>
    <x v="2"/>
    <x v="685"/>
  </r>
  <r>
    <x v="721"/>
    <x v="1"/>
    <x v="514"/>
    <x v="538"/>
    <x v="1"/>
    <x v="721"/>
    <x v="721"/>
    <x v="0"/>
    <x v="0"/>
    <x v="18"/>
    <x v="13"/>
    <x v="21"/>
    <x v="3"/>
    <x v="590"/>
    <x v="0"/>
    <x v="3"/>
    <x v="583"/>
    <x v="656"/>
    <x v="3"/>
    <x v="0"/>
    <x v="686"/>
  </r>
  <r>
    <x v="722"/>
    <x v="1"/>
    <x v="515"/>
    <x v="539"/>
    <x v="1"/>
    <x v="722"/>
    <x v="722"/>
    <x v="1"/>
    <x v="0"/>
    <x v="37"/>
    <x v="18"/>
    <x v="45"/>
    <x v="0"/>
    <x v="279"/>
    <x v="0"/>
    <x v="9"/>
    <x v="280"/>
    <x v="657"/>
    <x v="3"/>
    <x v="2"/>
    <x v="687"/>
  </r>
  <r>
    <x v="723"/>
    <x v="0"/>
    <x v="358"/>
    <x v="14"/>
    <x v="3"/>
    <x v="723"/>
    <x v="723"/>
    <x v="2"/>
    <x v="0"/>
    <x v="87"/>
    <x v="30"/>
    <x v="301"/>
    <x v="3"/>
    <x v="591"/>
    <x v="0"/>
    <x v="3"/>
    <x v="584"/>
    <x v="658"/>
    <x v="0"/>
    <x v="0"/>
    <x v="688"/>
  </r>
  <r>
    <x v="724"/>
    <x v="0"/>
    <x v="516"/>
    <x v="540"/>
    <x v="1"/>
    <x v="724"/>
    <x v="724"/>
    <x v="0"/>
    <x v="0"/>
    <x v="23"/>
    <x v="16"/>
    <x v="27"/>
    <x v="1"/>
    <x v="592"/>
    <x v="1"/>
    <x v="4"/>
    <x v="585"/>
    <x v="157"/>
    <x v="0"/>
    <x v="2"/>
    <x v="689"/>
  </r>
  <r>
    <x v="725"/>
    <x v="0"/>
    <x v="54"/>
    <x v="54"/>
    <x v="1"/>
    <x v="725"/>
    <x v="725"/>
    <x v="2"/>
    <x v="0"/>
    <x v="10"/>
    <x v="9"/>
    <x v="98"/>
    <x v="3"/>
    <x v="593"/>
    <x v="1"/>
    <x v="6"/>
    <x v="586"/>
    <x v="659"/>
    <x v="2"/>
    <x v="2"/>
    <x v="690"/>
  </r>
  <r>
    <x v="726"/>
    <x v="1"/>
    <x v="517"/>
    <x v="541"/>
    <x v="1"/>
    <x v="726"/>
    <x v="726"/>
    <x v="0"/>
    <x v="0"/>
    <x v="164"/>
    <x v="15"/>
    <x v="206"/>
    <x v="3"/>
    <x v="594"/>
    <x v="1"/>
    <x v="15"/>
    <x v="587"/>
    <x v="660"/>
    <x v="2"/>
    <x v="0"/>
    <x v="691"/>
  </r>
  <r>
    <x v="727"/>
    <x v="0"/>
    <x v="518"/>
    <x v="143"/>
    <x v="1"/>
    <x v="727"/>
    <x v="727"/>
    <x v="0"/>
    <x v="0"/>
    <x v="1"/>
    <x v="1"/>
    <x v="1"/>
    <x v="1"/>
    <x v="592"/>
    <x v="1"/>
    <x v="4"/>
    <x v="585"/>
    <x v="661"/>
    <x v="5"/>
    <x v="0"/>
    <x v="692"/>
  </r>
  <r>
    <x v="728"/>
    <x v="1"/>
    <x v="519"/>
    <x v="542"/>
    <x v="1"/>
    <x v="728"/>
    <x v="728"/>
    <x v="1"/>
    <x v="0"/>
    <x v="65"/>
    <x v="18"/>
    <x v="81"/>
    <x v="0"/>
    <x v="595"/>
    <x v="0"/>
    <x v="3"/>
    <x v="588"/>
    <x v="662"/>
    <x v="1"/>
    <x v="2"/>
    <x v="693"/>
  </r>
  <r>
    <x v="729"/>
    <x v="0"/>
    <x v="520"/>
    <x v="543"/>
    <x v="1"/>
    <x v="729"/>
    <x v="729"/>
    <x v="0"/>
    <x v="0"/>
    <x v="200"/>
    <x v="6"/>
    <x v="246"/>
    <x v="2"/>
    <x v="596"/>
    <x v="0"/>
    <x v="0"/>
    <x v="589"/>
    <x v="663"/>
    <x v="3"/>
    <x v="0"/>
    <x v="694"/>
  </r>
  <r>
    <x v="730"/>
    <x v="1"/>
    <x v="521"/>
    <x v="261"/>
    <x v="1"/>
    <x v="730"/>
    <x v="730"/>
    <x v="0"/>
    <x v="0"/>
    <x v="160"/>
    <x v="31"/>
    <x v="202"/>
    <x v="0"/>
    <x v="597"/>
    <x v="1"/>
    <x v="8"/>
    <x v="511"/>
    <x v="664"/>
    <x v="8"/>
    <x v="0"/>
    <x v="695"/>
  </r>
  <r>
    <x v="731"/>
    <x v="0"/>
    <x v="522"/>
    <x v="544"/>
    <x v="1"/>
    <x v="731"/>
    <x v="731"/>
    <x v="0"/>
    <x v="0"/>
    <x v="128"/>
    <x v="9"/>
    <x v="163"/>
    <x v="3"/>
    <x v="598"/>
    <x v="0"/>
    <x v="9"/>
    <x v="590"/>
    <x v="665"/>
    <x v="3"/>
    <x v="4"/>
    <x v="144"/>
  </r>
  <r>
    <x v="732"/>
    <x v="1"/>
    <x v="218"/>
    <x v="545"/>
    <x v="1"/>
    <x v="732"/>
    <x v="732"/>
    <x v="0"/>
    <x v="0"/>
    <x v="12"/>
    <x v="5"/>
    <x v="16"/>
    <x v="2"/>
    <x v="599"/>
    <x v="1"/>
    <x v="5"/>
    <x v="591"/>
    <x v="666"/>
    <x v="0"/>
    <x v="3"/>
    <x v="696"/>
  </r>
  <r>
    <x v="733"/>
    <x v="0"/>
    <x v="257"/>
    <x v="303"/>
    <x v="1"/>
    <x v="733"/>
    <x v="733"/>
    <x v="0"/>
    <x v="0"/>
    <x v="20"/>
    <x v="15"/>
    <x v="42"/>
    <x v="3"/>
    <x v="600"/>
    <x v="2"/>
    <x v="10"/>
    <x v="592"/>
    <x v="667"/>
    <x v="3"/>
    <x v="0"/>
    <x v="697"/>
  </r>
  <r>
    <x v="734"/>
    <x v="1"/>
    <x v="523"/>
    <x v="546"/>
    <x v="2"/>
    <x v="734"/>
    <x v="734"/>
    <x v="1"/>
    <x v="0"/>
    <x v="32"/>
    <x v="21"/>
    <x v="39"/>
    <x v="1"/>
    <x v="467"/>
    <x v="2"/>
    <x v="12"/>
    <x v="461"/>
    <x v="668"/>
    <x v="2"/>
    <x v="2"/>
    <x v="698"/>
  </r>
  <r>
    <x v="735"/>
    <x v="0"/>
    <x v="211"/>
    <x v="26"/>
    <x v="2"/>
    <x v="735"/>
    <x v="735"/>
    <x v="2"/>
    <x v="0"/>
    <x v="142"/>
    <x v="1"/>
    <x v="179"/>
    <x v="1"/>
    <x v="601"/>
    <x v="1"/>
    <x v="8"/>
    <x v="593"/>
    <x v="669"/>
    <x v="0"/>
    <x v="0"/>
    <x v="699"/>
  </r>
  <r>
    <x v="736"/>
    <x v="1"/>
    <x v="524"/>
    <x v="470"/>
    <x v="1"/>
    <x v="736"/>
    <x v="736"/>
    <x v="2"/>
    <x v="0"/>
    <x v="20"/>
    <x v="15"/>
    <x v="42"/>
    <x v="3"/>
    <x v="602"/>
    <x v="2"/>
    <x v="12"/>
    <x v="594"/>
    <x v="670"/>
    <x v="6"/>
    <x v="0"/>
    <x v="700"/>
  </r>
  <r>
    <x v="737"/>
    <x v="0"/>
    <x v="525"/>
    <x v="219"/>
    <x v="1"/>
    <x v="737"/>
    <x v="737"/>
    <x v="1"/>
    <x v="0"/>
    <x v="244"/>
    <x v="5"/>
    <x v="302"/>
    <x v="2"/>
    <x v="300"/>
    <x v="1"/>
    <x v="5"/>
    <x v="301"/>
    <x v="671"/>
    <x v="2"/>
    <x v="3"/>
    <x v="701"/>
  </r>
  <r>
    <x v="738"/>
    <x v="0"/>
    <x v="33"/>
    <x v="89"/>
    <x v="1"/>
    <x v="738"/>
    <x v="738"/>
    <x v="0"/>
    <x v="0"/>
    <x v="22"/>
    <x v="10"/>
    <x v="34"/>
    <x v="2"/>
    <x v="603"/>
    <x v="1"/>
    <x v="4"/>
    <x v="595"/>
    <x v="672"/>
    <x v="0"/>
    <x v="2"/>
    <x v="702"/>
  </r>
  <r>
    <x v="739"/>
    <x v="0"/>
    <x v="526"/>
    <x v="446"/>
    <x v="1"/>
    <x v="739"/>
    <x v="739"/>
    <x v="2"/>
    <x v="0"/>
    <x v="245"/>
    <x v="10"/>
    <x v="303"/>
    <x v="2"/>
    <x v="604"/>
    <x v="1"/>
    <x v="5"/>
    <x v="596"/>
    <x v="673"/>
    <x v="6"/>
    <x v="3"/>
    <x v="703"/>
  </r>
  <r>
    <x v="740"/>
    <x v="0"/>
    <x v="106"/>
    <x v="73"/>
    <x v="3"/>
    <x v="740"/>
    <x v="740"/>
    <x v="1"/>
    <x v="0"/>
    <x v="20"/>
    <x v="15"/>
    <x v="151"/>
    <x v="3"/>
    <x v="466"/>
    <x v="0"/>
    <x v="9"/>
    <x v="460"/>
    <x v="674"/>
    <x v="2"/>
    <x v="9"/>
    <x v="704"/>
  </r>
  <r>
    <x v="741"/>
    <x v="0"/>
    <x v="527"/>
    <x v="26"/>
    <x v="1"/>
    <x v="741"/>
    <x v="741"/>
    <x v="1"/>
    <x v="0"/>
    <x v="97"/>
    <x v="18"/>
    <x v="304"/>
    <x v="0"/>
    <x v="605"/>
    <x v="0"/>
    <x v="3"/>
    <x v="597"/>
    <x v="675"/>
    <x v="10"/>
    <x v="2"/>
    <x v="705"/>
  </r>
  <r>
    <x v="742"/>
    <x v="0"/>
    <x v="300"/>
    <x v="94"/>
    <x v="1"/>
    <x v="742"/>
    <x v="742"/>
    <x v="0"/>
    <x v="0"/>
    <x v="246"/>
    <x v="2"/>
    <x v="305"/>
    <x v="0"/>
    <x v="606"/>
    <x v="2"/>
    <x v="12"/>
    <x v="598"/>
    <x v="676"/>
    <x v="4"/>
    <x v="2"/>
    <x v="706"/>
  </r>
  <r>
    <x v="743"/>
    <x v="0"/>
    <x v="505"/>
    <x v="152"/>
    <x v="0"/>
    <x v="743"/>
    <x v="743"/>
    <x v="0"/>
    <x v="0"/>
    <x v="214"/>
    <x v="1"/>
    <x v="262"/>
    <x v="1"/>
    <x v="607"/>
    <x v="2"/>
    <x v="10"/>
    <x v="599"/>
    <x v="677"/>
    <x v="6"/>
    <x v="2"/>
    <x v="707"/>
  </r>
  <r>
    <x v="744"/>
    <x v="0"/>
    <x v="500"/>
    <x v="143"/>
    <x v="1"/>
    <x v="744"/>
    <x v="744"/>
    <x v="1"/>
    <x v="0"/>
    <x v="8"/>
    <x v="1"/>
    <x v="89"/>
    <x v="1"/>
    <x v="608"/>
    <x v="1"/>
    <x v="4"/>
    <x v="600"/>
    <x v="41"/>
    <x v="0"/>
    <x v="0"/>
    <x v="41"/>
  </r>
  <r>
    <x v="745"/>
    <x v="0"/>
    <x v="528"/>
    <x v="547"/>
    <x v="1"/>
    <x v="745"/>
    <x v="745"/>
    <x v="0"/>
    <x v="0"/>
    <x v="1"/>
    <x v="1"/>
    <x v="1"/>
    <x v="1"/>
    <x v="609"/>
    <x v="0"/>
    <x v="2"/>
    <x v="601"/>
    <x v="678"/>
    <x v="3"/>
    <x v="2"/>
    <x v="708"/>
  </r>
  <r>
    <x v="746"/>
    <x v="0"/>
    <x v="529"/>
    <x v="548"/>
    <x v="2"/>
    <x v="746"/>
    <x v="746"/>
    <x v="0"/>
    <x v="0"/>
    <x v="247"/>
    <x v="25"/>
    <x v="306"/>
    <x v="2"/>
    <x v="610"/>
    <x v="1"/>
    <x v="11"/>
    <x v="602"/>
    <x v="679"/>
    <x v="0"/>
    <x v="0"/>
    <x v="709"/>
  </r>
  <r>
    <x v="747"/>
    <x v="1"/>
    <x v="530"/>
    <x v="227"/>
    <x v="0"/>
    <x v="747"/>
    <x v="747"/>
    <x v="1"/>
    <x v="0"/>
    <x v="1"/>
    <x v="1"/>
    <x v="59"/>
    <x v="1"/>
    <x v="611"/>
    <x v="1"/>
    <x v="8"/>
    <x v="603"/>
    <x v="523"/>
    <x v="0"/>
    <x v="0"/>
    <x v="710"/>
  </r>
  <r>
    <x v="748"/>
    <x v="0"/>
    <x v="531"/>
    <x v="214"/>
    <x v="1"/>
    <x v="748"/>
    <x v="748"/>
    <x v="2"/>
    <x v="0"/>
    <x v="20"/>
    <x v="15"/>
    <x v="29"/>
    <x v="3"/>
    <x v="612"/>
    <x v="0"/>
    <x v="9"/>
    <x v="604"/>
    <x v="680"/>
    <x v="3"/>
    <x v="9"/>
    <x v="711"/>
  </r>
  <r>
    <x v="749"/>
    <x v="0"/>
    <x v="146"/>
    <x v="549"/>
    <x v="0"/>
    <x v="749"/>
    <x v="749"/>
    <x v="0"/>
    <x v="0"/>
    <x v="32"/>
    <x v="10"/>
    <x v="157"/>
    <x v="2"/>
    <x v="613"/>
    <x v="0"/>
    <x v="2"/>
    <x v="605"/>
    <x v="681"/>
    <x v="3"/>
    <x v="5"/>
    <x v="712"/>
  </r>
  <r>
    <x v="750"/>
    <x v="0"/>
    <x v="341"/>
    <x v="550"/>
    <x v="3"/>
    <x v="750"/>
    <x v="750"/>
    <x v="0"/>
    <x v="0"/>
    <x v="100"/>
    <x v="3"/>
    <x v="217"/>
    <x v="0"/>
    <x v="614"/>
    <x v="1"/>
    <x v="4"/>
    <x v="606"/>
    <x v="682"/>
    <x v="6"/>
    <x v="2"/>
    <x v="713"/>
  </r>
  <r>
    <x v="751"/>
    <x v="0"/>
    <x v="177"/>
    <x v="269"/>
    <x v="1"/>
    <x v="751"/>
    <x v="751"/>
    <x v="1"/>
    <x v="0"/>
    <x v="1"/>
    <x v="1"/>
    <x v="1"/>
    <x v="1"/>
    <x v="615"/>
    <x v="0"/>
    <x v="3"/>
    <x v="607"/>
    <x v="683"/>
    <x v="8"/>
    <x v="0"/>
    <x v="714"/>
  </r>
  <r>
    <x v="752"/>
    <x v="0"/>
    <x v="105"/>
    <x v="551"/>
    <x v="1"/>
    <x v="752"/>
    <x v="752"/>
    <x v="0"/>
    <x v="0"/>
    <x v="150"/>
    <x v="28"/>
    <x v="190"/>
    <x v="3"/>
    <x v="567"/>
    <x v="1"/>
    <x v="5"/>
    <x v="561"/>
    <x v="684"/>
    <x v="0"/>
    <x v="0"/>
    <x v="715"/>
  </r>
  <r>
    <x v="753"/>
    <x v="0"/>
    <x v="18"/>
    <x v="346"/>
    <x v="2"/>
    <x v="753"/>
    <x v="753"/>
    <x v="1"/>
    <x v="0"/>
    <x v="96"/>
    <x v="30"/>
    <x v="117"/>
    <x v="3"/>
    <x v="616"/>
    <x v="1"/>
    <x v="8"/>
    <x v="608"/>
    <x v="685"/>
    <x v="0"/>
    <x v="0"/>
    <x v="716"/>
  </r>
  <r>
    <x v="754"/>
    <x v="0"/>
    <x v="532"/>
    <x v="552"/>
    <x v="1"/>
    <x v="754"/>
    <x v="754"/>
    <x v="1"/>
    <x v="0"/>
    <x v="248"/>
    <x v="7"/>
    <x v="307"/>
    <x v="1"/>
    <x v="617"/>
    <x v="2"/>
    <x v="10"/>
    <x v="609"/>
    <x v="686"/>
    <x v="3"/>
    <x v="2"/>
    <x v="717"/>
  </r>
  <r>
    <x v="755"/>
    <x v="0"/>
    <x v="533"/>
    <x v="340"/>
    <x v="2"/>
    <x v="755"/>
    <x v="755"/>
    <x v="0"/>
    <x v="0"/>
    <x v="4"/>
    <x v="4"/>
    <x v="5"/>
    <x v="1"/>
    <x v="618"/>
    <x v="0"/>
    <x v="9"/>
    <x v="610"/>
    <x v="687"/>
    <x v="8"/>
    <x v="2"/>
    <x v="718"/>
  </r>
  <r>
    <x v="756"/>
    <x v="0"/>
    <x v="64"/>
    <x v="205"/>
    <x v="1"/>
    <x v="756"/>
    <x v="756"/>
    <x v="1"/>
    <x v="0"/>
    <x v="10"/>
    <x v="9"/>
    <x v="60"/>
    <x v="3"/>
    <x v="619"/>
    <x v="1"/>
    <x v="5"/>
    <x v="611"/>
    <x v="688"/>
    <x v="8"/>
    <x v="6"/>
    <x v="719"/>
  </r>
  <r>
    <x v="757"/>
    <x v="0"/>
    <x v="534"/>
    <x v="7"/>
    <x v="2"/>
    <x v="757"/>
    <x v="757"/>
    <x v="0"/>
    <x v="0"/>
    <x v="1"/>
    <x v="1"/>
    <x v="144"/>
    <x v="1"/>
    <x v="106"/>
    <x v="0"/>
    <x v="3"/>
    <x v="107"/>
    <x v="689"/>
    <x v="3"/>
    <x v="0"/>
    <x v="720"/>
  </r>
  <r>
    <x v="758"/>
    <x v="0"/>
    <x v="149"/>
    <x v="553"/>
    <x v="1"/>
    <x v="758"/>
    <x v="758"/>
    <x v="0"/>
    <x v="0"/>
    <x v="51"/>
    <x v="3"/>
    <x v="272"/>
    <x v="0"/>
    <x v="620"/>
    <x v="2"/>
    <x v="12"/>
    <x v="612"/>
    <x v="94"/>
    <x v="6"/>
    <x v="2"/>
    <x v="721"/>
  </r>
  <r>
    <x v="759"/>
    <x v="1"/>
    <x v="500"/>
    <x v="554"/>
    <x v="1"/>
    <x v="759"/>
    <x v="759"/>
    <x v="1"/>
    <x v="0"/>
    <x v="59"/>
    <x v="5"/>
    <x v="74"/>
    <x v="2"/>
    <x v="85"/>
    <x v="1"/>
    <x v="11"/>
    <x v="86"/>
    <x v="690"/>
    <x v="8"/>
    <x v="2"/>
    <x v="722"/>
  </r>
  <r>
    <x v="760"/>
    <x v="0"/>
    <x v="61"/>
    <x v="59"/>
    <x v="0"/>
    <x v="760"/>
    <x v="760"/>
    <x v="1"/>
    <x v="0"/>
    <x v="12"/>
    <x v="5"/>
    <x v="122"/>
    <x v="2"/>
    <x v="621"/>
    <x v="1"/>
    <x v="4"/>
    <x v="613"/>
    <x v="105"/>
    <x v="1"/>
    <x v="2"/>
    <x v="723"/>
  </r>
  <r>
    <x v="761"/>
    <x v="0"/>
    <x v="253"/>
    <x v="19"/>
    <x v="2"/>
    <x v="761"/>
    <x v="761"/>
    <x v="0"/>
    <x v="0"/>
    <x v="4"/>
    <x v="4"/>
    <x v="5"/>
    <x v="1"/>
    <x v="159"/>
    <x v="2"/>
    <x v="12"/>
    <x v="160"/>
    <x v="593"/>
    <x v="0"/>
    <x v="0"/>
    <x v="618"/>
  </r>
  <r>
    <x v="762"/>
    <x v="1"/>
    <x v="312"/>
    <x v="161"/>
    <x v="3"/>
    <x v="762"/>
    <x v="762"/>
    <x v="2"/>
    <x v="0"/>
    <x v="1"/>
    <x v="1"/>
    <x v="1"/>
    <x v="1"/>
    <x v="622"/>
    <x v="0"/>
    <x v="0"/>
    <x v="614"/>
    <x v="691"/>
    <x v="1"/>
    <x v="10"/>
    <x v="724"/>
  </r>
  <r>
    <x v="763"/>
    <x v="0"/>
    <x v="183"/>
    <x v="379"/>
    <x v="1"/>
    <x v="763"/>
    <x v="763"/>
    <x v="2"/>
    <x v="0"/>
    <x v="75"/>
    <x v="23"/>
    <x v="308"/>
    <x v="3"/>
    <x v="623"/>
    <x v="1"/>
    <x v="6"/>
    <x v="615"/>
    <x v="102"/>
    <x v="0"/>
    <x v="2"/>
    <x v="725"/>
  </r>
  <r>
    <x v="764"/>
    <x v="0"/>
    <x v="535"/>
    <x v="417"/>
    <x v="1"/>
    <x v="764"/>
    <x v="764"/>
    <x v="1"/>
    <x v="0"/>
    <x v="10"/>
    <x v="9"/>
    <x v="11"/>
    <x v="3"/>
    <x v="624"/>
    <x v="0"/>
    <x v="3"/>
    <x v="616"/>
    <x v="692"/>
    <x v="8"/>
    <x v="2"/>
    <x v="726"/>
  </r>
  <r>
    <x v="765"/>
    <x v="0"/>
    <x v="420"/>
    <x v="489"/>
    <x v="1"/>
    <x v="765"/>
    <x v="765"/>
    <x v="0"/>
    <x v="0"/>
    <x v="249"/>
    <x v="8"/>
    <x v="309"/>
    <x v="2"/>
    <x v="625"/>
    <x v="2"/>
    <x v="10"/>
    <x v="617"/>
    <x v="693"/>
    <x v="6"/>
    <x v="0"/>
    <x v="727"/>
  </r>
  <r>
    <x v="766"/>
    <x v="0"/>
    <x v="12"/>
    <x v="555"/>
    <x v="1"/>
    <x v="766"/>
    <x v="766"/>
    <x v="0"/>
    <x v="0"/>
    <x v="3"/>
    <x v="39"/>
    <x v="310"/>
    <x v="3"/>
    <x v="626"/>
    <x v="1"/>
    <x v="5"/>
    <x v="618"/>
    <x v="694"/>
    <x v="0"/>
    <x v="0"/>
    <x v="728"/>
  </r>
  <r>
    <x v="767"/>
    <x v="0"/>
    <x v="536"/>
    <x v="521"/>
    <x v="1"/>
    <x v="767"/>
    <x v="767"/>
    <x v="0"/>
    <x v="0"/>
    <x v="51"/>
    <x v="27"/>
    <x v="65"/>
    <x v="0"/>
    <x v="627"/>
    <x v="2"/>
    <x v="12"/>
    <x v="619"/>
    <x v="695"/>
    <x v="0"/>
    <x v="0"/>
    <x v="729"/>
  </r>
  <r>
    <x v="768"/>
    <x v="0"/>
    <x v="537"/>
    <x v="95"/>
    <x v="1"/>
    <x v="768"/>
    <x v="768"/>
    <x v="0"/>
    <x v="0"/>
    <x v="203"/>
    <x v="3"/>
    <x v="249"/>
    <x v="0"/>
    <x v="546"/>
    <x v="0"/>
    <x v="3"/>
    <x v="540"/>
    <x v="696"/>
    <x v="3"/>
    <x v="2"/>
    <x v="730"/>
  </r>
  <r>
    <x v="769"/>
    <x v="0"/>
    <x v="265"/>
    <x v="556"/>
    <x v="0"/>
    <x v="769"/>
    <x v="769"/>
    <x v="1"/>
    <x v="0"/>
    <x v="100"/>
    <x v="2"/>
    <x v="121"/>
    <x v="0"/>
    <x v="628"/>
    <x v="0"/>
    <x v="3"/>
    <x v="620"/>
    <x v="697"/>
    <x v="1"/>
    <x v="2"/>
    <x v="731"/>
  </r>
  <r>
    <x v="770"/>
    <x v="0"/>
    <x v="538"/>
    <x v="103"/>
    <x v="1"/>
    <x v="770"/>
    <x v="770"/>
    <x v="0"/>
    <x v="0"/>
    <x v="1"/>
    <x v="1"/>
    <x v="1"/>
    <x v="1"/>
    <x v="629"/>
    <x v="2"/>
    <x v="10"/>
    <x v="621"/>
    <x v="698"/>
    <x v="6"/>
    <x v="2"/>
    <x v="732"/>
  </r>
  <r>
    <x v="771"/>
    <x v="0"/>
    <x v="539"/>
    <x v="557"/>
    <x v="2"/>
    <x v="771"/>
    <x v="771"/>
    <x v="1"/>
    <x v="0"/>
    <x v="250"/>
    <x v="33"/>
    <x v="311"/>
    <x v="3"/>
    <x v="630"/>
    <x v="1"/>
    <x v="7"/>
    <x v="622"/>
    <x v="699"/>
    <x v="8"/>
    <x v="0"/>
    <x v="733"/>
  </r>
  <r>
    <x v="772"/>
    <x v="0"/>
    <x v="274"/>
    <x v="558"/>
    <x v="1"/>
    <x v="772"/>
    <x v="772"/>
    <x v="0"/>
    <x v="0"/>
    <x v="143"/>
    <x v="6"/>
    <x v="180"/>
    <x v="2"/>
    <x v="312"/>
    <x v="1"/>
    <x v="8"/>
    <x v="312"/>
    <x v="700"/>
    <x v="1"/>
    <x v="0"/>
    <x v="734"/>
  </r>
  <r>
    <x v="773"/>
    <x v="0"/>
    <x v="540"/>
    <x v="374"/>
    <x v="1"/>
    <x v="773"/>
    <x v="773"/>
    <x v="2"/>
    <x v="0"/>
    <x v="153"/>
    <x v="17"/>
    <x v="195"/>
    <x v="0"/>
    <x v="529"/>
    <x v="2"/>
    <x v="12"/>
    <x v="523"/>
    <x v="701"/>
    <x v="3"/>
    <x v="0"/>
    <x v="735"/>
  </r>
  <r>
    <x v="774"/>
    <x v="0"/>
    <x v="541"/>
    <x v="559"/>
    <x v="2"/>
    <x v="774"/>
    <x v="774"/>
    <x v="1"/>
    <x v="0"/>
    <x v="1"/>
    <x v="1"/>
    <x v="59"/>
    <x v="1"/>
    <x v="631"/>
    <x v="0"/>
    <x v="2"/>
    <x v="623"/>
    <x v="702"/>
    <x v="0"/>
    <x v="2"/>
    <x v="736"/>
  </r>
  <r>
    <x v="775"/>
    <x v="0"/>
    <x v="542"/>
    <x v="560"/>
    <x v="0"/>
    <x v="775"/>
    <x v="775"/>
    <x v="1"/>
    <x v="0"/>
    <x v="20"/>
    <x v="15"/>
    <x v="42"/>
    <x v="3"/>
    <x v="604"/>
    <x v="1"/>
    <x v="5"/>
    <x v="596"/>
    <x v="703"/>
    <x v="3"/>
    <x v="2"/>
    <x v="737"/>
  </r>
  <r>
    <x v="776"/>
    <x v="0"/>
    <x v="543"/>
    <x v="561"/>
    <x v="1"/>
    <x v="776"/>
    <x v="776"/>
    <x v="2"/>
    <x v="0"/>
    <x v="145"/>
    <x v="0"/>
    <x v="182"/>
    <x v="0"/>
    <x v="3"/>
    <x v="0"/>
    <x v="3"/>
    <x v="3"/>
    <x v="77"/>
    <x v="3"/>
    <x v="0"/>
    <x v="738"/>
  </r>
  <r>
    <x v="777"/>
    <x v="0"/>
    <x v="169"/>
    <x v="541"/>
    <x v="1"/>
    <x v="777"/>
    <x v="777"/>
    <x v="1"/>
    <x v="0"/>
    <x v="22"/>
    <x v="10"/>
    <x v="139"/>
    <x v="2"/>
    <x v="68"/>
    <x v="1"/>
    <x v="8"/>
    <x v="69"/>
    <x v="704"/>
    <x v="3"/>
    <x v="2"/>
    <x v="739"/>
  </r>
  <r>
    <x v="778"/>
    <x v="0"/>
    <x v="544"/>
    <x v="562"/>
    <x v="2"/>
    <x v="778"/>
    <x v="778"/>
    <x v="1"/>
    <x v="0"/>
    <x v="8"/>
    <x v="1"/>
    <x v="9"/>
    <x v="1"/>
    <x v="3"/>
    <x v="0"/>
    <x v="3"/>
    <x v="3"/>
    <x v="705"/>
    <x v="4"/>
    <x v="0"/>
    <x v="740"/>
  </r>
  <r>
    <x v="779"/>
    <x v="0"/>
    <x v="159"/>
    <x v="162"/>
    <x v="1"/>
    <x v="779"/>
    <x v="779"/>
    <x v="1"/>
    <x v="0"/>
    <x v="75"/>
    <x v="29"/>
    <x v="93"/>
    <x v="3"/>
    <x v="585"/>
    <x v="0"/>
    <x v="3"/>
    <x v="578"/>
    <x v="706"/>
    <x v="1"/>
    <x v="0"/>
    <x v="741"/>
  </r>
  <r>
    <x v="780"/>
    <x v="0"/>
    <x v="73"/>
    <x v="394"/>
    <x v="2"/>
    <x v="780"/>
    <x v="780"/>
    <x v="0"/>
    <x v="0"/>
    <x v="41"/>
    <x v="1"/>
    <x v="49"/>
    <x v="1"/>
    <x v="632"/>
    <x v="1"/>
    <x v="5"/>
    <x v="624"/>
    <x v="707"/>
    <x v="1"/>
    <x v="2"/>
    <x v="742"/>
  </r>
  <r>
    <x v="781"/>
    <x v="0"/>
    <x v="205"/>
    <x v="563"/>
    <x v="1"/>
    <x v="781"/>
    <x v="781"/>
    <x v="0"/>
    <x v="0"/>
    <x v="36"/>
    <x v="31"/>
    <x v="103"/>
    <x v="0"/>
    <x v="633"/>
    <x v="1"/>
    <x v="5"/>
    <x v="625"/>
    <x v="708"/>
    <x v="1"/>
    <x v="0"/>
    <x v="743"/>
  </r>
  <r>
    <x v="782"/>
    <x v="0"/>
    <x v="545"/>
    <x v="564"/>
    <x v="1"/>
    <x v="782"/>
    <x v="782"/>
    <x v="1"/>
    <x v="0"/>
    <x v="104"/>
    <x v="5"/>
    <x v="129"/>
    <x v="2"/>
    <x v="634"/>
    <x v="2"/>
    <x v="10"/>
    <x v="626"/>
    <x v="709"/>
    <x v="4"/>
    <x v="2"/>
    <x v="744"/>
  </r>
  <r>
    <x v="783"/>
    <x v="0"/>
    <x v="180"/>
    <x v="413"/>
    <x v="1"/>
    <x v="783"/>
    <x v="783"/>
    <x v="1"/>
    <x v="0"/>
    <x v="104"/>
    <x v="19"/>
    <x v="269"/>
    <x v="0"/>
    <x v="635"/>
    <x v="1"/>
    <x v="8"/>
    <x v="627"/>
    <x v="710"/>
    <x v="6"/>
    <x v="0"/>
    <x v="745"/>
  </r>
  <r>
    <x v="784"/>
    <x v="0"/>
    <x v="546"/>
    <x v="565"/>
    <x v="1"/>
    <x v="784"/>
    <x v="784"/>
    <x v="2"/>
    <x v="0"/>
    <x v="76"/>
    <x v="17"/>
    <x v="94"/>
    <x v="0"/>
    <x v="636"/>
    <x v="0"/>
    <x v="3"/>
    <x v="628"/>
    <x v="711"/>
    <x v="1"/>
    <x v="0"/>
    <x v="746"/>
  </r>
  <r>
    <x v="785"/>
    <x v="0"/>
    <x v="547"/>
    <x v="566"/>
    <x v="1"/>
    <x v="785"/>
    <x v="785"/>
    <x v="1"/>
    <x v="0"/>
    <x v="22"/>
    <x v="10"/>
    <x v="34"/>
    <x v="2"/>
    <x v="637"/>
    <x v="1"/>
    <x v="4"/>
    <x v="629"/>
    <x v="712"/>
    <x v="6"/>
    <x v="2"/>
    <x v="747"/>
  </r>
  <r>
    <x v="786"/>
    <x v="0"/>
    <x v="548"/>
    <x v="548"/>
    <x v="1"/>
    <x v="786"/>
    <x v="786"/>
    <x v="2"/>
    <x v="0"/>
    <x v="166"/>
    <x v="1"/>
    <x v="208"/>
    <x v="1"/>
    <x v="497"/>
    <x v="1"/>
    <x v="4"/>
    <x v="491"/>
    <x v="539"/>
    <x v="0"/>
    <x v="0"/>
    <x v="557"/>
  </r>
  <r>
    <x v="787"/>
    <x v="0"/>
    <x v="455"/>
    <x v="567"/>
    <x v="1"/>
    <x v="787"/>
    <x v="787"/>
    <x v="2"/>
    <x v="0"/>
    <x v="10"/>
    <x v="9"/>
    <x v="98"/>
    <x v="3"/>
    <x v="336"/>
    <x v="1"/>
    <x v="5"/>
    <x v="336"/>
    <x v="713"/>
    <x v="6"/>
    <x v="6"/>
    <x v="748"/>
  </r>
  <r>
    <x v="788"/>
    <x v="0"/>
    <x v="549"/>
    <x v="568"/>
    <x v="2"/>
    <x v="788"/>
    <x v="788"/>
    <x v="1"/>
    <x v="0"/>
    <x v="10"/>
    <x v="9"/>
    <x v="11"/>
    <x v="3"/>
    <x v="638"/>
    <x v="1"/>
    <x v="8"/>
    <x v="630"/>
    <x v="451"/>
    <x v="1"/>
    <x v="2"/>
    <x v="749"/>
  </r>
  <r>
    <x v="789"/>
    <x v="0"/>
    <x v="144"/>
    <x v="89"/>
    <x v="0"/>
    <x v="789"/>
    <x v="789"/>
    <x v="2"/>
    <x v="0"/>
    <x v="126"/>
    <x v="22"/>
    <x v="312"/>
    <x v="2"/>
    <x v="639"/>
    <x v="1"/>
    <x v="11"/>
    <x v="631"/>
    <x v="714"/>
    <x v="8"/>
    <x v="0"/>
    <x v="750"/>
  </r>
  <r>
    <x v="790"/>
    <x v="0"/>
    <x v="550"/>
    <x v="336"/>
    <x v="1"/>
    <x v="790"/>
    <x v="790"/>
    <x v="0"/>
    <x v="0"/>
    <x v="251"/>
    <x v="10"/>
    <x v="313"/>
    <x v="2"/>
    <x v="212"/>
    <x v="1"/>
    <x v="8"/>
    <x v="213"/>
    <x v="715"/>
    <x v="4"/>
    <x v="2"/>
    <x v="751"/>
  </r>
  <r>
    <x v="791"/>
    <x v="0"/>
    <x v="243"/>
    <x v="217"/>
    <x v="0"/>
    <x v="791"/>
    <x v="791"/>
    <x v="0"/>
    <x v="0"/>
    <x v="191"/>
    <x v="23"/>
    <x v="267"/>
    <x v="3"/>
    <x v="640"/>
    <x v="1"/>
    <x v="6"/>
    <x v="632"/>
    <x v="716"/>
    <x v="1"/>
    <x v="2"/>
    <x v="752"/>
  </r>
  <r>
    <x v="792"/>
    <x v="0"/>
    <x v="551"/>
    <x v="493"/>
    <x v="2"/>
    <x v="792"/>
    <x v="792"/>
    <x v="0"/>
    <x v="0"/>
    <x v="44"/>
    <x v="23"/>
    <x v="52"/>
    <x v="3"/>
    <x v="235"/>
    <x v="2"/>
    <x v="12"/>
    <x v="236"/>
    <x v="241"/>
    <x v="1"/>
    <x v="2"/>
    <x v="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9:F14" firstHeaderRow="0" firstDataRow="1" firstDataCol="1" rowPageCount="1" colPageCount="1"/>
  <pivotFields count="21">
    <pivotField compact="0" numFmtId="18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3">
        <item x="0"/>
        <item x="1"/>
        <item t="default"/>
      </items>
    </pivotField>
    <pivotField compact="0" numFmtId="182" showAll="0">
      <items count="553">
        <item x="239"/>
        <item x="203"/>
        <item x="266"/>
        <item x="232"/>
        <item x="246"/>
        <item x="423"/>
        <item x="512"/>
        <item x="499"/>
        <item x="190"/>
        <item x="400"/>
        <item x="375"/>
        <item x="380"/>
        <item x="264"/>
        <item x="163"/>
        <item x="342"/>
        <item x="69"/>
        <item x="194"/>
        <item x="533"/>
        <item x="206"/>
        <item x="86"/>
        <item x="405"/>
        <item x="457"/>
        <item x="231"/>
        <item x="268"/>
        <item x="402"/>
        <item x="469"/>
        <item x="273"/>
        <item x="317"/>
        <item x="260"/>
        <item x="403"/>
        <item x="8"/>
        <item x="247"/>
        <item x="435"/>
        <item x="296"/>
        <item x="497"/>
        <item x="207"/>
        <item x="411"/>
        <item x="388"/>
        <item x="101"/>
        <item x="233"/>
        <item x="146"/>
        <item x="515"/>
        <item x="3"/>
        <item x="462"/>
        <item x="504"/>
        <item x="226"/>
        <item x="522"/>
        <item x="434"/>
        <item x="249"/>
        <item x="356"/>
        <item x="333"/>
        <item x="225"/>
        <item x="126"/>
        <item x="441"/>
        <item x="432"/>
        <item x="417"/>
        <item x="171"/>
        <item x="136"/>
        <item x="414"/>
        <item x="89"/>
        <item x="76"/>
        <item x="204"/>
        <item x="118"/>
        <item x="323"/>
        <item x="495"/>
        <item x="52"/>
        <item x="82"/>
        <item x="9"/>
        <item x="393"/>
        <item x="316"/>
        <item x="544"/>
        <item x="75"/>
        <item x="278"/>
        <item x="155"/>
        <item x="99"/>
        <item x="77"/>
        <item x="271"/>
        <item x="106"/>
        <item x="56"/>
        <item x="145"/>
        <item x="133"/>
        <item x="350"/>
        <item x="117"/>
        <item x="337"/>
        <item x="433"/>
        <item x="347"/>
        <item x="478"/>
        <item x="170"/>
        <item x="235"/>
        <item x="545"/>
        <item x="34"/>
        <item x="22"/>
        <item x="65"/>
        <item x="173"/>
        <item x="120"/>
        <item x="167"/>
        <item x="7"/>
        <item x="442"/>
        <item x="534"/>
        <item x="506"/>
        <item x="458"/>
        <item x="80"/>
        <item x="500"/>
        <item x="518"/>
        <item x="143"/>
        <item x="391"/>
        <item x="369"/>
        <item x="371"/>
        <item x="230"/>
        <item x="470"/>
        <item x="29"/>
        <item x="408"/>
        <item x="270"/>
        <item x="324"/>
        <item x="426"/>
        <item x="384"/>
        <item x="468"/>
        <item x="158"/>
        <item x="498"/>
        <item x="150"/>
        <item x="55"/>
        <item x="318"/>
        <item x="119"/>
        <item x="243"/>
        <item x="94"/>
        <item x="165"/>
        <item x="40"/>
        <item x="245"/>
        <item x="93"/>
        <item x="407"/>
        <item x="98"/>
        <item x="53"/>
        <item x="520"/>
        <item x="294"/>
        <item x="532"/>
        <item x="177"/>
        <item x="258"/>
        <item x="180"/>
        <item x="387"/>
        <item x="227"/>
        <item x="295"/>
        <item x="482"/>
        <item x="305"/>
        <item x="54"/>
        <item x="464"/>
        <item x="229"/>
        <item x="283"/>
        <item x="307"/>
        <item x="481"/>
        <item x="24"/>
        <item x="274"/>
        <item x="32"/>
        <item x="139"/>
        <item x="28"/>
        <item x="115"/>
        <item x="228"/>
        <item x="330"/>
        <item x="68"/>
        <item x="67"/>
        <item x="455"/>
        <item x="490"/>
        <item x="303"/>
        <item x="516"/>
        <item x="386"/>
        <item x="140"/>
        <item x="201"/>
        <item x="301"/>
        <item x="459"/>
        <item x="413"/>
        <item x="363"/>
        <item x="543"/>
        <item x="483"/>
        <item x="374"/>
        <item x="97"/>
        <item x="537"/>
        <item x="472"/>
        <item x="474"/>
        <item x="298"/>
        <item x="454"/>
        <item x="125"/>
        <item x="35"/>
        <item x="314"/>
        <item x="465"/>
        <item x="64"/>
        <item x="200"/>
        <item x="453"/>
        <item x="14"/>
        <item x="198"/>
        <item x="331"/>
        <item x="358"/>
        <item x="291"/>
        <item x="390"/>
        <item x="12"/>
        <item x="359"/>
        <item x="362"/>
        <item x="250"/>
        <item x="213"/>
        <item x="285"/>
        <item x="461"/>
        <item x="2"/>
        <item x="84"/>
        <item x="262"/>
        <item x="49"/>
        <item x="297"/>
        <item x="85"/>
        <item x="113"/>
        <item x="370"/>
        <item x="299"/>
        <item x="184"/>
        <item x="447"/>
        <item x="383"/>
        <item x="108"/>
        <item x="47"/>
        <item x="514"/>
        <item x="261"/>
        <item x="6"/>
        <item x="27"/>
        <item x="527"/>
        <item x="141"/>
        <item x="104"/>
        <item x="211"/>
        <item x="436"/>
        <item x="142"/>
        <item x="480"/>
        <item x="377"/>
        <item x="189"/>
        <item x="521"/>
        <item x="397"/>
        <item x="251"/>
        <item x="286"/>
        <item x="79"/>
        <item x="191"/>
        <item x="389"/>
        <item x="166"/>
        <item x="300"/>
        <item x="96"/>
        <item x="182"/>
        <item x="17"/>
        <item x="72"/>
        <item x="437"/>
        <item x="509"/>
        <item x="302"/>
        <item x="13"/>
        <item x="460"/>
        <item x="547"/>
        <item x="353"/>
        <item x="476"/>
        <item x="412"/>
        <item x="410"/>
        <item x="234"/>
        <item x="282"/>
        <item x="21"/>
        <item x="255"/>
        <item x="66"/>
        <item x="399"/>
        <item x="511"/>
        <item x="175"/>
        <item x="444"/>
        <item x="202"/>
        <item x="396"/>
        <item x="220"/>
        <item x="338"/>
        <item x="161"/>
        <item x="38"/>
        <item x="242"/>
        <item x="130"/>
        <item x="382"/>
        <item x="280"/>
        <item x="153"/>
        <item x="157"/>
        <item x="519"/>
        <item x="456"/>
        <item x="164"/>
        <item x="121"/>
        <item x="319"/>
        <item x="124"/>
        <item x="531"/>
        <item x="208"/>
        <item x="466"/>
        <item x="328"/>
        <item x="551"/>
        <item x="348"/>
        <item x="174"/>
        <item x="71"/>
        <item x="385"/>
        <item x="343"/>
        <item x="398"/>
        <item x="252"/>
        <item x="340"/>
        <item x="491"/>
        <item x="392"/>
        <item x="186"/>
        <item x="176"/>
        <item x="30"/>
        <item x="107"/>
        <item x="195"/>
        <item x="1"/>
        <item x="312"/>
        <item x="26"/>
        <item x="287"/>
        <item x="23"/>
        <item x="517"/>
        <item x="169"/>
        <item x="236"/>
        <item x="425"/>
        <item x="187"/>
        <item x="205"/>
        <item x="83"/>
        <item x="19"/>
        <item x="415"/>
        <item x="429"/>
        <item x="313"/>
        <item x="526"/>
        <item x="427"/>
        <item x="501"/>
        <item x="404"/>
        <item x="502"/>
        <item x="409"/>
        <item x="467"/>
        <item x="214"/>
        <item x="541"/>
        <item x="218"/>
        <item x="530"/>
        <item x="240"/>
        <item x="45"/>
        <item x="123"/>
        <item x="129"/>
        <item x="269"/>
        <item x="61"/>
        <item x="44"/>
        <item x="149"/>
        <item x="103"/>
        <item x="116"/>
        <item x="284"/>
        <item x="39"/>
        <item x="31"/>
        <item x="219"/>
        <item x="355"/>
        <item x="137"/>
        <item x="267"/>
        <item x="308"/>
        <item x="277"/>
        <item x="60"/>
        <item x="513"/>
        <item x="440"/>
        <item x="546"/>
        <item x="134"/>
        <item x="272"/>
        <item x="217"/>
        <item x="168"/>
        <item x="95"/>
        <item x="379"/>
        <item x="354"/>
        <item x="51"/>
        <item x="58"/>
        <item x="74"/>
        <item x="0"/>
        <item x="276"/>
        <item x="550"/>
        <item x="310"/>
        <item x="368"/>
        <item x="463"/>
        <item x="446"/>
        <item x="73"/>
        <item x="223"/>
        <item x="70"/>
        <item x="329"/>
        <item x="306"/>
        <item x="503"/>
        <item x="364"/>
        <item x="81"/>
        <item x="507"/>
        <item x="46"/>
        <item x="237"/>
        <item x="5"/>
        <item x="16"/>
        <item x="10"/>
        <item x="102"/>
        <item x="25"/>
        <item x="366"/>
        <item x="114"/>
        <item x="542"/>
        <item x="549"/>
        <item x="263"/>
        <item x="346"/>
        <item x="451"/>
        <item x="523"/>
        <item x="395"/>
        <item x="238"/>
        <item x="181"/>
        <item x="484"/>
        <item x="439"/>
        <item x="357"/>
        <item x="248"/>
        <item x="59"/>
        <item x="334"/>
        <item x="448"/>
        <item x="378"/>
        <item x="496"/>
        <item x="479"/>
        <item x="254"/>
        <item x="320"/>
        <item x="335"/>
        <item x="510"/>
        <item x="352"/>
        <item x="131"/>
        <item x="325"/>
        <item x="438"/>
        <item x="222"/>
        <item x="160"/>
        <item x="485"/>
        <item x="419"/>
        <item x="540"/>
        <item x="548"/>
        <item x="529"/>
        <item x="345"/>
        <item x="344"/>
        <item x="288"/>
        <item x="486"/>
        <item x="292"/>
        <item x="265"/>
        <item x="428"/>
        <item x="473"/>
        <item x="4"/>
        <item x="376"/>
        <item x="492"/>
        <item x="78"/>
        <item x="256"/>
        <item x="349"/>
        <item x="401"/>
        <item x="508"/>
        <item x="257"/>
        <item x="290"/>
        <item x="525"/>
        <item x="212"/>
        <item x="528"/>
        <item x="135"/>
        <item x="341"/>
        <item x="91"/>
        <item x="327"/>
        <item x="105"/>
        <item x="172"/>
        <item x="452"/>
        <item x="365"/>
        <item x="127"/>
        <item x="109"/>
        <item x="43"/>
        <item x="259"/>
        <item x="88"/>
        <item x="445"/>
        <item x="488"/>
        <item x="315"/>
        <item x="147"/>
        <item x="332"/>
        <item x="87"/>
        <item x="128"/>
        <item x="304"/>
        <item x="487"/>
        <item x="367"/>
        <item x="431"/>
        <item x="11"/>
        <item x="199"/>
        <item x="244"/>
        <item x="443"/>
        <item x="416"/>
        <item x="215"/>
        <item x="321"/>
        <item x="361"/>
        <item x="424"/>
        <item x="210"/>
        <item x="154"/>
        <item x="477"/>
        <item x="138"/>
        <item x="536"/>
        <item x="281"/>
        <item x="188"/>
        <item x="373"/>
        <item x="185"/>
        <item x="494"/>
        <item x="322"/>
        <item x="18"/>
        <item x="430"/>
        <item x="159"/>
        <item x="111"/>
        <item x="450"/>
        <item x="62"/>
        <item x="20"/>
        <item x="253"/>
        <item x="406"/>
        <item x="311"/>
        <item x="132"/>
        <item x="309"/>
        <item x="293"/>
        <item x="156"/>
        <item x="241"/>
        <item x="421"/>
        <item x="524"/>
        <item x="539"/>
        <item x="336"/>
        <item x="449"/>
        <item x="112"/>
        <item x="275"/>
        <item x="339"/>
        <item x="381"/>
        <item x="148"/>
        <item x="15"/>
        <item x="162"/>
        <item x="183"/>
        <item x="471"/>
        <item x="326"/>
        <item x="37"/>
        <item x="279"/>
        <item x="372"/>
        <item x="535"/>
        <item x="122"/>
        <item x="224"/>
        <item x="57"/>
        <item x="41"/>
        <item x="42"/>
        <item x="351"/>
        <item x="100"/>
        <item x="36"/>
        <item x="209"/>
        <item x="493"/>
        <item x="394"/>
        <item x="192"/>
        <item x="196"/>
        <item x="418"/>
        <item x="48"/>
        <item x="193"/>
        <item x="178"/>
        <item x="538"/>
        <item x="289"/>
        <item x="92"/>
        <item x="420"/>
        <item x="475"/>
        <item x="221"/>
        <item x="197"/>
        <item x="152"/>
        <item x="33"/>
        <item x="505"/>
        <item x="144"/>
        <item x="489"/>
        <item x="90"/>
        <item x="422"/>
        <item x="360"/>
        <item x="179"/>
        <item x="63"/>
        <item x="151"/>
        <item x="50"/>
        <item x="110"/>
        <item x="216"/>
        <item t="default"/>
      </items>
    </pivotField>
    <pivotField compact="0" numFmtId="182" showAll="0">
      <items count="570">
        <item x="250"/>
        <item x="209"/>
        <item x="243"/>
        <item x="257"/>
        <item x="442"/>
        <item x="530"/>
        <item x="193"/>
        <item x="401"/>
        <item x="404"/>
        <item x="275"/>
        <item x="166"/>
        <item x="372"/>
        <item x="67"/>
        <item x="197"/>
        <item x="340"/>
        <item x="212"/>
        <item x="82"/>
        <item x="426"/>
        <item x="482"/>
        <item x="240"/>
        <item x="280"/>
        <item x="423"/>
        <item x="510"/>
        <item x="494"/>
        <item x="284"/>
        <item x="341"/>
        <item x="8"/>
        <item x="424"/>
        <item x="258"/>
        <item x="454"/>
        <item x="312"/>
        <item x="213"/>
        <item x="432"/>
        <item x="414"/>
        <item x="99"/>
        <item x="244"/>
        <item x="146"/>
        <item x="549"/>
        <item x="539"/>
        <item x="175"/>
        <item x="3"/>
        <item x="278"/>
        <item x="499"/>
        <item x="488"/>
        <item x="235"/>
        <item x="535"/>
        <item x="544"/>
        <item x="453"/>
        <item x="364"/>
        <item x="259"/>
        <item x="234"/>
        <item x="347"/>
        <item x="126"/>
        <item x="451"/>
        <item x="461"/>
        <item x="438"/>
        <item x="136"/>
        <item x="459"/>
        <item x="86"/>
        <item x="276"/>
        <item x="72"/>
        <item x="210"/>
        <item x="117"/>
        <item x="523"/>
        <item x="52"/>
        <item x="416"/>
        <item x="79"/>
        <item x="9"/>
        <item x="525"/>
        <item x="339"/>
        <item x="562"/>
        <item x="71"/>
        <item x="157"/>
        <item x="288"/>
        <item x="295"/>
        <item x="97"/>
        <item x="198"/>
        <item x="73"/>
        <item x="105"/>
        <item x="145"/>
        <item x="120"/>
        <item x="56"/>
        <item x="263"/>
        <item x="133"/>
        <item x="378"/>
        <item x="116"/>
        <item x="476"/>
        <item x="452"/>
        <item x="376"/>
        <item x="172"/>
        <item x="246"/>
        <item x="564"/>
        <item x="34"/>
        <item x="21"/>
        <item x="62"/>
        <item x="174"/>
        <item x="502"/>
        <item x="119"/>
        <item x="169"/>
        <item x="308"/>
        <item x="528"/>
        <item x="462"/>
        <item x="7"/>
        <item x="483"/>
        <item x="487"/>
        <item x="77"/>
        <item x="143"/>
        <item x="554"/>
        <item x="456"/>
        <item x="342"/>
        <item x="415"/>
        <item x="395"/>
        <item x="239"/>
        <item x="397"/>
        <item x="76"/>
        <item x="28"/>
        <item x="428"/>
        <item x="350"/>
        <item x="282"/>
        <item x="409"/>
        <item x="445"/>
        <item x="492"/>
        <item x="160"/>
        <item x="150"/>
        <item x="55"/>
        <item x="118"/>
        <item x="217"/>
        <item x="254"/>
        <item x="92"/>
        <item x="167"/>
        <item x="40"/>
        <item x="91"/>
        <item x="466"/>
        <item x="427"/>
        <item x="96"/>
        <item x="53"/>
        <item x="310"/>
        <item x="543"/>
        <item x="552"/>
        <item x="179"/>
        <item x="269"/>
        <item x="182"/>
        <item x="413"/>
        <item x="311"/>
        <item x="236"/>
        <item x="337"/>
        <item x="504"/>
        <item x="323"/>
        <item x="54"/>
        <item x="238"/>
        <item x="293"/>
        <item x="325"/>
        <item x="23"/>
        <item x="285"/>
        <item x="558"/>
        <item x="31"/>
        <item x="27"/>
        <item x="113"/>
        <item x="237"/>
        <item x="358"/>
        <item x="65"/>
        <item x="66"/>
        <item x="291"/>
        <item x="480"/>
        <item x="567"/>
        <item x="319"/>
        <item x="512"/>
        <item x="540"/>
        <item x="412"/>
        <item x="140"/>
        <item x="322"/>
        <item x="207"/>
        <item x="315"/>
        <item x="484"/>
        <item x="434"/>
        <item x="388"/>
        <item x="506"/>
        <item x="561"/>
        <item x="399"/>
        <item x="95"/>
        <item x="496"/>
        <item x="498"/>
        <item x="314"/>
        <item x="477"/>
        <item x="125"/>
        <item x="186"/>
        <item x="35"/>
        <item x="61"/>
        <item x="205"/>
        <item x="475"/>
        <item x="14"/>
        <item x="203"/>
        <item x="361"/>
        <item x="516"/>
        <item x="555"/>
        <item x="12"/>
        <item x="260"/>
        <item x="220"/>
        <item x="486"/>
        <item x="80"/>
        <item x="273"/>
        <item x="2"/>
        <item x="49"/>
        <item x="348"/>
        <item x="313"/>
        <item x="385"/>
        <item x="81"/>
        <item x="396"/>
        <item x="187"/>
        <item x="467"/>
        <item x="107"/>
        <item x="47"/>
        <item x="538"/>
        <item x="271"/>
        <item x="6"/>
        <item x="26"/>
        <item x="305"/>
        <item x="141"/>
        <item x="218"/>
        <item x="102"/>
        <item x="464"/>
        <item x="142"/>
        <item x="503"/>
        <item x="199"/>
        <item x="479"/>
        <item x="192"/>
        <item x="419"/>
        <item x="261"/>
        <item x="298"/>
        <item x="468"/>
        <item x="75"/>
        <item x="194"/>
        <item x="168"/>
        <item x="94"/>
        <item x="16"/>
        <item x="184"/>
        <item x="455"/>
        <item x="317"/>
        <item x="13"/>
        <item x="485"/>
        <item x="566"/>
        <item x="382"/>
        <item x="500"/>
        <item x="433"/>
        <item x="430"/>
        <item x="245"/>
        <item x="292"/>
        <item x="20"/>
        <item x="390"/>
        <item x="64"/>
        <item x="266"/>
        <item x="421"/>
        <item x="177"/>
        <item x="251"/>
        <item x="208"/>
        <item x="418"/>
        <item x="229"/>
        <item x="368"/>
        <item x="164"/>
        <item x="253"/>
        <item x="38"/>
        <item x="290"/>
        <item x="130"/>
        <item x="518"/>
        <item x="196"/>
        <item x="155"/>
        <item x="411"/>
        <item x="159"/>
        <item x="542"/>
        <item x="481"/>
        <item x="121"/>
        <item x="124"/>
        <item x="214"/>
        <item x="327"/>
        <item x="490"/>
        <item x="493"/>
        <item x="355"/>
        <item x="471"/>
        <item x="69"/>
        <item x="176"/>
        <item x="407"/>
        <item x="410"/>
        <item x="262"/>
        <item x="373"/>
        <item x="420"/>
        <item x="370"/>
        <item x="513"/>
        <item x="307"/>
        <item x="189"/>
        <item x="178"/>
        <item x="29"/>
        <item x="98"/>
        <item x="106"/>
        <item x="161"/>
        <item x="33"/>
        <item x="1"/>
        <item x="333"/>
        <item x="25"/>
        <item x="299"/>
        <item x="405"/>
        <item x="297"/>
        <item x="22"/>
        <item x="541"/>
        <item x="171"/>
        <item x="356"/>
        <item x="444"/>
        <item x="247"/>
        <item x="460"/>
        <item x="190"/>
        <item x="345"/>
        <item x="563"/>
        <item x="211"/>
        <item x="18"/>
        <item x="435"/>
        <item x="335"/>
        <item x="446"/>
        <item x="531"/>
        <item x="532"/>
        <item x="425"/>
        <item x="429"/>
        <item x="491"/>
        <item x="509"/>
        <item x="559"/>
        <item x="331"/>
        <item x="221"/>
        <item x="545"/>
        <item x="227"/>
        <item x="123"/>
        <item x="45"/>
        <item x="129"/>
        <item x="281"/>
        <item x="59"/>
        <item x="321"/>
        <item x="149"/>
        <item x="44"/>
        <item x="553"/>
        <item x="215"/>
        <item x="115"/>
        <item x="101"/>
        <item x="228"/>
        <item x="294"/>
        <item x="448"/>
        <item x="39"/>
        <item x="30"/>
        <item x="329"/>
        <item x="137"/>
        <item x="279"/>
        <item x="287"/>
        <item x="437"/>
        <item x="58"/>
        <item x="537"/>
        <item x="134"/>
        <item x="283"/>
        <item x="565"/>
        <item x="334"/>
        <item x="139"/>
        <item x="93"/>
        <item x="170"/>
        <item x="353"/>
        <item x="383"/>
        <item x="202"/>
        <item x="272"/>
        <item x="51"/>
        <item x="0"/>
        <item x="286"/>
        <item x="336"/>
        <item x="394"/>
        <item x="328"/>
        <item x="70"/>
        <item x="318"/>
        <item x="68"/>
        <item x="393"/>
        <item x="357"/>
        <item x="526"/>
        <item x="389"/>
        <item x="533"/>
        <item x="324"/>
        <item x="78"/>
        <item x="46"/>
        <item x="249"/>
        <item x="63"/>
        <item x="5"/>
        <item x="360"/>
        <item x="10"/>
        <item x="100"/>
        <item x="226"/>
        <item x="24"/>
        <item x="391"/>
        <item x="112"/>
        <item x="222"/>
        <item x="363"/>
        <item x="560"/>
        <item x="568"/>
        <item x="375"/>
        <item x="274"/>
        <item x="472"/>
        <item x="546"/>
        <item x="183"/>
        <item x="332"/>
        <item x="458"/>
        <item x="384"/>
        <item x="57"/>
        <item x="365"/>
        <item x="469"/>
        <item x="524"/>
        <item x="403"/>
        <item x="501"/>
        <item x="265"/>
        <item x="343"/>
        <item x="519"/>
        <item x="366"/>
        <item x="131"/>
        <item x="381"/>
        <item x="351"/>
        <item x="520"/>
        <item x="457"/>
        <item x="232"/>
        <item x="163"/>
        <item x="478"/>
        <item x="507"/>
        <item x="440"/>
        <item x="548"/>
        <item x="374"/>
        <item x="517"/>
        <item x="300"/>
        <item x="534"/>
        <item x="306"/>
        <item x="556"/>
        <item x="277"/>
        <item x="114"/>
        <item x="447"/>
        <item x="527"/>
        <item x="4"/>
        <item x="402"/>
        <item x="514"/>
        <item x="267"/>
        <item x="74"/>
        <item x="377"/>
        <item x="422"/>
        <item x="536"/>
        <item x="268"/>
        <item x="303"/>
        <item x="495"/>
        <item x="349"/>
        <item x="219"/>
        <item x="242"/>
        <item x="547"/>
        <item x="550"/>
        <item x="135"/>
        <item x="371"/>
        <item x="88"/>
        <item x="354"/>
        <item x="230"/>
        <item x="104"/>
        <item x="173"/>
        <item x="551"/>
        <item x="224"/>
        <item x="497"/>
        <item x="127"/>
        <item x="43"/>
        <item x="270"/>
        <item x="154"/>
        <item x="85"/>
        <item x="408"/>
        <item x="465"/>
        <item x="338"/>
        <item x="147"/>
        <item x="362"/>
        <item x="380"/>
        <item x="128"/>
        <item x="84"/>
        <item x="511"/>
        <item x="392"/>
        <item x="11"/>
        <item x="450"/>
        <item x="474"/>
        <item x="204"/>
        <item x="255"/>
        <item x="463"/>
        <item x="436"/>
        <item x="223"/>
        <item x="344"/>
        <item x="387"/>
        <item x="443"/>
        <item x="529"/>
        <item x="156"/>
        <item x="138"/>
        <item x="521"/>
        <item x="296"/>
        <item x="241"/>
        <item x="191"/>
        <item x="188"/>
        <item x="522"/>
        <item x="346"/>
        <item x="17"/>
        <item x="110"/>
        <item x="162"/>
        <item x="248"/>
        <item x="256"/>
        <item x="19"/>
        <item x="330"/>
        <item x="264"/>
        <item x="449"/>
        <item x="326"/>
        <item x="132"/>
        <item x="309"/>
        <item x="252"/>
        <item x="158"/>
        <item x="367"/>
        <item x="557"/>
        <item x="470"/>
        <item x="111"/>
        <item x="369"/>
        <item x="148"/>
        <item x="406"/>
        <item x="15"/>
        <item x="165"/>
        <item x="379"/>
        <item x="185"/>
        <item x="352"/>
        <item x="289"/>
        <item x="37"/>
        <item x="398"/>
        <item x="233"/>
        <item x="122"/>
        <item x="417"/>
        <item x="153"/>
        <item x="505"/>
        <item x="473"/>
        <item x="42"/>
        <item x="41"/>
        <item x="83"/>
        <item x="36"/>
        <item x="216"/>
        <item x="304"/>
        <item x="320"/>
        <item x="195"/>
        <item x="515"/>
        <item x="439"/>
        <item x="431"/>
        <item x="180"/>
        <item x="48"/>
        <item x="103"/>
        <item x="302"/>
        <item x="206"/>
        <item x="489"/>
        <item x="90"/>
        <item x="231"/>
        <item x="200"/>
        <item x="32"/>
        <item x="152"/>
        <item x="108"/>
        <item x="89"/>
        <item x="144"/>
        <item x="400"/>
        <item x="316"/>
        <item x="87"/>
        <item x="508"/>
        <item x="441"/>
        <item x="386"/>
        <item x="181"/>
        <item x="60"/>
        <item x="151"/>
        <item x="50"/>
        <item x="301"/>
        <item x="109"/>
        <item x="359"/>
        <item x="201"/>
        <item x="22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53">
        <item x="57"/>
        <item x="224"/>
        <item x="187"/>
        <item x="230"/>
        <item x="239"/>
        <item x="76"/>
        <item x="251"/>
        <item x="77"/>
        <item x="140"/>
        <item x="107"/>
        <item x="101"/>
        <item x="32"/>
        <item x="133"/>
        <item x="212"/>
        <item x="144"/>
        <item x="39"/>
        <item x="138"/>
        <item x="205"/>
        <item x="213"/>
        <item x="69"/>
        <item x="185"/>
        <item x="37"/>
        <item x="209"/>
        <item x="157"/>
        <item x="164"/>
        <item x="126"/>
        <item x="49"/>
        <item x="229"/>
        <item x="129"/>
        <item x="70"/>
        <item x="33"/>
        <item x="207"/>
        <item x="128"/>
        <item x="22"/>
        <item x="71"/>
        <item x="223"/>
        <item x="124"/>
        <item x="159"/>
        <item x="215"/>
        <item x="74"/>
        <item x="65"/>
        <item x="36"/>
        <item x="3"/>
        <item x="241"/>
        <item x="183"/>
        <item x="176"/>
        <item x="137"/>
        <item x="250"/>
        <item x="59"/>
        <item x="246"/>
        <item x="119"/>
        <item x="26"/>
        <item x="171"/>
        <item x="58"/>
        <item x="90"/>
        <item x="64"/>
        <item x="18"/>
        <item x="63"/>
        <item x="27"/>
        <item x="16"/>
        <item x="48"/>
        <item x="188"/>
        <item x="225"/>
        <item x="234"/>
        <item x="163"/>
        <item x="135"/>
        <item x="186"/>
        <item x="52"/>
        <item x="105"/>
        <item x="168"/>
        <item x="222"/>
        <item x="2"/>
        <item x="5"/>
        <item x="45"/>
        <item x="9"/>
        <item x="166"/>
        <item x="99"/>
        <item x="23"/>
        <item x="108"/>
        <item x="237"/>
        <item x="53"/>
        <item x="189"/>
        <item x="112"/>
        <item x="199"/>
        <item x="167"/>
        <item x="118"/>
        <item x="165"/>
        <item x="78"/>
        <item x="55"/>
        <item x="85"/>
        <item x="0"/>
        <item x="81"/>
        <item x="132"/>
        <item x="240"/>
        <item x="235"/>
        <item x="12"/>
        <item x="95"/>
        <item x="104"/>
        <item x="42"/>
        <item x="198"/>
        <item x="72"/>
        <item x="179"/>
        <item x="97"/>
        <item x="100"/>
        <item x="226"/>
        <item x="200"/>
        <item x="191"/>
        <item x="161"/>
        <item x="228"/>
        <item x="192"/>
        <item x="184"/>
        <item x="236"/>
        <item x="141"/>
        <item x="109"/>
        <item x="67"/>
        <item x="75"/>
        <item x="139"/>
        <item x="162"/>
        <item x="117"/>
        <item x="233"/>
        <item x="92"/>
        <item x="96"/>
        <item x="248"/>
        <item x="238"/>
        <item x="147"/>
        <item x="103"/>
        <item x="220"/>
        <item x="80"/>
        <item x="146"/>
        <item x="1"/>
        <item x="145"/>
        <item x="83"/>
        <item x="204"/>
        <item x="6"/>
        <item x="84"/>
        <item x="217"/>
        <item x="219"/>
        <item x="114"/>
        <item x="244"/>
        <item x="62"/>
        <item x="15"/>
        <item x="25"/>
        <item x="111"/>
        <item x="243"/>
        <item x="94"/>
        <item x="173"/>
        <item x="143"/>
        <item x="29"/>
        <item x="227"/>
        <item x="121"/>
        <item x="178"/>
        <item x="51"/>
        <item x="110"/>
        <item x="131"/>
        <item x="82"/>
        <item x="172"/>
        <item x="154"/>
        <item x="14"/>
        <item x="19"/>
        <item x="149"/>
        <item x="98"/>
        <item x="20"/>
        <item x="44"/>
        <item x="181"/>
        <item x="196"/>
        <item x="150"/>
        <item x="158"/>
        <item x="134"/>
        <item x="247"/>
        <item x="201"/>
        <item x="190"/>
        <item x="249"/>
        <item x="211"/>
        <item x="11"/>
        <item x="34"/>
        <item x="130"/>
        <item x="102"/>
        <item x="106"/>
        <item x="177"/>
        <item x="43"/>
        <item x="89"/>
        <item x="91"/>
        <item x="210"/>
        <item x="10"/>
        <item x="40"/>
        <item x="174"/>
        <item x="242"/>
        <item x="30"/>
        <item x="169"/>
        <item x="170"/>
        <item x="87"/>
        <item x="203"/>
        <item x="54"/>
        <item x="13"/>
        <item x="115"/>
        <item x="151"/>
        <item x="28"/>
        <item x="122"/>
        <item x="245"/>
        <item x="41"/>
        <item x="160"/>
        <item x="152"/>
        <item x="61"/>
        <item x="216"/>
        <item x="31"/>
        <item x="155"/>
        <item x="79"/>
        <item x="116"/>
        <item x="148"/>
        <item x="218"/>
        <item x="50"/>
        <item x="68"/>
        <item x="8"/>
        <item x="47"/>
        <item x="142"/>
        <item x="66"/>
        <item x="46"/>
        <item x="4"/>
        <item x="221"/>
        <item x="195"/>
        <item x="175"/>
        <item x="206"/>
        <item x="24"/>
        <item x="214"/>
        <item x="197"/>
        <item x="232"/>
        <item x="73"/>
        <item x="113"/>
        <item x="88"/>
        <item x="182"/>
        <item x="193"/>
        <item x="156"/>
        <item x="136"/>
        <item x="21"/>
        <item x="86"/>
        <item x="202"/>
        <item x="125"/>
        <item x="35"/>
        <item x="231"/>
        <item x="123"/>
        <item x="180"/>
        <item x="153"/>
        <item x="120"/>
        <item x="93"/>
        <item x="194"/>
        <item x="208"/>
        <item x="127"/>
        <item x="7"/>
        <item x="56"/>
        <item x="17"/>
        <item x="60"/>
        <item x="38"/>
        <item t="default"/>
      </items>
    </pivotField>
    <pivotField axis="axisPage" compact="0" multipleItemSelectionAllowed="1" showAll="0">
      <items count="42">
        <item x="19"/>
        <item x="16"/>
        <item x="35"/>
        <item x="1"/>
        <item x="21"/>
        <item x="28"/>
        <item x="13"/>
        <item x="37"/>
        <item x="2"/>
        <item x="31"/>
        <item x="10"/>
        <item x="14"/>
        <item x="22"/>
        <item x="38"/>
        <item x="0"/>
        <item x="27"/>
        <item x="36"/>
        <item x="30"/>
        <item x="12"/>
        <item x="11"/>
        <item x="34"/>
        <item x="24"/>
        <item x="8"/>
        <item x="32"/>
        <item x="39"/>
        <item x="29"/>
        <item x="26"/>
        <item x="15"/>
        <item x="3"/>
        <item x="23"/>
        <item x="25"/>
        <item x="20"/>
        <item x="9"/>
        <item x="33"/>
        <item x="40"/>
        <item x="18"/>
        <item x="5"/>
        <item x="7"/>
        <item x="17"/>
        <item x="4"/>
        <item x="6"/>
        <item t="default"/>
      </items>
    </pivotField>
    <pivotField compact="0" numFmtId="180" showAll="0">
      <items count="315">
        <item x="117"/>
        <item x="102"/>
        <item x="108"/>
        <item x="231"/>
        <item x="301"/>
        <item x="114"/>
        <item x="211"/>
        <item x="311"/>
        <item x="310"/>
        <item x="263"/>
        <item x="104"/>
        <item x="190"/>
        <item x="216"/>
        <item x="66"/>
        <item x="184"/>
        <item x="70"/>
        <item x="181"/>
        <item x="96"/>
        <item x="230"/>
        <item x="225"/>
        <item x="93"/>
        <item x="258"/>
        <item x="186"/>
        <item x="29"/>
        <item x="151"/>
        <item x="23"/>
        <item x="42"/>
        <item x="166"/>
        <item x="119"/>
        <item x="232"/>
        <item x="169"/>
        <item x="127"/>
        <item x="24"/>
        <item x="124"/>
        <item x="254"/>
        <item x="206"/>
        <item x="226"/>
        <item x="130"/>
        <item x="280"/>
        <item x="187"/>
        <item x="163"/>
        <item x="71"/>
        <item x="60"/>
        <item x="11"/>
        <item x="98"/>
        <item x="300"/>
        <item x="46"/>
        <item x="21"/>
        <item x="240"/>
        <item x="201"/>
        <item x="188"/>
        <item x="260"/>
        <item x="28"/>
        <item x="94"/>
        <item x="253"/>
        <item x="162"/>
        <item x="243"/>
        <item x="195"/>
        <item x="220"/>
        <item x="161"/>
        <item x="227"/>
        <item x="245"/>
        <item x="164"/>
        <item x="87"/>
        <item x="249"/>
        <item x="33"/>
        <item x="209"/>
        <item x="4"/>
        <item x="120"/>
        <item x="272"/>
        <item x="40"/>
        <item x="279"/>
        <item x="142"/>
        <item x="217"/>
        <item x="176"/>
        <item x="202"/>
        <item x="219"/>
        <item x="133"/>
        <item x="153"/>
        <item x="250"/>
        <item x="103"/>
        <item x="305"/>
        <item x="165"/>
        <item x="121"/>
        <item x="288"/>
        <item x="214"/>
        <item x="18"/>
        <item x="167"/>
        <item x="110"/>
        <item x="115"/>
        <item x="2"/>
        <item x="91"/>
        <item x="261"/>
        <item x="143"/>
        <item x="97"/>
        <item x="136"/>
        <item x="291"/>
        <item x="31"/>
        <item x="210"/>
        <item x="269"/>
        <item x="137"/>
        <item x="223"/>
        <item x="257"/>
        <item x="276"/>
        <item x="75"/>
        <item x="101"/>
        <item x="45"/>
        <item x="30"/>
        <item x="304"/>
        <item x="81"/>
        <item x="118"/>
        <item x="207"/>
        <item x="182"/>
        <item x="146"/>
        <item x="215"/>
        <item x="251"/>
        <item x="0"/>
        <item x="79"/>
        <item x="52"/>
        <item x="150"/>
        <item x="286"/>
        <item x="44"/>
        <item x="270"/>
        <item x="198"/>
        <item x="183"/>
        <item x="159"/>
        <item x="308"/>
        <item x="222"/>
        <item x="267"/>
        <item x="78"/>
        <item x="72"/>
        <item x="69"/>
        <item x="88"/>
        <item x="141"/>
        <item x="244"/>
        <item x="203"/>
        <item x="281"/>
        <item x="22"/>
        <item x="123"/>
        <item x="152"/>
        <item x="294"/>
        <item x="109"/>
        <item x="171"/>
        <item x="20"/>
        <item x="80"/>
        <item x="135"/>
        <item x="155"/>
        <item x="77"/>
        <item x="204"/>
        <item x="189"/>
        <item x="174"/>
        <item x="43"/>
        <item x="312"/>
        <item x="53"/>
        <item x="246"/>
        <item x="180"/>
        <item x="7"/>
        <item x="140"/>
        <item x="172"/>
        <item x="83"/>
        <item x="38"/>
        <item x="19"/>
        <item x="36"/>
        <item x="35"/>
        <item x="274"/>
        <item x="313"/>
        <item x="296"/>
        <item x="126"/>
        <item x="241"/>
        <item x="278"/>
        <item x="170"/>
        <item x="41"/>
        <item x="157"/>
        <item x="17"/>
        <item x="26"/>
        <item x="34"/>
        <item x="139"/>
        <item x="303"/>
        <item x="112"/>
        <item x="47"/>
        <item x="107"/>
        <item x="64"/>
        <item x="265"/>
        <item x="197"/>
        <item x="50"/>
        <item x="134"/>
        <item x="284"/>
        <item x="247"/>
        <item x="10"/>
        <item x="309"/>
        <item x="238"/>
        <item x="292"/>
        <item x="173"/>
        <item x="65"/>
        <item x="131"/>
        <item x="58"/>
        <item x="306"/>
        <item x="248"/>
        <item x="233"/>
        <item x="283"/>
        <item x="228"/>
        <item x="298"/>
        <item x="67"/>
        <item x="224"/>
        <item x="15"/>
        <item x="158"/>
        <item x="299"/>
        <item x="149"/>
        <item x="74"/>
        <item x="160"/>
        <item x="255"/>
        <item x="235"/>
        <item x="6"/>
        <item x="63"/>
        <item x="16"/>
        <item x="122"/>
        <item x="14"/>
        <item x="297"/>
        <item x="129"/>
        <item x="85"/>
        <item x="264"/>
        <item x="148"/>
        <item x="62"/>
        <item x="302"/>
        <item x="199"/>
        <item x="105"/>
        <item x="192"/>
        <item x="168"/>
        <item x="285"/>
        <item x="234"/>
        <item x="95"/>
        <item x="39"/>
        <item x="256"/>
        <item x="194"/>
        <item x="271"/>
        <item x="132"/>
        <item x="73"/>
        <item x="275"/>
        <item x="92"/>
        <item x="212"/>
        <item x="307"/>
        <item x="12"/>
        <item x="8"/>
        <item x="268"/>
        <item x="289"/>
        <item x="48"/>
        <item x="138"/>
        <item x="27"/>
        <item x="54"/>
        <item x="293"/>
        <item x="273"/>
        <item x="106"/>
        <item x="277"/>
        <item x="290"/>
        <item x="61"/>
        <item x="242"/>
        <item x="113"/>
        <item x="25"/>
        <item x="144"/>
        <item x="3"/>
        <item x="1"/>
        <item x="59"/>
        <item x="13"/>
        <item x="90"/>
        <item x="76"/>
        <item x="218"/>
        <item x="99"/>
        <item x="51"/>
        <item x="259"/>
        <item x="128"/>
        <item x="205"/>
        <item x="84"/>
        <item x="193"/>
        <item x="178"/>
        <item x="282"/>
        <item x="295"/>
        <item x="100"/>
        <item x="68"/>
        <item x="191"/>
        <item x="177"/>
        <item x="196"/>
        <item x="221"/>
        <item x="116"/>
        <item x="229"/>
        <item x="154"/>
        <item x="179"/>
        <item x="175"/>
        <item x="208"/>
        <item x="185"/>
        <item x="9"/>
        <item x="89"/>
        <item x="32"/>
        <item x="86"/>
        <item x="125"/>
        <item x="213"/>
        <item x="287"/>
        <item x="200"/>
        <item x="82"/>
        <item x="55"/>
        <item x="262"/>
        <item x="266"/>
        <item x="49"/>
        <item x="37"/>
        <item x="239"/>
        <item x="147"/>
        <item x="237"/>
        <item x="5"/>
        <item x="56"/>
        <item x="57"/>
        <item x="111"/>
        <item x="145"/>
        <item x="236"/>
        <item x="156"/>
        <item x="252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642">
        <item x="441"/>
        <item x="557"/>
        <item x="0"/>
        <item x="502"/>
        <item x="137"/>
        <item x="514"/>
        <item x="84"/>
        <item x="596"/>
        <item x="383"/>
        <item x="575"/>
        <item x="248"/>
        <item x="622"/>
        <item x="13"/>
        <item x="164"/>
        <item x="174"/>
        <item x="31"/>
        <item x="195"/>
        <item x="466"/>
        <item x="27"/>
        <item x="239"/>
        <item x="443"/>
        <item x="511"/>
        <item x="231"/>
        <item x="482"/>
        <item x="493"/>
        <item x="203"/>
        <item x="532"/>
        <item x="488"/>
        <item x="520"/>
        <item x="128"/>
        <item x="279"/>
        <item x="11"/>
        <item x="397"/>
        <item x="399"/>
        <item x="103"/>
        <item x="193"/>
        <item x="589"/>
        <item x="569"/>
        <item x="508"/>
        <item x="215"/>
        <item x="56"/>
        <item x="325"/>
        <item x="618"/>
        <item x="565"/>
        <item x="275"/>
        <item x="598"/>
        <item x="227"/>
        <item x="99"/>
        <item x="162"/>
        <item x="612"/>
        <item x="256"/>
        <item x="175"/>
        <item x="535"/>
        <item x="171"/>
        <item x="228"/>
        <item x="259"/>
        <item x="636"/>
        <item x="341"/>
        <item x="380"/>
        <item x="196"/>
        <item x="64"/>
        <item x="42"/>
        <item x="233"/>
        <item x="555"/>
        <item x="553"/>
        <item x="282"/>
        <item x="473"/>
        <item x="615"/>
        <item x="190"/>
        <item x="301"/>
        <item x="571"/>
        <item x="3"/>
        <item x="125"/>
        <item x="330"/>
        <item x="624"/>
        <item x="462"/>
        <item x="124"/>
        <item x="50"/>
        <item x="237"/>
        <item x="317"/>
        <item x="131"/>
        <item x="523"/>
        <item x="55"/>
        <item x="332"/>
        <item x="429"/>
        <item x="492"/>
        <item x="585"/>
        <item x="106"/>
        <item x="384"/>
        <item x="121"/>
        <item x="528"/>
        <item x="424"/>
        <item x="176"/>
        <item x="442"/>
        <item x="92"/>
        <item x="242"/>
        <item x="207"/>
        <item x="402"/>
        <item x="370"/>
        <item x="394"/>
        <item x="595"/>
        <item x="628"/>
        <item x="551"/>
        <item x="225"/>
        <item x="290"/>
        <item x="605"/>
        <item x="591"/>
        <item x="590"/>
        <item x="395"/>
        <item x="453"/>
        <item x="249"/>
        <item x="280"/>
        <item x="120"/>
        <item x="320"/>
        <item x="546"/>
        <item x="271"/>
        <item x="564"/>
        <item x="543"/>
        <item x="163"/>
        <item x="61"/>
        <item x="524"/>
        <item x="2"/>
        <item x="148"/>
        <item x="521"/>
        <item x="338"/>
        <item x="456"/>
        <item x="609"/>
        <item x="173"/>
        <item x="53"/>
        <item x="186"/>
        <item x="510"/>
        <item x="613"/>
        <item x="406"/>
        <item x="251"/>
        <item x="117"/>
        <item x="331"/>
        <item x="631"/>
        <item x="90"/>
        <item x="57"/>
        <item x="468"/>
        <item x="372"/>
        <item x="470"/>
        <item x="144"/>
        <item x="491"/>
        <item x="66"/>
        <item x="44"/>
        <item x="361"/>
        <item x="145"/>
        <item x="244"/>
        <item x="76"/>
        <item x="623"/>
        <item x="63"/>
        <item x="138"/>
        <item x="255"/>
        <item x="548"/>
        <item x="200"/>
        <item x="463"/>
        <item x="229"/>
        <item x="33"/>
        <item x="351"/>
        <item x="108"/>
        <item x="6"/>
        <item x="344"/>
        <item x="515"/>
        <item x="238"/>
        <item x="236"/>
        <item x="479"/>
        <item x="77"/>
        <item x="91"/>
        <item x="640"/>
        <item x="556"/>
        <item x="360"/>
        <item x="208"/>
        <item x="593"/>
        <item x="158"/>
        <item x="381"/>
        <item x="243"/>
        <item x="218"/>
        <item x="386"/>
        <item x="574"/>
        <item x="323"/>
        <item x="337"/>
        <item x="10"/>
        <item x="350"/>
        <item x="166"/>
        <item x="51"/>
        <item x="611"/>
        <item x="376"/>
        <item x="172"/>
        <item x="312"/>
        <item x="342"/>
        <item x="62"/>
        <item x="98"/>
        <item x="340"/>
        <item x="439"/>
        <item x="428"/>
        <item x="471"/>
        <item x="356"/>
        <item x="68"/>
        <item x="189"/>
        <item x="426"/>
        <item x="78"/>
        <item x="318"/>
        <item x="34"/>
        <item x="469"/>
        <item x="292"/>
        <item x="28"/>
        <item x="123"/>
        <item x="390"/>
        <item x="400"/>
        <item x="179"/>
        <item x="9"/>
        <item x="597"/>
        <item x="568"/>
        <item x="635"/>
        <item x="545"/>
        <item x="616"/>
        <item x="127"/>
        <item x="212"/>
        <item x="273"/>
        <item x="500"/>
        <item x="404"/>
        <item x="205"/>
        <item x="601"/>
        <item x="112"/>
        <item x="517"/>
        <item x="346"/>
        <item x="425"/>
        <item x="418"/>
        <item x="191"/>
        <item x="373"/>
        <item x="378"/>
        <item x="136"/>
        <item x="362"/>
        <item x="217"/>
        <item x="638"/>
        <item x="161"/>
        <item x="74"/>
        <item x="287"/>
        <item x="86"/>
        <item x="150"/>
        <item x="39"/>
        <item x="151"/>
        <item x="321"/>
        <item x="572"/>
        <item x="484"/>
        <item x="333"/>
        <item x="88"/>
        <item x="202"/>
        <item x="298"/>
        <item x="278"/>
        <item x="531"/>
        <item x="168"/>
        <item x="118"/>
        <item x="222"/>
        <item x="604"/>
        <item x="417"/>
        <item x="272"/>
        <item x="122"/>
        <item x="303"/>
        <item x="274"/>
        <item x="540"/>
        <item x="477"/>
        <item x="288"/>
        <item x="472"/>
        <item x="413"/>
        <item x="544"/>
        <item x="12"/>
        <item x="257"/>
        <item x="188"/>
        <item x="100"/>
        <item x="43"/>
        <item x="81"/>
        <item x="134"/>
        <item x="142"/>
        <item x="232"/>
        <item x="392"/>
        <item x="302"/>
        <item x="476"/>
        <item x="226"/>
        <item x="140"/>
        <item x="199"/>
        <item x="626"/>
        <item x="407"/>
        <item x="411"/>
        <item x="485"/>
        <item x="483"/>
        <item x="474"/>
        <item x="58"/>
        <item x="245"/>
        <item x="135"/>
        <item x="537"/>
        <item x="503"/>
        <item x="266"/>
        <item x="54"/>
        <item x="5"/>
        <item x="348"/>
        <item x="599"/>
        <item x="336"/>
        <item x="427"/>
        <item x="300"/>
        <item x="297"/>
        <item x="349"/>
        <item x="550"/>
        <item x="326"/>
        <item x="633"/>
        <item x="153"/>
        <item x="73"/>
        <item x="324"/>
        <item x="567"/>
        <item x="487"/>
        <item x="32"/>
        <item x="518"/>
        <item x="432"/>
        <item x="375"/>
        <item x="448"/>
        <item x="415"/>
        <item x="23"/>
        <item x="154"/>
        <item x="496"/>
        <item x="167"/>
        <item x="130"/>
        <item x="30"/>
        <item x="366"/>
        <item x="307"/>
        <item x="41"/>
        <item x="619"/>
        <item x="632"/>
        <item x="309"/>
        <item x="35"/>
        <item x="305"/>
        <item x="261"/>
        <item x="254"/>
        <item x="187"/>
        <item x="85"/>
        <item x="72"/>
        <item x="329"/>
        <item x="359"/>
        <item x="16"/>
        <item x="434"/>
        <item x="639"/>
        <item x="327"/>
        <item x="513"/>
        <item x="610"/>
        <item x="371"/>
        <item x="24"/>
        <item x="97"/>
        <item x="52"/>
        <item x="129"/>
        <item x="343"/>
        <item x="454"/>
        <item x="505"/>
        <item x="192"/>
        <item x="119"/>
        <item x="420"/>
        <item x="445"/>
        <item x="209"/>
        <item x="204"/>
        <item x="549"/>
        <item x="1"/>
        <item x="527"/>
        <item x="457"/>
        <item x="422"/>
        <item x="139"/>
        <item x="206"/>
        <item x="277"/>
        <item x="69"/>
        <item x="455"/>
        <item x="264"/>
        <item x="358"/>
        <item x="181"/>
        <item x="450"/>
        <item x="322"/>
        <item x="512"/>
        <item x="295"/>
        <item x="364"/>
        <item x="96"/>
        <item x="542"/>
        <item x="296"/>
        <item x="465"/>
        <item x="283"/>
        <item x="160"/>
        <item x="451"/>
        <item x="14"/>
        <item x="315"/>
        <item x="352"/>
        <item x="316"/>
        <item x="539"/>
        <item x="577"/>
        <item x="29"/>
        <item x="410"/>
        <item x="452"/>
        <item x="354"/>
        <item x="75"/>
        <item x="116"/>
        <item x="536"/>
        <item x="497"/>
        <item x="433"/>
        <item x="335"/>
        <item x="293"/>
        <item x="538"/>
        <item x="334"/>
        <item x="223"/>
        <item x="566"/>
        <item x="559"/>
        <item x="286"/>
        <item x="412"/>
        <item x="416"/>
        <item x="314"/>
        <item x="522"/>
        <item x="252"/>
        <item x="60"/>
        <item x="423"/>
        <item x="621"/>
        <item x="357"/>
        <item x="157"/>
        <item x="67"/>
        <item x="262"/>
        <item x="347"/>
        <item x="533"/>
        <item x="507"/>
        <item x="141"/>
        <item x="582"/>
        <item x="313"/>
        <item x="490"/>
        <item x="170"/>
        <item x="592"/>
        <item x="306"/>
        <item x="586"/>
        <item x="4"/>
        <item x="269"/>
        <item x="101"/>
        <item x="552"/>
        <item x="115"/>
        <item x="387"/>
        <item x="89"/>
        <item x="444"/>
        <item x="414"/>
        <item x="562"/>
        <item x="70"/>
        <item x="377"/>
        <item x="547"/>
        <item x="143"/>
        <item x="385"/>
        <item x="40"/>
        <item x="45"/>
        <item x="608"/>
        <item x="102"/>
        <item x="541"/>
        <item x="311"/>
        <item x="398"/>
        <item x="554"/>
        <item x="637"/>
        <item x="506"/>
        <item x="281"/>
        <item x="509"/>
        <item x="435"/>
        <item x="46"/>
        <item x="177"/>
        <item x="486"/>
        <item x="258"/>
        <item x="579"/>
        <item x="389"/>
        <item x="516"/>
        <item x="504"/>
        <item x="495"/>
        <item x="299"/>
        <item x="446"/>
        <item x="211"/>
        <item x="104"/>
        <item x="573"/>
        <item x="578"/>
        <item x="614"/>
        <item x="146"/>
        <item x="489"/>
        <item x="603"/>
        <item x="328"/>
        <item x="8"/>
        <item x="430"/>
        <item x="584"/>
        <item x="234"/>
        <item x="25"/>
        <item x="560"/>
        <item x="379"/>
        <item x="94"/>
        <item x="263"/>
        <item x="460"/>
        <item x="155"/>
        <item x="105"/>
        <item x="388"/>
        <item x="198"/>
        <item x="83"/>
        <item x="87"/>
        <item x="221"/>
        <item x="240"/>
        <item x="156"/>
        <item x="21"/>
        <item x="184"/>
        <item x="630"/>
        <item x="230"/>
        <item x="304"/>
        <item x="403"/>
        <item x="438"/>
        <item x="268"/>
        <item x="393"/>
        <item x="178"/>
        <item x="213"/>
        <item x="114"/>
        <item x="19"/>
        <item x="38"/>
        <item x="79"/>
        <item x="18"/>
        <item x="36"/>
        <item x="588"/>
        <item x="113"/>
        <item x="7"/>
        <item x="355"/>
        <item x="368"/>
        <item x="576"/>
        <item x="194"/>
        <item x="594"/>
        <item x="419"/>
        <item x="294"/>
        <item x="345"/>
        <item x="458"/>
        <item x="561"/>
        <item x="219"/>
        <item x="241"/>
        <item x="214"/>
        <item x="260"/>
        <item x="159"/>
        <item x="20"/>
        <item x="107"/>
        <item x="408"/>
        <item x="291"/>
        <item x="49"/>
        <item x="185"/>
        <item x="449"/>
        <item x="95"/>
        <item x="201"/>
        <item x="180"/>
        <item x="602"/>
        <item x="47"/>
        <item x="481"/>
        <item x="480"/>
        <item x="494"/>
        <item x="581"/>
        <item x="37"/>
        <item x="22"/>
        <item x="250"/>
        <item x="82"/>
        <item x="498"/>
        <item x="284"/>
        <item x="310"/>
        <item x="519"/>
        <item x="467"/>
        <item x="627"/>
        <item x="436"/>
        <item x="529"/>
        <item x="365"/>
        <item x="606"/>
        <item x="285"/>
        <item x="48"/>
        <item x="253"/>
        <item x="71"/>
        <item x="235"/>
        <item x="247"/>
        <item x="530"/>
        <item x="620"/>
        <item x="111"/>
        <item x="401"/>
        <item x="26"/>
        <item x="147"/>
        <item x="339"/>
        <item x="583"/>
        <item x="369"/>
        <item x="478"/>
        <item x="267"/>
        <item x="534"/>
        <item x="165"/>
        <item x="109"/>
        <item x="149"/>
        <item x="396"/>
        <item x="169"/>
        <item x="246"/>
        <item x="265"/>
        <item x="224"/>
        <item x="437"/>
        <item x="65"/>
        <item x="391"/>
        <item x="580"/>
        <item x="183"/>
        <item x="431"/>
        <item x="587"/>
        <item x="197"/>
        <item x="499"/>
        <item x="634"/>
        <item x="182"/>
        <item x="220"/>
        <item x="110"/>
        <item x="308"/>
        <item x="276"/>
        <item x="289"/>
        <item x="501"/>
        <item x="625"/>
        <item x="459"/>
        <item x="525"/>
        <item x="93"/>
        <item x="563"/>
        <item x="59"/>
        <item x="126"/>
        <item x="210"/>
        <item x="558"/>
        <item x="464"/>
        <item x="367"/>
        <item x="600"/>
        <item x="526"/>
        <item x="409"/>
        <item x="319"/>
        <item x="152"/>
        <item x="607"/>
        <item x="80"/>
        <item x="617"/>
        <item x="382"/>
        <item x="421"/>
        <item x="132"/>
        <item x="216"/>
        <item x="270"/>
        <item x="405"/>
        <item x="17"/>
        <item x="629"/>
        <item x="475"/>
        <item x="374"/>
        <item x="133"/>
        <item x="363"/>
        <item x="440"/>
        <item x="353"/>
        <item x="461"/>
        <item x="570"/>
        <item x="447"/>
        <item x="15"/>
        <item t="default"/>
      </items>
    </pivotField>
    <pivotField compact="0" multipleItemSelectionAllowed="1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634">
        <item x="255"/>
        <item x="16"/>
        <item x="33"/>
        <item x="522"/>
        <item x="156"/>
        <item x="529"/>
        <item x="473"/>
        <item x="238"/>
        <item x="347"/>
        <item x="512"/>
        <item x="403"/>
        <item x="42"/>
        <item x="133"/>
        <item x="557"/>
        <item x="531"/>
        <item x="485"/>
        <item x="385"/>
        <item x="632"/>
        <item x="78"/>
        <item x="275"/>
        <item x="424"/>
        <item x="301"/>
        <item x="304"/>
        <item x="509"/>
        <item x="324"/>
        <item x="477"/>
        <item x="452"/>
        <item x="417"/>
        <item x="261"/>
        <item x="220"/>
        <item x="242"/>
        <item x="413"/>
        <item x="76"/>
        <item x="270"/>
        <item x="420"/>
        <item x="480"/>
        <item x="287"/>
        <item x="300"/>
        <item x="115"/>
        <item x="19"/>
        <item x="448"/>
        <item x="499"/>
        <item x="24"/>
        <item x="120"/>
        <item x="205"/>
        <item x="210"/>
        <item x="182"/>
        <item x="628"/>
        <item x="336"/>
        <item x="116"/>
        <item x="376"/>
        <item x="152"/>
        <item x="223"/>
        <item x="60"/>
        <item x="542"/>
        <item x="520"/>
        <item x="183"/>
        <item x="433"/>
        <item x="55"/>
        <item x="127"/>
        <item x="134"/>
        <item x="81"/>
        <item x="496"/>
        <item x="508"/>
        <item x="85"/>
        <item x="615"/>
        <item x="207"/>
        <item x="296"/>
        <item x="297"/>
        <item x="506"/>
        <item x="419"/>
        <item x="451"/>
        <item x="278"/>
        <item x="449"/>
        <item x="97"/>
        <item x="265"/>
        <item x="536"/>
        <item x="70"/>
        <item x="521"/>
        <item x="140"/>
        <item x="525"/>
        <item x="30"/>
        <item x="279"/>
        <item x="348"/>
        <item x="58"/>
        <item x="562"/>
        <item x="246"/>
        <item x="471"/>
        <item x="45"/>
        <item x="82"/>
        <item x="203"/>
        <item x="386"/>
        <item x="187"/>
        <item x="504"/>
        <item x="623"/>
        <item x="360"/>
        <item x="67"/>
        <item x="350"/>
        <item x="139"/>
        <item x="344"/>
        <item x="266"/>
        <item x="230"/>
        <item x="331"/>
        <item x="57"/>
        <item x="405"/>
        <item x="515"/>
        <item x="118"/>
        <item x="605"/>
        <item x="163"/>
        <item x="323"/>
        <item x="75"/>
        <item x="87"/>
        <item x="137"/>
        <item x="586"/>
        <item x="256"/>
        <item x="399"/>
        <item x="288"/>
        <item x="593"/>
        <item x="361"/>
        <item x="128"/>
        <item x="91"/>
        <item x="2"/>
        <item x="162"/>
        <item x="249"/>
        <item x="614"/>
        <item x="0"/>
        <item x="309"/>
        <item x="170"/>
        <item x="528"/>
        <item x="368"/>
        <item x="273"/>
        <item x="625"/>
        <item x="227"/>
        <item x="402"/>
        <item x="264"/>
        <item x="518"/>
        <item x="174"/>
        <item x="338"/>
        <item x="395"/>
        <item x="418"/>
        <item x="111"/>
        <item x="469"/>
        <item x="564"/>
        <item x="211"/>
        <item x="277"/>
        <item x="617"/>
        <item x="125"/>
        <item x="23"/>
        <item x="322"/>
        <item x="208"/>
        <item x="587"/>
        <item x="454"/>
        <item x="544"/>
        <item x="422"/>
        <item x="151"/>
        <item x="247"/>
        <item x="390"/>
        <item x="467"/>
        <item x="302"/>
        <item x="226"/>
        <item x="578"/>
        <item x="257"/>
        <item x="88"/>
        <item x="387"/>
        <item x="584"/>
        <item x="126"/>
        <item x="412"/>
        <item x="167"/>
        <item x="274"/>
        <item x="293"/>
        <item x="342"/>
        <item x="435"/>
        <item x="129"/>
        <item x="445"/>
        <item x="14"/>
        <item x="178"/>
        <item x="608"/>
        <item x="32"/>
        <item x="235"/>
        <item x="107"/>
        <item x="234"/>
        <item x="93"/>
        <item x="547"/>
        <item x="341"/>
        <item x="18"/>
        <item x="177"/>
        <item x="330"/>
        <item x="565"/>
        <item x="549"/>
        <item x="545"/>
        <item x="3"/>
        <item x="486"/>
        <item x="195"/>
        <item x="616"/>
        <item x="369"/>
        <item x="517"/>
        <item x="38"/>
        <item x="283"/>
        <item x="176"/>
        <item x="122"/>
        <item x="272"/>
        <item x="202"/>
        <item x="166"/>
        <item x="109"/>
        <item x="384"/>
        <item x="92"/>
        <item x="201"/>
        <item x="237"/>
        <item x="537"/>
        <item x="583"/>
        <item x="540"/>
        <item x="281"/>
        <item x="191"/>
        <item x="124"/>
        <item x="370"/>
        <item x="44"/>
        <item x="289"/>
        <item x="303"/>
        <item x="353"/>
        <item x="185"/>
        <item x="5"/>
        <item x="326"/>
        <item x="497"/>
        <item x="106"/>
        <item x="8"/>
        <item x="328"/>
        <item x="219"/>
        <item x="305"/>
        <item x="41"/>
        <item x="456"/>
        <item x="332"/>
        <item x="558"/>
        <item x="123"/>
        <item x="54"/>
        <item x="468"/>
        <item x="466"/>
        <item x="267"/>
        <item x="299"/>
        <item x="101"/>
        <item x="478"/>
        <item x="596"/>
        <item x="333"/>
        <item x="618"/>
        <item x="168"/>
        <item x="429"/>
        <item x="406"/>
        <item x="481"/>
        <item x="591"/>
        <item x="258"/>
        <item x="470"/>
        <item x="443"/>
        <item x="119"/>
        <item x="611"/>
        <item x="15"/>
        <item x="438"/>
        <item x="428"/>
        <item x="172"/>
        <item x="194"/>
        <item x="56"/>
        <item x="11"/>
        <item x="175"/>
        <item x="396"/>
        <item x="559"/>
        <item x="505"/>
        <item x="104"/>
        <item x="100"/>
        <item x="228"/>
        <item x="610"/>
        <item x="526"/>
        <item x="59"/>
        <item x="240"/>
        <item x="27"/>
        <item x="563"/>
        <item x="592"/>
        <item x="241"/>
        <item x="21"/>
        <item x="621"/>
        <item x="439"/>
        <item x="457"/>
        <item x="268"/>
        <item x="472"/>
        <item x="31"/>
        <item x="146"/>
        <item x="6"/>
        <item x="25"/>
        <item x="325"/>
        <item x="462"/>
        <item x="204"/>
        <item x="165"/>
        <item x="371"/>
        <item x="460"/>
        <item x="149"/>
        <item x="53"/>
        <item x="568"/>
        <item x="245"/>
        <item x="359"/>
        <item x="222"/>
        <item x="607"/>
        <item x="597"/>
        <item x="121"/>
        <item x="426"/>
        <item x="62"/>
        <item x="492"/>
        <item x="573"/>
        <item x="28"/>
        <item x="51"/>
        <item x="290"/>
        <item x="217"/>
        <item x="131"/>
        <item x="415"/>
        <item x="514"/>
        <item x="251"/>
        <item x="236"/>
        <item x="22"/>
        <item x="461"/>
        <item x="181"/>
        <item x="553"/>
        <item x="453"/>
        <item x="169"/>
        <item x="599"/>
        <item x="519"/>
        <item x="271"/>
        <item x="35"/>
        <item x="380"/>
        <item x="244"/>
        <item x="77"/>
        <item x="550"/>
        <item x="432"/>
        <item x="286"/>
        <item x="252"/>
        <item x="298"/>
        <item x="327"/>
        <item x="398"/>
        <item x="72"/>
        <item x="601"/>
        <item x="150"/>
        <item x="110"/>
        <item x="404"/>
        <item x="276"/>
        <item x="291"/>
        <item x="254"/>
        <item x="319"/>
        <item x="444"/>
        <item x="400"/>
        <item x="524"/>
        <item x="407"/>
        <item x="594"/>
        <item x="47"/>
        <item x="475"/>
        <item x="49"/>
        <item x="37"/>
        <item x="379"/>
        <item x="320"/>
        <item x="250"/>
        <item x="421"/>
        <item x="50"/>
        <item x="262"/>
        <item x="215"/>
        <item x="229"/>
        <item x="243"/>
        <item x="339"/>
        <item x="310"/>
        <item x="292"/>
        <item x="455"/>
        <item x="612"/>
        <item x="523"/>
        <item x="576"/>
        <item x="598"/>
        <item x="96"/>
        <item x="488"/>
        <item x="48"/>
        <item x="316"/>
        <item x="112"/>
        <item x="221"/>
        <item x="626"/>
        <item x="381"/>
        <item x="489"/>
        <item x="602"/>
        <item x="577"/>
        <item x="248"/>
        <item x="465"/>
        <item x="630"/>
        <item x="69"/>
        <item x="218"/>
        <item x="627"/>
        <item x="10"/>
        <item x="312"/>
        <item x="425"/>
        <item x="354"/>
        <item x="192"/>
        <item x="349"/>
        <item x="213"/>
        <item x="345"/>
        <item x="463"/>
        <item x="337"/>
        <item x="372"/>
        <item x="416"/>
        <item x="9"/>
        <item x="63"/>
        <item x="173"/>
        <item x="479"/>
        <item x="603"/>
        <item x="351"/>
        <item x="494"/>
        <item x="94"/>
        <item x="153"/>
        <item x="552"/>
        <item x="366"/>
        <item x="502"/>
        <item x="216"/>
        <item x="145"/>
        <item x="482"/>
        <item x="232"/>
        <item x="604"/>
        <item x="476"/>
        <item x="487"/>
        <item x="130"/>
        <item x="98"/>
        <item x="52"/>
        <item x="551"/>
        <item x="590"/>
        <item x="389"/>
        <item x="377"/>
        <item x="198"/>
        <item x="17"/>
        <item x="631"/>
        <item x="365"/>
        <item x="375"/>
        <item x="212"/>
        <item x="84"/>
        <item x="367"/>
        <item x="409"/>
        <item x="434"/>
        <item x="66"/>
        <item x="619"/>
        <item x="364"/>
        <item x="580"/>
        <item x="543"/>
        <item x="86"/>
        <item x="308"/>
        <item x="493"/>
        <item x="495"/>
        <item x="117"/>
        <item x="362"/>
        <item x="180"/>
        <item x="539"/>
        <item x="423"/>
        <item x="555"/>
        <item x="200"/>
        <item x="233"/>
        <item x="34"/>
        <item x="89"/>
        <item x="410"/>
        <item x="225"/>
        <item x="436"/>
        <item x="340"/>
        <item x="113"/>
        <item x="285"/>
        <item x="574"/>
        <item x="442"/>
        <item x="269"/>
        <item x="581"/>
        <item x="355"/>
        <item x="329"/>
        <item x="13"/>
        <item x="190"/>
        <item x="427"/>
        <item x="624"/>
        <item x="313"/>
        <item x="589"/>
        <item x="108"/>
        <item x="179"/>
        <item x="114"/>
        <item x="392"/>
        <item x="196"/>
        <item x="464"/>
        <item x="582"/>
        <item x="36"/>
        <item x="622"/>
        <item x="450"/>
        <item x="458"/>
        <item x="83"/>
        <item x="474"/>
        <item x="79"/>
        <item x="99"/>
        <item x="209"/>
        <item x="64"/>
        <item x="138"/>
        <item x="382"/>
        <item x="569"/>
        <item x="437"/>
        <item x="1"/>
        <item x="356"/>
        <item x="65"/>
        <item x="260"/>
        <item x="408"/>
        <item x="554"/>
        <item x="280"/>
        <item x="609"/>
        <item x="29"/>
        <item x="148"/>
        <item x="160"/>
        <item x="186"/>
        <item x="575"/>
        <item x="68"/>
        <item x="335"/>
        <item x="90"/>
        <item x="147"/>
        <item x="538"/>
        <item x="184"/>
        <item x="620"/>
        <item x="318"/>
        <item x="73"/>
        <item x="159"/>
        <item x="295"/>
        <item x="317"/>
        <item x="363"/>
        <item x="193"/>
        <item x="511"/>
        <item x="199"/>
        <item x="343"/>
        <item x="135"/>
        <item x="188"/>
        <item x="7"/>
        <item x="157"/>
        <item x="571"/>
        <item x="132"/>
        <item x="401"/>
        <item x="197"/>
        <item x="80"/>
        <item x="570"/>
        <item x="95"/>
        <item x="231"/>
        <item x="394"/>
        <item x="306"/>
        <item x="606"/>
        <item x="259"/>
        <item x="530"/>
        <item x="214"/>
        <item x="43"/>
        <item x="239"/>
        <item x="136"/>
        <item x="155"/>
        <item x="39"/>
        <item x="358"/>
        <item x="588"/>
        <item x="46"/>
        <item x="20"/>
        <item x="26"/>
        <item x="189"/>
        <item x="507"/>
        <item x="513"/>
        <item x="393"/>
        <item x="383"/>
        <item x="164"/>
        <item x="440"/>
        <item x="431"/>
        <item x="560"/>
        <item x="141"/>
        <item x="534"/>
        <item x="12"/>
        <item x="154"/>
        <item x="143"/>
        <item x="490"/>
        <item x="414"/>
        <item x="391"/>
        <item x="307"/>
        <item x="561"/>
        <item x="74"/>
        <item x="373"/>
        <item x="314"/>
        <item x="447"/>
        <item x="105"/>
        <item x="541"/>
        <item x="378"/>
        <item x="388"/>
        <item x="346"/>
        <item x="579"/>
        <item x="294"/>
        <item x="446"/>
        <item x="533"/>
        <item x="572"/>
        <item x="585"/>
        <item x="516"/>
        <item x="171"/>
        <item x="357"/>
        <item x="397"/>
        <item x="161"/>
        <item x="535"/>
        <item x="532"/>
        <item x="71"/>
        <item x="595"/>
        <item x="142"/>
        <item x="459"/>
        <item x="430"/>
        <item x="441"/>
        <item x="629"/>
        <item x="61"/>
        <item x="352"/>
        <item x="546"/>
        <item x="103"/>
        <item x="498"/>
        <item x="144"/>
        <item x="263"/>
        <item x="503"/>
        <item x="4"/>
        <item x="224"/>
        <item x="158"/>
        <item x="556"/>
        <item x="491"/>
        <item x="501"/>
        <item x="311"/>
        <item x="500"/>
        <item x="548"/>
        <item x="40"/>
        <item x="334"/>
        <item x="613"/>
        <item x="411"/>
        <item x="284"/>
        <item x="600"/>
        <item x="315"/>
        <item x="527"/>
        <item x="483"/>
        <item x="282"/>
        <item x="510"/>
        <item x="253"/>
        <item x="567"/>
        <item x="102"/>
        <item x="484"/>
        <item x="374"/>
        <item x="566"/>
        <item x="206"/>
        <item x="321"/>
        <item t="default"/>
      </items>
    </pivotField>
    <pivotField dataField="1" compact="0" numFmtId="181" showAll="0">
      <items count="718">
        <item x="408"/>
        <item x="334"/>
        <item x="581"/>
        <item x="33"/>
        <item x="112"/>
        <item x="690"/>
        <item x="355"/>
        <item x="664"/>
        <item x="525"/>
        <item x="415"/>
        <item x="434"/>
        <item x="101"/>
        <item x="58"/>
        <item x="150"/>
        <item x="251"/>
        <item x="191"/>
        <item x="381"/>
        <item x="543"/>
        <item x="303"/>
        <item x="171"/>
        <item x="90"/>
        <item x="407"/>
        <item x="637"/>
        <item x="80"/>
        <item x="227"/>
        <item x="692"/>
        <item x="332"/>
        <item x="631"/>
        <item x="437"/>
        <item x="441"/>
        <item x="212"/>
        <item x="666"/>
        <item x="352"/>
        <item x="31"/>
        <item x="134"/>
        <item x="168"/>
        <item x="125"/>
        <item x="550"/>
        <item x="443"/>
        <item x="643"/>
        <item x="516"/>
        <item x="300"/>
        <item x="630"/>
        <item x="647"/>
        <item x="401"/>
        <item x="386"/>
        <item x="704"/>
        <item x="597"/>
        <item x="100"/>
        <item x="42"/>
        <item x="444"/>
        <item x="307"/>
        <item x="182"/>
        <item x="72"/>
        <item x="330"/>
        <item x="357"/>
        <item x="365"/>
        <item x="560"/>
        <item x="390"/>
        <item x="70"/>
        <item x="166"/>
        <item x="447"/>
        <item x="138"/>
        <item x="671"/>
        <item x="363"/>
        <item x="339"/>
        <item x="83"/>
        <item x="714"/>
        <item x="526"/>
        <item x="302"/>
        <item x="572"/>
        <item x="88"/>
        <item x="562"/>
        <item x="137"/>
        <item x="108"/>
        <item x="492"/>
        <item x="135"/>
        <item x="333"/>
        <item x="185"/>
        <item x="143"/>
        <item x="596"/>
        <item x="523"/>
        <item x="707"/>
        <item x="229"/>
        <item x="9"/>
        <item x="356"/>
        <item x="145"/>
        <item x="438"/>
        <item x="232"/>
        <item x="587"/>
        <item x="63"/>
        <item x="349"/>
        <item x="316"/>
        <item x="181"/>
        <item x="222"/>
        <item x="602"/>
        <item x="489"/>
        <item x="688"/>
        <item x="423"/>
        <item x="157"/>
        <item x="445"/>
        <item x="294"/>
        <item x="429"/>
        <item x="331"/>
        <item x="76"/>
        <item x="264"/>
        <item x="287"/>
        <item x="544"/>
        <item x="371"/>
        <item x="689"/>
        <item x="446"/>
        <item x="684"/>
        <item x="260"/>
        <item x="104"/>
        <item x="337"/>
        <item x="403"/>
        <item x="208"/>
        <item x="465"/>
        <item x="591"/>
        <item x="351"/>
        <item x="497"/>
        <item x="378"/>
        <item x="404"/>
        <item x="461"/>
        <item x="280"/>
        <item x="673"/>
        <item x="373"/>
        <item x="224"/>
        <item x="13"/>
        <item x="272"/>
        <item x="343"/>
        <item x="273"/>
        <item x="617"/>
        <item x="375"/>
        <item x="110"/>
        <item x="322"/>
        <item x="571"/>
        <item x="697"/>
        <item x="383"/>
        <item x="648"/>
        <item x="153"/>
        <item x="391"/>
        <item x="474"/>
        <item x="41"/>
        <item x="211"/>
        <item x="277"/>
        <item x="627"/>
        <item x="549"/>
        <item x="432"/>
        <item x="395"/>
        <item x="310"/>
        <item x="342"/>
        <item x="27"/>
        <item x="116"/>
        <item x="715"/>
        <item x="567"/>
        <item x="87"/>
        <item x="252"/>
        <item x="594"/>
        <item x="1"/>
        <item x="180"/>
        <item x="534"/>
        <item x="243"/>
        <item x="685"/>
        <item x="35"/>
        <item x="580"/>
        <item x="126"/>
        <item x="651"/>
        <item x="25"/>
        <item x="604"/>
        <item x="4"/>
        <item x="313"/>
        <item x="344"/>
        <item x="304"/>
        <item x="672"/>
        <item x="132"/>
        <item x="451"/>
        <item x="201"/>
        <item x="686"/>
        <item x="324"/>
        <item x="439"/>
        <item x="309"/>
        <item x="502"/>
        <item x="269"/>
        <item x="388"/>
        <item x="448"/>
        <item x="282"/>
        <item x="713"/>
        <item x="193"/>
        <item x="103"/>
        <item x="632"/>
        <item x="239"/>
        <item x="238"/>
        <item x="510"/>
        <item x="483"/>
        <item x="586"/>
        <item x="121"/>
        <item x="473"/>
        <item x="209"/>
        <item x="10"/>
        <item x="710"/>
        <item x="538"/>
        <item x="359"/>
        <item x="514"/>
        <item x="38"/>
        <item x="61"/>
        <item x="40"/>
        <item x="288"/>
        <item x="111"/>
        <item x="141"/>
        <item x="614"/>
        <item x="97"/>
        <item x="488"/>
        <item x="77"/>
        <item x="462"/>
        <item x="91"/>
        <item x="424"/>
        <item x="485"/>
        <item x="195"/>
        <item x="290"/>
        <item x="190"/>
        <item x="278"/>
        <item x="364"/>
        <item x="515"/>
        <item x="142"/>
        <item x="151"/>
        <item x="175"/>
        <item x="98"/>
        <item x="248"/>
        <item x="46"/>
        <item x="464"/>
        <item x="346"/>
        <item x="398"/>
        <item x="561"/>
        <item x="262"/>
        <item x="276"/>
        <item x="81"/>
        <item x="615"/>
        <item x="410"/>
        <item x="682"/>
        <item x="325"/>
        <item x="625"/>
        <item x="105"/>
        <item x="652"/>
        <item x="528"/>
        <item x="123"/>
        <item x="622"/>
        <item x="326"/>
        <item x="75"/>
        <item x="607"/>
        <item x="74"/>
        <item x="361"/>
        <item x="540"/>
        <item x="15"/>
        <item x="328"/>
        <item x="183"/>
        <item x="411"/>
        <item x="541"/>
        <item x="566"/>
        <item x="592"/>
        <item x="249"/>
        <item x="430"/>
        <item x="308"/>
        <item x="348"/>
        <item x="170"/>
        <item x="284"/>
        <item x="600"/>
        <item x="283"/>
        <item x="532"/>
        <item x="484"/>
        <item x="466"/>
        <item x="703"/>
        <item x="507"/>
        <item x="491"/>
        <item x="94"/>
        <item x="595"/>
        <item x="460"/>
        <item x="234"/>
        <item x="158"/>
        <item x="156"/>
        <item x="197"/>
        <item x="708"/>
        <item x="345"/>
        <item x="431"/>
        <item x="641"/>
        <item x="406"/>
        <item x="117"/>
        <item x="85"/>
        <item x="296"/>
        <item x="311"/>
        <item x="24"/>
        <item x="418"/>
        <item x="399"/>
        <item x="393"/>
        <item x="527"/>
        <item x="301"/>
        <item x="455"/>
        <item x="52"/>
        <item x="179"/>
        <item x="231"/>
        <item x="463"/>
        <item x="454"/>
        <item x="589"/>
        <item x="358"/>
        <item x="206"/>
        <item x="601"/>
        <item x="582"/>
        <item x="611"/>
        <item x="705"/>
        <item x="147"/>
        <item x="479"/>
        <item x="50"/>
        <item x="574"/>
        <item x="210"/>
        <item x="202"/>
        <item x="699"/>
        <item x="683"/>
        <item x="639"/>
        <item x="486"/>
        <item x="305"/>
        <item x="633"/>
        <item x="23"/>
        <item x="323"/>
        <item x="353"/>
        <item x="124"/>
        <item x="268"/>
        <item x="573"/>
        <item x="539"/>
        <item x="21"/>
        <item x="696"/>
        <item x="321"/>
        <item x="89"/>
        <item x="575"/>
        <item x="372"/>
        <item x="490"/>
        <item x="315"/>
        <item x="55"/>
        <item x="706"/>
        <item x="199"/>
        <item x="644"/>
        <item x="136"/>
        <item x="716"/>
        <item x="599"/>
        <item x="384"/>
        <item x="687"/>
        <item x="3"/>
        <item x="298"/>
        <item x="420"/>
        <item x="155"/>
        <item x="676"/>
        <item x="146"/>
        <item x="44"/>
        <item x="218"/>
        <item x="291"/>
        <item x="610"/>
        <item x="440"/>
        <item x="78"/>
        <item x="701"/>
        <item x="661"/>
        <item x="370"/>
        <item x="73"/>
        <item x="177"/>
        <item x="8"/>
        <item x="606"/>
        <item x="669"/>
        <item x="163"/>
        <item x="654"/>
        <item x="698"/>
        <item x="700"/>
        <item x="274"/>
        <item x="69"/>
        <item x="649"/>
        <item x="480"/>
        <item x="172"/>
        <item x="265"/>
        <item x="60"/>
        <item x="636"/>
        <item x="495"/>
        <item x="295"/>
        <item x="711"/>
        <item x="250"/>
        <item x="397"/>
        <item x="449"/>
        <item x="45"/>
        <item x="93"/>
        <item x="293"/>
        <item x="694"/>
        <item x="6"/>
        <item x="557"/>
        <item x="650"/>
        <item x="217"/>
        <item x="389"/>
        <item x="498"/>
        <item x="165"/>
        <item x="642"/>
        <item x="220"/>
        <item x="578"/>
        <item x="11"/>
        <item x="360"/>
        <item x="593"/>
        <item x="546"/>
        <item x="215"/>
        <item x="402"/>
        <item x="48"/>
        <item x="609"/>
        <item x="500"/>
        <item x="154"/>
        <item x="30"/>
        <item x="51"/>
        <item x="223"/>
        <item x="656"/>
        <item x="598"/>
        <item x="499"/>
        <item x="19"/>
        <item x="662"/>
        <item x="414"/>
        <item x="588"/>
        <item x="556"/>
        <item x="115"/>
        <item x="109"/>
        <item x="422"/>
        <item x="59"/>
        <item x="613"/>
        <item x="376"/>
        <item x="62"/>
        <item x="456"/>
        <item x="297"/>
        <item x="450"/>
        <item x="96"/>
        <item x="421"/>
        <item x="221"/>
        <item x="319"/>
        <item x="658"/>
        <item x="428"/>
        <item x="392"/>
        <item x="531"/>
        <item x="127"/>
        <item x="405"/>
        <item x="478"/>
        <item x="504"/>
        <item x="623"/>
        <item x="435"/>
        <item x="214"/>
        <item x="459"/>
        <item x="629"/>
        <item x="99"/>
        <item x="66"/>
        <item x="187"/>
        <item x="20"/>
        <item x="677"/>
        <item x="161"/>
        <item x="43"/>
        <item x="235"/>
        <item x="79"/>
        <item x="552"/>
        <item x="659"/>
        <item x="129"/>
        <item x="506"/>
        <item x="655"/>
        <item x="314"/>
        <item x="256"/>
        <item x="482"/>
        <item x="189"/>
        <item x="496"/>
        <item x="279"/>
        <item x="475"/>
        <item x="640"/>
        <item x="536"/>
        <item x="576"/>
        <item x="457"/>
        <item x="17"/>
        <item x="245"/>
        <item x="603"/>
        <item x="396"/>
        <item x="299"/>
        <item x="230"/>
        <item x="261"/>
        <item x="417"/>
        <item x="458"/>
        <item x="192"/>
        <item x="174"/>
        <item x="267"/>
        <item x="653"/>
        <item x="241"/>
        <item x="494"/>
        <item x="130"/>
        <item x="638"/>
        <item x="433"/>
        <item x="160"/>
        <item x="503"/>
        <item x="379"/>
        <item x="226"/>
        <item x="605"/>
        <item x="577"/>
        <item x="225"/>
        <item x="416"/>
        <item x="419"/>
        <item x="565"/>
        <item x="266"/>
        <item x="18"/>
        <item x="318"/>
        <item x="511"/>
        <item x="340"/>
        <item x="203"/>
        <item x="533"/>
        <item x="312"/>
        <item x="712"/>
        <item x="54"/>
        <item x="68"/>
        <item x="39"/>
        <item x="530"/>
        <item x="520"/>
        <item x="216"/>
        <item x="477"/>
        <item x="702"/>
        <item x="102"/>
        <item x="524"/>
        <item x="257"/>
        <item x="590"/>
        <item x="350"/>
        <item x="668"/>
        <item x="476"/>
        <item x="665"/>
        <item x="657"/>
        <item x="678"/>
        <item x="327"/>
        <item x="559"/>
        <item x="84"/>
        <item x="128"/>
        <item x="159"/>
        <item x="270"/>
        <item x="167"/>
        <item x="188"/>
        <item x="198"/>
        <item x="612"/>
        <item x="255"/>
        <item x="619"/>
        <item x="354"/>
        <item x="481"/>
        <item x="258"/>
        <item x="470"/>
        <item x="519"/>
        <item x="36"/>
        <item x="467"/>
        <item x="645"/>
        <item x="453"/>
        <item x="329"/>
        <item x="452"/>
        <item x="616"/>
        <item x="34"/>
        <item x="26"/>
        <item x="242"/>
        <item x="194"/>
        <item x="22"/>
        <item x="28"/>
        <item x="92"/>
        <item x="635"/>
        <item x="493"/>
        <item x="608"/>
        <item x="583"/>
        <item x="37"/>
        <item x="535"/>
        <item x="47"/>
        <item x="292"/>
        <item x="271"/>
        <item x="236"/>
        <item x="436"/>
        <item x="152"/>
        <item x="380"/>
        <item x="131"/>
        <item x="120"/>
        <item x="176"/>
        <item x="413"/>
        <item x="626"/>
        <item x="374"/>
        <item x="529"/>
        <item x="0"/>
        <item x="681"/>
        <item x="377"/>
        <item x="366"/>
        <item x="555"/>
        <item x="263"/>
        <item x="289"/>
        <item x="173"/>
        <item x="367"/>
        <item x="469"/>
        <item x="133"/>
        <item x="518"/>
        <item x="122"/>
        <item x="233"/>
        <item x="281"/>
        <item x="537"/>
        <item x="634"/>
        <item x="670"/>
        <item x="107"/>
        <item x="585"/>
        <item x="679"/>
        <item x="618"/>
        <item x="114"/>
        <item x="240"/>
        <item x="426"/>
        <item x="49"/>
        <item x="178"/>
        <item x="362"/>
        <item x="285"/>
        <item x="521"/>
        <item x="468"/>
        <item x="551"/>
        <item x="369"/>
        <item x="564"/>
        <item x="228"/>
        <item x="259"/>
        <item x="213"/>
        <item x="148"/>
        <item x="244"/>
        <item x="162"/>
        <item x="67"/>
        <item x="139"/>
        <item x="554"/>
        <item x="237"/>
        <item x="425"/>
        <item x="5"/>
        <item x="620"/>
        <item x="680"/>
        <item x="95"/>
        <item x="186"/>
        <item x="71"/>
        <item x="247"/>
        <item x="204"/>
        <item x="219"/>
        <item x="254"/>
        <item x="149"/>
        <item x="338"/>
        <item x="545"/>
        <item x="82"/>
        <item x="663"/>
        <item x="472"/>
        <item x="621"/>
        <item x="547"/>
        <item x="667"/>
        <item x="409"/>
        <item x="400"/>
        <item x="563"/>
        <item x="691"/>
        <item x="646"/>
        <item x="56"/>
        <item x="57"/>
        <item x="569"/>
        <item x="368"/>
        <item x="205"/>
        <item x="140"/>
        <item x="695"/>
        <item x="7"/>
        <item x="65"/>
        <item x="471"/>
        <item x="196"/>
        <item x="675"/>
        <item x="624"/>
        <item x="412"/>
        <item x="347"/>
        <item x="246"/>
        <item x="709"/>
        <item x="118"/>
        <item x="505"/>
        <item x="385"/>
        <item x="53"/>
        <item x="32"/>
        <item x="542"/>
        <item x="660"/>
        <item x="64"/>
        <item x="382"/>
        <item x="320"/>
        <item x="394"/>
        <item x="513"/>
        <item x="387"/>
        <item x="164"/>
        <item x="674"/>
        <item x="553"/>
        <item x="512"/>
        <item x="86"/>
        <item x="509"/>
        <item x="427"/>
        <item x="2"/>
        <item x="628"/>
        <item x="200"/>
        <item x="169"/>
        <item x="548"/>
        <item x="119"/>
        <item x="12"/>
        <item x="487"/>
        <item x="16"/>
        <item x="29"/>
        <item x="207"/>
        <item x="501"/>
        <item x="306"/>
        <item x="335"/>
        <item x="317"/>
        <item x="275"/>
        <item x="442"/>
        <item x="568"/>
        <item x="286"/>
        <item x="579"/>
        <item x="517"/>
        <item x="144"/>
        <item x="558"/>
        <item x="522"/>
        <item x="341"/>
        <item x="508"/>
        <item x="106"/>
        <item x="693"/>
        <item x="336"/>
        <item x="184"/>
        <item x="113"/>
        <item x="14"/>
        <item x="570"/>
        <item x="253"/>
        <item x="584"/>
        <item t="default"/>
      </items>
    </pivotField>
    <pivotField dataField="1" compact="0" numFmtId="180" showAll="0">
      <items count="14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9"/>
        <item t="default"/>
      </items>
    </pivotField>
    <pivotField dataField="1" compact="0" numFmtId="9" showAll="0">
      <items count="13">
        <item x="0"/>
        <item x="9"/>
        <item x="10"/>
        <item x="2"/>
        <item x="4"/>
        <item x="11"/>
        <item x="7"/>
        <item x="1"/>
        <item x="5"/>
        <item x="8"/>
        <item x="6"/>
        <item x="3"/>
        <item t="default"/>
      </items>
    </pivotField>
    <pivotField dataField="1" compact="0" numFmtId="180" showAll="0">
      <items count="755">
        <item x="258"/>
        <item x="14"/>
        <item x="534"/>
        <item x="313"/>
        <item x="114"/>
        <item x="519"/>
        <item x="58"/>
        <item x="2"/>
        <item x="155"/>
        <item x="182"/>
        <item x="150"/>
        <item x="473"/>
        <item x="80"/>
        <item x="712"/>
        <item x="434"/>
        <item x="94"/>
        <item x="123"/>
        <item x="514"/>
        <item x="93"/>
        <item x="154"/>
        <item x="211"/>
        <item x="173"/>
        <item x="79"/>
        <item x="6"/>
        <item x="550"/>
        <item x="55"/>
        <item x="32"/>
        <item x="587"/>
        <item x="590"/>
        <item x="564"/>
        <item x="194"/>
        <item x="430"/>
        <item x="563"/>
        <item x="625"/>
        <item x="661"/>
        <item x="179"/>
        <item x="423"/>
        <item x="501"/>
        <item x="208"/>
        <item x="137"/>
        <item x="552"/>
        <item x="241"/>
        <item x="251"/>
        <item x="37"/>
        <item x="388"/>
        <item x="653"/>
        <item x="559"/>
        <item x="542"/>
        <item x="312"/>
        <item x="481"/>
        <item x="596"/>
        <item x="631"/>
        <item x="447"/>
        <item x="359"/>
        <item x="230"/>
        <item x="103"/>
        <item x="422"/>
        <item x="285"/>
        <item x="48"/>
        <item x="546"/>
        <item x="427"/>
        <item x="180"/>
        <item x="290"/>
        <item x="138"/>
        <item x="159"/>
        <item x="151"/>
        <item x="226"/>
        <item x="703"/>
        <item x="671"/>
        <item x="28"/>
        <item x="196"/>
        <item x="698"/>
        <item x="237"/>
        <item x="645"/>
        <item x="397"/>
        <item x="264"/>
        <item x="243"/>
        <item x="530"/>
        <item x="104"/>
        <item x="748"/>
        <item x="61"/>
        <item x="551"/>
        <item x="278"/>
        <item x="701"/>
        <item x="644"/>
        <item x="60"/>
        <item x="476"/>
        <item x="460"/>
        <item x="532"/>
        <item x="57"/>
        <item x="111"/>
        <item x="616"/>
        <item x="657"/>
        <item x="118"/>
        <item x="256"/>
        <item x="203"/>
        <item x="719"/>
        <item x="696"/>
        <item x="324"/>
        <item x="708"/>
        <item x="573"/>
        <item x="621"/>
        <item x="658"/>
        <item x="506"/>
        <item x="148"/>
        <item x="144"/>
        <item x="664"/>
        <item x="366"/>
        <item x="113"/>
        <item x="411"/>
        <item x="315"/>
        <item x="42"/>
        <item x="174"/>
        <item x="232"/>
        <item x="91"/>
        <item x="33"/>
        <item x="343"/>
        <item x="59"/>
        <item x="419"/>
        <item x="425"/>
        <item x="444"/>
        <item x="541"/>
        <item x="11"/>
        <item x="604"/>
        <item x="418"/>
        <item x="364"/>
        <item x="475"/>
        <item x="213"/>
        <item x="309"/>
        <item x="465"/>
        <item x="156"/>
        <item x="739"/>
        <item x="627"/>
        <item x="695"/>
        <item x="172"/>
        <item x="722"/>
        <item x="395"/>
        <item x="191"/>
        <item x="726"/>
        <item x="512"/>
        <item x="390"/>
        <item x="197"/>
        <item x="341"/>
        <item x="279"/>
        <item x="102"/>
        <item x="561"/>
        <item x="136"/>
        <item x="229"/>
        <item x="402"/>
        <item x="548"/>
        <item x="227"/>
        <item x="89"/>
        <item x="751"/>
        <item x="217"/>
        <item x="452"/>
        <item x="307"/>
        <item x="310"/>
        <item x="74"/>
        <item x="177"/>
        <item x="81"/>
        <item x="207"/>
        <item x="223"/>
        <item x="432"/>
        <item x="361"/>
        <item x="139"/>
        <item x="431"/>
        <item x="673"/>
        <item x="749"/>
        <item x="188"/>
        <item x="717"/>
        <item x="31"/>
        <item x="555"/>
        <item x="454"/>
        <item x="399"/>
        <item x="71"/>
        <item x="448"/>
        <item x="677"/>
        <item x="101"/>
        <item x="731"/>
        <item x="82"/>
        <item x="187"/>
        <item x="128"/>
        <item x="373"/>
        <item x="462"/>
        <item x="253"/>
        <item x="622"/>
        <item x="406"/>
        <item x="143"/>
        <item x="659"/>
        <item x="629"/>
        <item x="64"/>
        <item x="477"/>
        <item x="205"/>
        <item x="569"/>
        <item x="348"/>
        <item x="9"/>
        <item x="543"/>
        <item x="214"/>
        <item x="337"/>
        <item x="342"/>
        <item x="605"/>
        <item x="584"/>
        <item x="234"/>
        <item x="571"/>
        <item x="73"/>
        <item x="355"/>
        <item x="335"/>
        <item x="77"/>
        <item x="140"/>
        <item x="742"/>
        <item x="455"/>
        <item x="478"/>
        <item x="358"/>
        <item x="689"/>
        <item x="365"/>
        <item x="339"/>
        <item x="269"/>
        <item x="142"/>
        <item x="582"/>
        <item x="457"/>
        <item x="720"/>
        <item x="301"/>
        <item x="439"/>
        <item x="458"/>
        <item x="387"/>
        <item x="215"/>
        <item x="184"/>
        <item x="668"/>
        <item x="84"/>
        <item x="163"/>
        <item x="595"/>
        <item x="750"/>
        <item x="471"/>
        <item x="413"/>
        <item x="109"/>
        <item x="134"/>
        <item x="129"/>
        <item x="162"/>
        <item x="562"/>
        <item x="265"/>
        <item x="511"/>
        <item x="456"/>
        <item x="492"/>
        <item x="289"/>
        <item x="503"/>
        <item x="716"/>
        <item x="86"/>
        <item x="681"/>
        <item x="710"/>
        <item x="666"/>
        <item x="539"/>
        <item x="678"/>
        <item x="19"/>
        <item x="487"/>
        <item x="120"/>
        <item x="300"/>
        <item x="449"/>
        <item x="121"/>
        <item x="331"/>
        <item x="474"/>
        <item x="35"/>
        <item x="630"/>
        <item x="612"/>
        <item x="13"/>
        <item x="384"/>
        <item x="283"/>
        <item x="277"/>
        <item x="352"/>
        <item x="589"/>
        <item x="407"/>
        <item x="360"/>
        <item x="594"/>
        <item x="405"/>
        <item x="362"/>
        <item x="318"/>
        <item x="293"/>
        <item x="614"/>
        <item x="380"/>
        <item x="257"/>
        <item x="117"/>
        <item x="105"/>
        <item x="141"/>
        <item x="260"/>
        <item x="340"/>
        <item x="429"/>
        <item x="346"/>
        <item x="23"/>
        <item x="667"/>
        <item x="225"/>
        <item x="702"/>
        <item x="450"/>
        <item x="10"/>
        <item x="715"/>
        <item x="321"/>
        <item x="353"/>
        <item x="273"/>
        <item x="311"/>
        <item x="574"/>
        <item x="314"/>
        <item x="597"/>
        <item x="663"/>
        <item x="199"/>
        <item x="286"/>
        <item x="401"/>
        <item x="382"/>
        <item x="392"/>
        <item x="4"/>
        <item x="745"/>
        <item x="718"/>
        <item x="408"/>
        <item x="415"/>
        <item x="459"/>
        <item x="400"/>
        <item x="732"/>
        <item x="499"/>
        <item x="479"/>
        <item x="451"/>
        <item x="97"/>
        <item x="516"/>
        <item x="317"/>
        <item x="244"/>
        <item x="509"/>
        <item x="752"/>
        <item x="248"/>
        <item x="738"/>
        <item x="433"/>
        <item x="27"/>
        <item x="297"/>
        <item x="41"/>
        <item x="642"/>
        <item x="25"/>
        <item x="498"/>
        <item x="442"/>
        <item x="572"/>
        <item x="274"/>
        <item x="654"/>
        <item x="568"/>
        <item x="531"/>
        <item x="98"/>
        <item x="420"/>
        <item x="186"/>
        <item x="40"/>
        <item x="124"/>
        <item x="351"/>
        <item x="88"/>
        <item x="619"/>
        <item x="92"/>
        <item x="38"/>
        <item x="1"/>
        <item x="282"/>
        <item x="556"/>
        <item x="112"/>
        <item x="669"/>
        <item x="603"/>
        <item x="181"/>
        <item x="370"/>
        <item x="558"/>
        <item x="641"/>
        <item x="296"/>
        <item x="504"/>
        <item x="334"/>
        <item x="157"/>
        <item x="637"/>
        <item x="583"/>
        <item x="421"/>
        <item x="333"/>
        <item x="721"/>
        <item x="22"/>
        <item x="250"/>
        <item x="526"/>
        <item x="305"/>
        <item x="132"/>
        <item x="222"/>
        <item x="254"/>
        <item x="153"/>
        <item x="267"/>
        <item x="99"/>
        <item x="192"/>
        <item x="723"/>
        <item x="525"/>
        <item x="326"/>
        <item x="496"/>
        <item x="288"/>
        <item x="640"/>
        <item x="713"/>
        <item x="426"/>
        <item x="549"/>
        <item x="611"/>
        <item x="486"/>
        <item x="369"/>
        <item x="106"/>
        <item x="161"/>
        <item x="20"/>
        <item x="502"/>
        <item x="62"/>
        <item x="95"/>
        <item x="76"/>
        <item x="164"/>
        <item x="276"/>
        <item x="649"/>
        <item x="78"/>
        <item x="294"/>
        <item x="146"/>
        <item x="15"/>
        <item x="670"/>
        <item x="8"/>
        <item x="316"/>
        <item x="490"/>
        <item x="284"/>
        <item x="685"/>
        <item x="63"/>
        <item x="523"/>
        <item x="201"/>
        <item x="147"/>
        <item x="505"/>
        <item x="617"/>
        <item x="367"/>
        <item x="687"/>
        <item x="440"/>
        <item x="51"/>
        <item x="733"/>
        <item x="357"/>
        <item x="403"/>
        <item x="374"/>
        <item x="579"/>
        <item x="441"/>
        <item x="176"/>
        <item x="652"/>
        <item x="737"/>
        <item x="466"/>
        <item x="303"/>
        <item x="47"/>
        <item x="518"/>
        <item x="204"/>
        <item x="90"/>
        <item x="239"/>
        <item x="736"/>
        <item x="730"/>
        <item x="682"/>
        <item x="740"/>
        <item x="363"/>
        <item x="607"/>
        <item x="414"/>
        <item x="660"/>
        <item x="472"/>
        <item x="126"/>
        <item x="67"/>
        <item x="330"/>
        <item x="636"/>
        <item x="638"/>
        <item x="545"/>
        <item x="193"/>
        <item x="633"/>
        <item x="7"/>
        <item x="75"/>
        <item x="620"/>
        <item x="588"/>
        <item x="354"/>
        <item x="693"/>
        <item x="39"/>
        <item x="212"/>
        <item x="371"/>
        <item x="3"/>
        <item x="684"/>
        <item x="600"/>
        <item x="688"/>
        <item x="53"/>
        <item x="261"/>
        <item x="706"/>
        <item x="169"/>
        <item x="189"/>
        <item x="618"/>
        <item x="332"/>
        <item x="567"/>
        <item x="497"/>
        <item x="178"/>
        <item x="379"/>
        <item x="632"/>
        <item x="699"/>
        <item x="236"/>
        <item x="235"/>
        <item x="725"/>
        <item x="734"/>
        <item x="674"/>
        <item x="417"/>
        <item x="302"/>
        <item x="18"/>
        <item x="255"/>
        <item x="216"/>
        <item x="691"/>
        <item x="679"/>
        <item x="464"/>
        <item x="386"/>
        <item x="743"/>
        <item x="609"/>
        <item x="263"/>
        <item x="626"/>
        <item x="443"/>
        <item x="49"/>
        <item x="295"/>
        <item x="69"/>
        <item x="231"/>
        <item x="44"/>
        <item x="24"/>
        <item x="598"/>
        <item x="714"/>
        <item x="746"/>
        <item x="56"/>
        <item x="690"/>
        <item x="252"/>
        <item x="319"/>
        <item x="409"/>
        <item x="308"/>
        <item x="398"/>
        <item x="741"/>
        <item x="185"/>
        <item x="493"/>
        <item x="270"/>
        <item x="680"/>
        <item x="412"/>
        <item x="21"/>
        <item x="544"/>
        <item x="66"/>
        <item x="675"/>
        <item x="521"/>
        <item x="500"/>
        <item x="735"/>
        <item x="613"/>
        <item x="127"/>
        <item x="557"/>
        <item x="381"/>
        <item x="200"/>
        <item x="272"/>
        <item x="535"/>
        <item x="228"/>
        <item x="385"/>
        <item x="131"/>
        <item x="599"/>
        <item x="634"/>
        <item x="323"/>
        <item x="110"/>
        <item x="45"/>
        <item x="46"/>
        <item x="480"/>
        <item x="52"/>
        <item x="85"/>
        <item x="606"/>
        <item x="624"/>
        <item x="635"/>
        <item x="287"/>
        <item x="304"/>
        <item x="393"/>
        <item x="133"/>
        <item x="692"/>
        <item x="662"/>
        <item x="298"/>
        <item x="262"/>
        <item x="650"/>
        <item x="152"/>
        <item x="160"/>
        <item x="520"/>
        <item x="167"/>
        <item x="100"/>
        <item x="495"/>
        <item x="70"/>
        <item x="416"/>
        <item x="436"/>
        <item x="183"/>
        <item x="686"/>
        <item x="280"/>
        <item x="510"/>
        <item x="461"/>
        <item x="349"/>
        <item x="482"/>
        <item x="601"/>
        <item x="158"/>
        <item x="491"/>
        <item x="513"/>
        <item x="108"/>
        <item x="240"/>
        <item x="115"/>
        <item x="467"/>
        <item x="578"/>
        <item x="171"/>
        <item x="372"/>
        <item x="149"/>
        <item x="646"/>
        <item x="438"/>
        <item x="623"/>
        <item x="565"/>
        <item x="639"/>
        <item x="728"/>
        <item x="593"/>
        <item x="672"/>
        <item x="368"/>
        <item x="656"/>
        <item x="665"/>
        <item x="707"/>
        <item x="651"/>
        <item x="220"/>
        <item x="445"/>
        <item x="753"/>
        <item x="291"/>
        <item x="328"/>
        <item x="577"/>
        <item x="116"/>
        <item x="724"/>
        <item x="17"/>
        <item x="30"/>
        <item x="536"/>
        <item x="424"/>
        <item x="130"/>
        <item x="165"/>
        <item x="168"/>
        <item x="517"/>
        <item x="470"/>
        <item x="198"/>
        <item x="43"/>
        <item x="209"/>
        <item x="233"/>
        <item x="0"/>
        <item x="446"/>
        <item x="320"/>
        <item x="202"/>
        <item x="175"/>
        <item x="242"/>
        <item x="336"/>
        <item x="553"/>
        <item x="96"/>
        <item x="389"/>
        <item x="219"/>
        <item x="540"/>
        <item x="581"/>
        <item x="489"/>
        <item x="218"/>
        <item x="522"/>
        <item x="463"/>
        <item x="306"/>
        <item x="327"/>
        <item x="72"/>
        <item x="628"/>
        <item x="195"/>
        <item x="322"/>
        <item x="122"/>
        <item x="26"/>
        <item x="602"/>
        <item x="266"/>
        <item x="747"/>
        <item x="224"/>
        <item x="338"/>
        <item x="488"/>
        <item x="246"/>
        <item x="468"/>
        <item x="34"/>
        <item x="247"/>
        <item x="469"/>
        <item x="610"/>
        <item x="643"/>
        <item x="683"/>
        <item x="428"/>
        <item x="711"/>
        <item x="36"/>
        <item x="383"/>
        <item x="508"/>
        <item x="586"/>
        <item x="166"/>
        <item x="527"/>
        <item x="50"/>
        <item x="391"/>
        <item x="647"/>
        <item x="410"/>
        <item x="299"/>
        <item x="744"/>
        <item x="271"/>
        <item x="547"/>
        <item x="221"/>
        <item x="125"/>
        <item x="570"/>
        <item x="615"/>
        <item x="575"/>
        <item x="135"/>
        <item x="275"/>
        <item x="537"/>
        <item x="484"/>
        <item x="404"/>
        <item x="292"/>
        <item x="245"/>
        <item x="238"/>
        <item x="378"/>
        <item x="347"/>
        <item x="585"/>
        <item x="394"/>
        <item x="494"/>
        <item x="694"/>
        <item x="483"/>
        <item x="68"/>
        <item x="453"/>
        <item x="377"/>
        <item x="507"/>
        <item x="529"/>
        <item x="396"/>
        <item x="655"/>
        <item x="435"/>
        <item x="268"/>
        <item x="29"/>
        <item x="87"/>
        <item x="700"/>
        <item x="437"/>
        <item x="16"/>
        <item x="515"/>
        <item x="376"/>
        <item x="83"/>
        <item x="344"/>
        <item x="5"/>
        <item x="648"/>
        <item x="697"/>
        <item x="375"/>
        <item x="356"/>
        <item x="709"/>
        <item x="554"/>
        <item x="485"/>
        <item x="259"/>
        <item x="54"/>
        <item x="145"/>
        <item x="576"/>
        <item x="704"/>
        <item x="249"/>
        <item x="705"/>
        <item x="533"/>
        <item x="580"/>
        <item x="210"/>
        <item x="119"/>
        <item x="729"/>
        <item x="65"/>
        <item x="170"/>
        <item x="560"/>
        <item x="12"/>
        <item x="676"/>
        <item x="206"/>
        <item x="329"/>
        <item x="528"/>
        <item x="591"/>
        <item x="325"/>
        <item x="190"/>
        <item x="350"/>
        <item x="281"/>
        <item x="566"/>
        <item x="538"/>
        <item x="107"/>
        <item x="727"/>
        <item x="524"/>
        <item x="592"/>
        <item x="345"/>
        <item x="608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0"/>
  </pageFields>
  <dataFields count="5">
    <dataField name="Sum of Sales " fld="17" baseField="0" baseItem="0"/>
    <dataField name="Sum of Discount" fld="19" baseField="0" baseItem="0"/>
    <dataField name="Sum of Profit" fld="20" baseField="0" baseItem="0"/>
    <dataField name="Average of Sales " fld="17" subtotal="average" baseField="0" baseItem="0"/>
    <dataField name="Sum of Quantity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6:B10" firstHeaderRow="1" firstDataRow="1" firstDataCol="1" rowPageCount="2" colPageCount="1"/>
  <pivotFields count="21">
    <pivotField compact="0" numFmtId="18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3">
        <item x="0"/>
        <item x="1"/>
        <item t="default"/>
      </items>
    </pivotField>
    <pivotField compact="0" numFmtId="182" showAll="0">
      <items count="553">
        <item x="239"/>
        <item x="203"/>
        <item x="266"/>
        <item x="232"/>
        <item x="246"/>
        <item x="423"/>
        <item x="512"/>
        <item x="499"/>
        <item x="190"/>
        <item x="400"/>
        <item x="375"/>
        <item x="380"/>
        <item x="264"/>
        <item x="163"/>
        <item x="342"/>
        <item x="69"/>
        <item x="194"/>
        <item x="533"/>
        <item x="206"/>
        <item x="86"/>
        <item x="405"/>
        <item x="457"/>
        <item x="231"/>
        <item x="268"/>
        <item x="402"/>
        <item x="469"/>
        <item x="273"/>
        <item x="317"/>
        <item x="260"/>
        <item x="403"/>
        <item x="8"/>
        <item x="247"/>
        <item x="435"/>
        <item x="296"/>
        <item x="497"/>
        <item x="207"/>
        <item x="411"/>
        <item x="388"/>
        <item x="101"/>
        <item x="233"/>
        <item x="146"/>
        <item x="515"/>
        <item x="3"/>
        <item x="462"/>
        <item x="504"/>
        <item x="226"/>
        <item x="522"/>
        <item x="434"/>
        <item x="249"/>
        <item x="356"/>
        <item x="333"/>
        <item x="225"/>
        <item x="126"/>
        <item x="441"/>
        <item x="432"/>
        <item x="417"/>
        <item x="171"/>
        <item x="136"/>
        <item x="414"/>
        <item x="89"/>
        <item x="76"/>
        <item x="204"/>
        <item x="118"/>
        <item x="323"/>
        <item x="495"/>
        <item x="52"/>
        <item x="82"/>
        <item x="9"/>
        <item x="393"/>
        <item x="316"/>
        <item x="544"/>
        <item x="75"/>
        <item x="278"/>
        <item x="155"/>
        <item x="99"/>
        <item x="77"/>
        <item x="271"/>
        <item x="106"/>
        <item x="56"/>
        <item x="145"/>
        <item x="133"/>
        <item x="350"/>
        <item x="117"/>
        <item x="337"/>
        <item x="433"/>
        <item x="347"/>
        <item x="478"/>
        <item x="170"/>
        <item x="235"/>
        <item x="545"/>
        <item x="34"/>
        <item x="22"/>
        <item x="65"/>
        <item x="173"/>
        <item x="120"/>
        <item x="167"/>
        <item x="7"/>
        <item x="442"/>
        <item x="534"/>
        <item x="506"/>
        <item x="458"/>
        <item x="80"/>
        <item x="500"/>
        <item x="518"/>
        <item x="143"/>
        <item x="391"/>
        <item x="369"/>
        <item x="371"/>
        <item x="230"/>
        <item x="470"/>
        <item x="29"/>
        <item x="408"/>
        <item x="270"/>
        <item x="324"/>
        <item x="426"/>
        <item x="384"/>
        <item x="468"/>
        <item x="158"/>
        <item x="498"/>
        <item x="150"/>
        <item x="55"/>
        <item x="318"/>
        <item x="119"/>
        <item x="243"/>
        <item x="94"/>
        <item x="165"/>
        <item x="40"/>
        <item x="245"/>
        <item x="93"/>
        <item x="407"/>
        <item x="98"/>
        <item x="53"/>
        <item x="520"/>
        <item x="294"/>
        <item x="532"/>
        <item x="177"/>
        <item x="258"/>
        <item x="180"/>
        <item x="387"/>
        <item x="227"/>
        <item x="295"/>
        <item x="482"/>
        <item x="305"/>
        <item x="54"/>
        <item x="464"/>
        <item x="229"/>
        <item x="283"/>
        <item x="307"/>
        <item x="481"/>
        <item x="24"/>
        <item x="274"/>
        <item x="32"/>
        <item x="139"/>
        <item x="28"/>
        <item x="115"/>
        <item x="228"/>
        <item x="330"/>
        <item x="68"/>
        <item x="67"/>
        <item x="455"/>
        <item x="490"/>
        <item x="303"/>
        <item x="516"/>
        <item x="386"/>
        <item x="140"/>
        <item x="201"/>
        <item x="301"/>
        <item x="459"/>
        <item x="413"/>
        <item x="363"/>
        <item x="543"/>
        <item x="483"/>
        <item x="374"/>
        <item x="97"/>
        <item x="537"/>
        <item x="472"/>
        <item x="474"/>
        <item x="298"/>
        <item x="454"/>
        <item x="125"/>
        <item x="35"/>
        <item x="314"/>
        <item x="465"/>
        <item x="64"/>
        <item x="200"/>
        <item x="453"/>
        <item x="14"/>
        <item x="198"/>
        <item x="331"/>
        <item x="358"/>
        <item x="291"/>
        <item x="390"/>
        <item x="12"/>
        <item x="359"/>
        <item x="362"/>
        <item x="250"/>
        <item x="213"/>
        <item x="285"/>
        <item x="461"/>
        <item x="2"/>
        <item x="84"/>
        <item x="262"/>
        <item x="49"/>
        <item x="297"/>
        <item x="85"/>
        <item x="113"/>
        <item x="370"/>
        <item x="299"/>
        <item x="184"/>
        <item x="447"/>
        <item x="383"/>
        <item x="108"/>
        <item x="47"/>
        <item x="514"/>
        <item x="261"/>
        <item x="6"/>
        <item x="27"/>
        <item x="527"/>
        <item x="141"/>
        <item x="104"/>
        <item x="211"/>
        <item x="436"/>
        <item x="142"/>
        <item x="480"/>
        <item x="377"/>
        <item x="189"/>
        <item x="521"/>
        <item x="397"/>
        <item x="251"/>
        <item x="286"/>
        <item x="79"/>
        <item x="191"/>
        <item x="389"/>
        <item x="166"/>
        <item x="300"/>
        <item x="96"/>
        <item x="182"/>
        <item x="17"/>
        <item x="72"/>
        <item x="437"/>
        <item x="509"/>
        <item x="302"/>
        <item x="13"/>
        <item x="460"/>
        <item x="547"/>
        <item x="353"/>
        <item x="476"/>
        <item x="412"/>
        <item x="410"/>
        <item x="234"/>
        <item x="282"/>
        <item x="21"/>
        <item x="255"/>
        <item x="66"/>
        <item x="399"/>
        <item x="511"/>
        <item x="175"/>
        <item x="444"/>
        <item x="202"/>
        <item x="396"/>
        <item x="220"/>
        <item x="338"/>
        <item x="161"/>
        <item x="38"/>
        <item x="242"/>
        <item x="130"/>
        <item x="382"/>
        <item x="280"/>
        <item x="153"/>
        <item x="157"/>
        <item x="519"/>
        <item x="456"/>
        <item x="164"/>
        <item x="121"/>
        <item x="319"/>
        <item x="124"/>
        <item x="531"/>
        <item x="208"/>
        <item x="466"/>
        <item x="328"/>
        <item x="551"/>
        <item x="348"/>
        <item x="174"/>
        <item x="71"/>
        <item x="385"/>
        <item x="343"/>
        <item x="398"/>
        <item x="252"/>
        <item x="340"/>
        <item x="491"/>
        <item x="392"/>
        <item x="186"/>
        <item x="176"/>
        <item x="30"/>
        <item x="107"/>
        <item x="195"/>
        <item x="1"/>
        <item x="312"/>
        <item x="26"/>
        <item x="287"/>
        <item x="23"/>
        <item x="517"/>
        <item x="169"/>
        <item x="236"/>
        <item x="425"/>
        <item x="187"/>
        <item x="205"/>
        <item x="83"/>
        <item x="19"/>
        <item x="415"/>
        <item x="429"/>
        <item x="313"/>
        <item x="526"/>
        <item x="427"/>
        <item x="501"/>
        <item x="404"/>
        <item x="502"/>
        <item x="409"/>
        <item x="467"/>
        <item x="214"/>
        <item x="541"/>
        <item x="218"/>
        <item x="530"/>
        <item x="240"/>
        <item x="45"/>
        <item x="123"/>
        <item x="129"/>
        <item x="269"/>
        <item x="61"/>
        <item x="44"/>
        <item x="149"/>
        <item x="103"/>
        <item x="116"/>
        <item x="284"/>
        <item x="39"/>
        <item x="31"/>
        <item x="219"/>
        <item x="355"/>
        <item x="137"/>
        <item x="267"/>
        <item x="308"/>
        <item x="277"/>
        <item x="60"/>
        <item x="513"/>
        <item x="440"/>
        <item x="546"/>
        <item x="134"/>
        <item x="272"/>
        <item x="217"/>
        <item x="168"/>
        <item x="95"/>
        <item x="379"/>
        <item x="354"/>
        <item x="51"/>
        <item x="58"/>
        <item x="74"/>
        <item x="0"/>
        <item x="276"/>
        <item x="550"/>
        <item x="310"/>
        <item x="368"/>
        <item x="463"/>
        <item x="446"/>
        <item x="73"/>
        <item x="223"/>
        <item x="70"/>
        <item x="329"/>
        <item x="306"/>
        <item x="503"/>
        <item x="364"/>
        <item x="81"/>
        <item x="507"/>
        <item x="46"/>
        <item x="237"/>
        <item x="5"/>
        <item x="16"/>
        <item x="10"/>
        <item x="102"/>
        <item x="25"/>
        <item x="366"/>
        <item x="114"/>
        <item x="542"/>
        <item x="549"/>
        <item x="263"/>
        <item x="346"/>
        <item x="451"/>
        <item x="523"/>
        <item x="395"/>
        <item x="238"/>
        <item x="181"/>
        <item x="484"/>
        <item x="439"/>
        <item x="357"/>
        <item x="248"/>
        <item x="59"/>
        <item x="334"/>
        <item x="448"/>
        <item x="378"/>
        <item x="496"/>
        <item x="479"/>
        <item x="254"/>
        <item x="320"/>
        <item x="335"/>
        <item x="510"/>
        <item x="352"/>
        <item x="131"/>
        <item x="325"/>
        <item x="438"/>
        <item x="222"/>
        <item x="160"/>
        <item x="485"/>
        <item x="419"/>
        <item x="540"/>
        <item x="548"/>
        <item x="529"/>
        <item x="345"/>
        <item x="344"/>
        <item x="288"/>
        <item x="486"/>
        <item x="292"/>
        <item x="265"/>
        <item x="428"/>
        <item x="473"/>
        <item x="4"/>
        <item x="376"/>
        <item x="492"/>
        <item x="78"/>
        <item x="256"/>
        <item x="349"/>
        <item x="401"/>
        <item x="508"/>
        <item x="257"/>
        <item x="290"/>
        <item x="525"/>
        <item x="212"/>
        <item x="528"/>
        <item x="135"/>
        <item x="341"/>
        <item x="91"/>
        <item x="327"/>
        <item x="105"/>
        <item x="172"/>
        <item x="452"/>
        <item x="365"/>
        <item x="127"/>
        <item x="109"/>
        <item x="43"/>
        <item x="259"/>
        <item x="88"/>
        <item x="445"/>
        <item x="488"/>
        <item x="315"/>
        <item x="147"/>
        <item x="332"/>
        <item x="87"/>
        <item x="128"/>
        <item x="304"/>
        <item x="487"/>
        <item x="367"/>
        <item x="431"/>
        <item x="11"/>
        <item x="199"/>
        <item x="244"/>
        <item x="443"/>
        <item x="416"/>
        <item x="215"/>
        <item x="321"/>
        <item x="361"/>
        <item x="424"/>
        <item x="210"/>
        <item x="154"/>
        <item x="477"/>
        <item x="138"/>
        <item x="536"/>
        <item x="281"/>
        <item x="188"/>
        <item x="373"/>
        <item x="185"/>
        <item x="494"/>
        <item x="322"/>
        <item x="18"/>
        <item x="430"/>
        <item x="159"/>
        <item x="111"/>
        <item x="450"/>
        <item x="62"/>
        <item x="20"/>
        <item x="253"/>
        <item x="406"/>
        <item x="311"/>
        <item x="132"/>
        <item x="309"/>
        <item x="293"/>
        <item x="156"/>
        <item x="241"/>
        <item x="421"/>
        <item x="524"/>
        <item x="539"/>
        <item x="336"/>
        <item x="449"/>
        <item x="112"/>
        <item x="275"/>
        <item x="339"/>
        <item x="381"/>
        <item x="148"/>
        <item x="15"/>
        <item x="162"/>
        <item x="183"/>
        <item x="471"/>
        <item x="326"/>
        <item x="37"/>
        <item x="279"/>
        <item x="372"/>
        <item x="535"/>
        <item x="122"/>
        <item x="224"/>
        <item x="57"/>
        <item x="41"/>
        <item x="42"/>
        <item x="351"/>
        <item x="100"/>
        <item x="36"/>
        <item x="209"/>
        <item x="493"/>
        <item x="394"/>
        <item x="192"/>
        <item x="196"/>
        <item x="418"/>
        <item x="48"/>
        <item x="193"/>
        <item x="178"/>
        <item x="538"/>
        <item x="289"/>
        <item x="92"/>
        <item x="420"/>
        <item x="475"/>
        <item x="221"/>
        <item x="197"/>
        <item x="152"/>
        <item x="33"/>
        <item x="505"/>
        <item x="144"/>
        <item x="489"/>
        <item x="90"/>
        <item x="422"/>
        <item x="360"/>
        <item x="179"/>
        <item x="63"/>
        <item x="151"/>
        <item x="50"/>
        <item x="110"/>
        <item x="216"/>
        <item t="default"/>
      </items>
    </pivotField>
    <pivotField compact="0" numFmtId="182" showAll="0">
      <items count="570">
        <item x="250"/>
        <item x="209"/>
        <item x="243"/>
        <item x="257"/>
        <item x="442"/>
        <item x="530"/>
        <item x="193"/>
        <item x="401"/>
        <item x="404"/>
        <item x="275"/>
        <item x="166"/>
        <item x="372"/>
        <item x="67"/>
        <item x="197"/>
        <item x="340"/>
        <item x="212"/>
        <item x="82"/>
        <item x="426"/>
        <item x="482"/>
        <item x="240"/>
        <item x="280"/>
        <item x="423"/>
        <item x="510"/>
        <item x="494"/>
        <item x="284"/>
        <item x="341"/>
        <item x="8"/>
        <item x="424"/>
        <item x="258"/>
        <item x="454"/>
        <item x="312"/>
        <item x="213"/>
        <item x="432"/>
        <item x="414"/>
        <item x="99"/>
        <item x="244"/>
        <item x="146"/>
        <item x="549"/>
        <item x="539"/>
        <item x="175"/>
        <item x="3"/>
        <item x="278"/>
        <item x="499"/>
        <item x="488"/>
        <item x="235"/>
        <item x="535"/>
        <item x="544"/>
        <item x="453"/>
        <item x="364"/>
        <item x="259"/>
        <item x="234"/>
        <item x="347"/>
        <item x="126"/>
        <item x="451"/>
        <item x="461"/>
        <item x="438"/>
        <item x="136"/>
        <item x="459"/>
        <item x="86"/>
        <item x="276"/>
        <item x="72"/>
        <item x="210"/>
        <item x="117"/>
        <item x="523"/>
        <item x="52"/>
        <item x="416"/>
        <item x="79"/>
        <item x="9"/>
        <item x="525"/>
        <item x="339"/>
        <item x="562"/>
        <item x="71"/>
        <item x="157"/>
        <item x="288"/>
        <item x="295"/>
        <item x="97"/>
        <item x="198"/>
        <item x="73"/>
        <item x="105"/>
        <item x="145"/>
        <item x="120"/>
        <item x="56"/>
        <item x="263"/>
        <item x="133"/>
        <item x="378"/>
        <item x="116"/>
        <item x="476"/>
        <item x="452"/>
        <item x="376"/>
        <item x="172"/>
        <item x="246"/>
        <item x="564"/>
        <item x="34"/>
        <item x="21"/>
        <item x="62"/>
        <item x="174"/>
        <item x="502"/>
        <item x="119"/>
        <item x="169"/>
        <item x="308"/>
        <item x="528"/>
        <item x="462"/>
        <item x="7"/>
        <item x="483"/>
        <item x="487"/>
        <item x="77"/>
        <item x="143"/>
        <item x="554"/>
        <item x="456"/>
        <item x="342"/>
        <item x="415"/>
        <item x="395"/>
        <item x="239"/>
        <item x="397"/>
        <item x="76"/>
        <item x="28"/>
        <item x="428"/>
        <item x="350"/>
        <item x="282"/>
        <item x="409"/>
        <item x="445"/>
        <item x="492"/>
        <item x="160"/>
        <item x="150"/>
        <item x="55"/>
        <item x="118"/>
        <item x="217"/>
        <item x="254"/>
        <item x="92"/>
        <item x="167"/>
        <item x="40"/>
        <item x="91"/>
        <item x="466"/>
        <item x="427"/>
        <item x="96"/>
        <item x="53"/>
        <item x="310"/>
        <item x="543"/>
        <item x="552"/>
        <item x="179"/>
        <item x="269"/>
        <item x="182"/>
        <item x="413"/>
        <item x="311"/>
        <item x="236"/>
        <item x="337"/>
        <item x="504"/>
        <item x="323"/>
        <item x="54"/>
        <item x="238"/>
        <item x="293"/>
        <item x="325"/>
        <item x="23"/>
        <item x="285"/>
        <item x="558"/>
        <item x="31"/>
        <item x="27"/>
        <item x="113"/>
        <item x="237"/>
        <item x="358"/>
        <item x="65"/>
        <item x="66"/>
        <item x="291"/>
        <item x="480"/>
        <item x="567"/>
        <item x="319"/>
        <item x="512"/>
        <item x="540"/>
        <item x="412"/>
        <item x="140"/>
        <item x="322"/>
        <item x="207"/>
        <item x="315"/>
        <item x="484"/>
        <item x="434"/>
        <item x="388"/>
        <item x="506"/>
        <item x="561"/>
        <item x="399"/>
        <item x="95"/>
        <item x="496"/>
        <item x="498"/>
        <item x="314"/>
        <item x="477"/>
        <item x="125"/>
        <item x="186"/>
        <item x="35"/>
        <item x="61"/>
        <item x="205"/>
        <item x="475"/>
        <item x="14"/>
        <item x="203"/>
        <item x="361"/>
        <item x="516"/>
        <item x="555"/>
        <item x="12"/>
        <item x="260"/>
        <item x="220"/>
        <item x="486"/>
        <item x="80"/>
        <item x="273"/>
        <item x="2"/>
        <item x="49"/>
        <item x="348"/>
        <item x="313"/>
        <item x="385"/>
        <item x="81"/>
        <item x="396"/>
        <item x="187"/>
        <item x="467"/>
        <item x="107"/>
        <item x="47"/>
        <item x="538"/>
        <item x="271"/>
        <item x="6"/>
        <item x="26"/>
        <item x="305"/>
        <item x="141"/>
        <item x="218"/>
        <item x="102"/>
        <item x="464"/>
        <item x="142"/>
        <item x="503"/>
        <item x="199"/>
        <item x="479"/>
        <item x="192"/>
        <item x="419"/>
        <item x="261"/>
        <item x="298"/>
        <item x="468"/>
        <item x="75"/>
        <item x="194"/>
        <item x="168"/>
        <item x="94"/>
        <item x="16"/>
        <item x="184"/>
        <item x="455"/>
        <item x="317"/>
        <item x="13"/>
        <item x="485"/>
        <item x="566"/>
        <item x="382"/>
        <item x="500"/>
        <item x="433"/>
        <item x="430"/>
        <item x="245"/>
        <item x="292"/>
        <item x="20"/>
        <item x="390"/>
        <item x="64"/>
        <item x="266"/>
        <item x="421"/>
        <item x="177"/>
        <item x="251"/>
        <item x="208"/>
        <item x="418"/>
        <item x="229"/>
        <item x="368"/>
        <item x="164"/>
        <item x="253"/>
        <item x="38"/>
        <item x="290"/>
        <item x="130"/>
        <item x="518"/>
        <item x="196"/>
        <item x="155"/>
        <item x="411"/>
        <item x="159"/>
        <item x="542"/>
        <item x="481"/>
        <item x="121"/>
        <item x="124"/>
        <item x="214"/>
        <item x="327"/>
        <item x="490"/>
        <item x="493"/>
        <item x="355"/>
        <item x="471"/>
        <item x="69"/>
        <item x="176"/>
        <item x="407"/>
        <item x="410"/>
        <item x="262"/>
        <item x="373"/>
        <item x="420"/>
        <item x="370"/>
        <item x="513"/>
        <item x="307"/>
        <item x="189"/>
        <item x="178"/>
        <item x="29"/>
        <item x="98"/>
        <item x="106"/>
        <item x="161"/>
        <item x="33"/>
        <item x="1"/>
        <item x="333"/>
        <item x="25"/>
        <item x="299"/>
        <item x="405"/>
        <item x="297"/>
        <item x="22"/>
        <item x="541"/>
        <item x="171"/>
        <item x="356"/>
        <item x="444"/>
        <item x="247"/>
        <item x="460"/>
        <item x="190"/>
        <item x="345"/>
        <item x="563"/>
        <item x="211"/>
        <item x="18"/>
        <item x="435"/>
        <item x="335"/>
        <item x="446"/>
        <item x="531"/>
        <item x="532"/>
        <item x="425"/>
        <item x="429"/>
        <item x="491"/>
        <item x="509"/>
        <item x="559"/>
        <item x="331"/>
        <item x="221"/>
        <item x="545"/>
        <item x="227"/>
        <item x="123"/>
        <item x="45"/>
        <item x="129"/>
        <item x="281"/>
        <item x="59"/>
        <item x="321"/>
        <item x="149"/>
        <item x="44"/>
        <item x="553"/>
        <item x="215"/>
        <item x="115"/>
        <item x="101"/>
        <item x="228"/>
        <item x="294"/>
        <item x="448"/>
        <item x="39"/>
        <item x="30"/>
        <item x="329"/>
        <item x="137"/>
        <item x="279"/>
        <item x="287"/>
        <item x="437"/>
        <item x="58"/>
        <item x="537"/>
        <item x="134"/>
        <item x="283"/>
        <item x="565"/>
        <item x="334"/>
        <item x="139"/>
        <item x="93"/>
        <item x="170"/>
        <item x="353"/>
        <item x="383"/>
        <item x="202"/>
        <item x="272"/>
        <item x="51"/>
        <item x="0"/>
        <item x="286"/>
        <item x="336"/>
        <item x="394"/>
        <item x="328"/>
        <item x="70"/>
        <item x="318"/>
        <item x="68"/>
        <item x="393"/>
        <item x="357"/>
        <item x="526"/>
        <item x="389"/>
        <item x="533"/>
        <item x="324"/>
        <item x="78"/>
        <item x="46"/>
        <item x="249"/>
        <item x="63"/>
        <item x="5"/>
        <item x="360"/>
        <item x="10"/>
        <item x="100"/>
        <item x="226"/>
        <item x="24"/>
        <item x="391"/>
        <item x="112"/>
        <item x="222"/>
        <item x="363"/>
        <item x="560"/>
        <item x="568"/>
        <item x="375"/>
        <item x="274"/>
        <item x="472"/>
        <item x="546"/>
        <item x="183"/>
        <item x="332"/>
        <item x="458"/>
        <item x="384"/>
        <item x="57"/>
        <item x="365"/>
        <item x="469"/>
        <item x="524"/>
        <item x="403"/>
        <item x="501"/>
        <item x="265"/>
        <item x="343"/>
        <item x="519"/>
        <item x="366"/>
        <item x="131"/>
        <item x="381"/>
        <item x="351"/>
        <item x="520"/>
        <item x="457"/>
        <item x="232"/>
        <item x="163"/>
        <item x="478"/>
        <item x="507"/>
        <item x="440"/>
        <item x="548"/>
        <item x="374"/>
        <item x="517"/>
        <item x="300"/>
        <item x="534"/>
        <item x="306"/>
        <item x="556"/>
        <item x="277"/>
        <item x="114"/>
        <item x="447"/>
        <item x="527"/>
        <item x="4"/>
        <item x="402"/>
        <item x="514"/>
        <item x="267"/>
        <item x="74"/>
        <item x="377"/>
        <item x="422"/>
        <item x="536"/>
        <item x="268"/>
        <item x="303"/>
        <item x="495"/>
        <item x="349"/>
        <item x="219"/>
        <item x="242"/>
        <item x="547"/>
        <item x="550"/>
        <item x="135"/>
        <item x="371"/>
        <item x="88"/>
        <item x="354"/>
        <item x="230"/>
        <item x="104"/>
        <item x="173"/>
        <item x="551"/>
        <item x="224"/>
        <item x="497"/>
        <item x="127"/>
        <item x="43"/>
        <item x="270"/>
        <item x="154"/>
        <item x="85"/>
        <item x="408"/>
        <item x="465"/>
        <item x="338"/>
        <item x="147"/>
        <item x="362"/>
        <item x="380"/>
        <item x="128"/>
        <item x="84"/>
        <item x="511"/>
        <item x="392"/>
        <item x="11"/>
        <item x="450"/>
        <item x="474"/>
        <item x="204"/>
        <item x="255"/>
        <item x="463"/>
        <item x="436"/>
        <item x="223"/>
        <item x="344"/>
        <item x="387"/>
        <item x="443"/>
        <item x="529"/>
        <item x="156"/>
        <item x="138"/>
        <item x="521"/>
        <item x="296"/>
        <item x="241"/>
        <item x="191"/>
        <item x="188"/>
        <item x="522"/>
        <item x="346"/>
        <item x="17"/>
        <item x="110"/>
        <item x="162"/>
        <item x="248"/>
        <item x="256"/>
        <item x="19"/>
        <item x="330"/>
        <item x="264"/>
        <item x="449"/>
        <item x="326"/>
        <item x="132"/>
        <item x="309"/>
        <item x="252"/>
        <item x="158"/>
        <item x="367"/>
        <item x="557"/>
        <item x="470"/>
        <item x="111"/>
        <item x="369"/>
        <item x="148"/>
        <item x="406"/>
        <item x="15"/>
        <item x="165"/>
        <item x="379"/>
        <item x="185"/>
        <item x="352"/>
        <item x="289"/>
        <item x="37"/>
        <item x="398"/>
        <item x="233"/>
        <item x="122"/>
        <item x="417"/>
        <item x="153"/>
        <item x="505"/>
        <item x="473"/>
        <item x="42"/>
        <item x="41"/>
        <item x="83"/>
        <item x="36"/>
        <item x="216"/>
        <item x="304"/>
        <item x="320"/>
        <item x="195"/>
        <item x="515"/>
        <item x="439"/>
        <item x="431"/>
        <item x="180"/>
        <item x="48"/>
        <item x="103"/>
        <item x="302"/>
        <item x="206"/>
        <item x="489"/>
        <item x="90"/>
        <item x="231"/>
        <item x="200"/>
        <item x="32"/>
        <item x="152"/>
        <item x="108"/>
        <item x="89"/>
        <item x="144"/>
        <item x="400"/>
        <item x="316"/>
        <item x="87"/>
        <item x="508"/>
        <item x="441"/>
        <item x="386"/>
        <item x="181"/>
        <item x="60"/>
        <item x="151"/>
        <item x="50"/>
        <item x="301"/>
        <item x="109"/>
        <item x="359"/>
        <item x="201"/>
        <item x="22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53">
        <item x="57"/>
        <item x="224"/>
        <item x="187"/>
        <item x="230"/>
        <item x="239"/>
        <item x="76"/>
        <item x="251"/>
        <item x="77"/>
        <item x="140"/>
        <item x="107"/>
        <item x="101"/>
        <item x="32"/>
        <item x="133"/>
        <item x="212"/>
        <item x="144"/>
        <item x="39"/>
        <item x="138"/>
        <item x="205"/>
        <item x="213"/>
        <item x="69"/>
        <item x="185"/>
        <item x="37"/>
        <item x="209"/>
        <item x="157"/>
        <item x="164"/>
        <item x="126"/>
        <item x="49"/>
        <item x="229"/>
        <item x="129"/>
        <item x="70"/>
        <item x="33"/>
        <item x="207"/>
        <item x="128"/>
        <item x="22"/>
        <item x="71"/>
        <item x="223"/>
        <item x="124"/>
        <item x="159"/>
        <item x="215"/>
        <item x="74"/>
        <item x="65"/>
        <item x="36"/>
        <item x="3"/>
        <item x="241"/>
        <item x="183"/>
        <item x="176"/>
        <item x="137"/>
        <item x="250"/>
        <item x="59"/>
        <item x="246"/>
        <item x="119"/>
        <item x="26"/>
        <item x="171"/>
        <item x="58"/>
        <item x="90"/>
        <item x="64"/>
        <item x="18"/>
        <item x="63"/>
        <item x="27"/>
        <item x="16"/>
        <item x="48"/>
        <item x="188"/>
        <item x="225"/>
        <item x="234"/>
        <item x="163"/>
        <item x="135"/>
        <item x="186"/>
        <item x="52"/>
        <item x="105"/>
        <item x="168"/>
        <item x="222"/>
        <item x="2"/>
        <item x="5"/>
        <item x="45"/>
        <item x="9"/>
        <item x="166"/>
        <item x="99"/>
        <item x="23"/>
        <item x="108"/>
        <item x="237"/>
        <item x="53"/>
        <item x="189"/>
        <item x="112"/>
        <item x="199"/>
        <item x="167"/>
        <item x="118"/>
        <item x="165"/>
        <item x="78"/>
        <item x="55"/>
        <item x="85"/>
        <item x="0"/>
        <item x="81"/>
        <item x="132"/>
        <item x="240"/>
        <item x="235"/>
        <item x="12"/>
        <item x="95"/>
        <item x="104"/>
        <item x="42"/>
        <item x="198"/>
        <item x="72"/>
        <item x="179"/>
        <item x="97"/>
        <item x="100"/>
        <item x="226"/>
        <item x="200"/>
        <item x="191"/>
        <item x="161"/>
        <item x="228"/>
        <item x="192"/>
        <item x="184"/>
        <item x="236"/>
        <item x="141"/>
        <item x="109"/>
        <item x="67"/>
        <item x="75"/>
        <item x="139"/>
        <item x="162"/>
        <item x="117"/>
        <item x="233"/>
        <item x="92"/>
        <item x="96"/>
        <item x="248"/>
        <item x="238"/>
        <item x="147"/>
        <item x="103"/>
        <item x="220"/>
        <item x="80"/>
        <item x="146"/>
        <item x="1"/>
        <item x="145"/>
        <item x="83"/>
        <item x="204"/>
        <item x="6"/>
        <item x="84"/>
        <item x="217"/>
        <item x="219"/>
        <item x="114"/>
        <item x="244"/>
        <item x="62"/>
        <item x="15"/>
        <item x="25"/>
        <item x="111"/>
        <item x="243"/>
        <item x="94"/>
        <item x="173"/>
        <item x="143"/>
        <item x="29"/>
        <item x="227"/>
        <item x="121"/>
        <item x="178"/>
        <item x="51"/>
        <item x="110"/>
        <item x="131"/>
        <item x="82"/>
        <item x="172"/>
        <item x="154"/>
        <item x="14"/>
        <item x="19"/>
        <item x="149"/>
        <item x="98"/>
        <item x="20"/>
        <item x="44"/>
        <item x="181"/>
        <item x="196"/>
        <item x="150"/>
        <item x="158"/>
        <item x="134"/>
        <item x="247"/>
        <item x="201"/>
        <item x="190"/>
        <item x="249"/>
        <item x="211"/>
        <item x="11"/>
        <item x="34"/>
        <item x="130"/>
        <item x="102"/>
        <item x="106"/>
        <item x="177"/>
        <item x="43"/>
        <item x="89"/>
        <item x="91"/>
        <item x="210"/>
        <item x="10"/>
        <item x="40"/>
        <item x="174"/>
        <item x="242"/>
        <item x="30"/>
        <item x="169"/>
        <item x="170"/>
        <item x="87"/>
        <item x="203"/>
        <item x="54"/>
        <item x="13"/>
        <item x="115"/>
        <item x="151"/>
        <item x="28"/>
        <item x="122"/>
        <item x="245"/>
        <item x="41"/>
        <item x="160"/>
        <item x="152"/>
        <item x="61"/>
        <item x="216"/>
        <item x="31"/>
        <item x="155"/>
        <item x="79"/>
        <item x="116"/>
        <item x="148"/>
        <item x="218"/>
        <item x="50"/>
        <item x="68"/>
        <item x="8"/>
        <item x="47"/>
        <item x="142"/>
        <item x="66"/>
        <item x="46"/>
        <item x="4"/>
        <item x="221"/>
        <item x="195"/>
        <item x="175"/>
        <item x="206"/>
        <item x="24"/>
        <item x="214"/>
        <item x="197"/>
        <item x="232"/>
        <item x="73"/>
        <item x="113"/>
        <item x="88"/>
        <item x="182"/>
        <item x="193"/>
        <item x="156"/>
        <item x="136"/>
        <item x="21"/>
        <item x="86"/>
        <item x="202"/>
        <item x="125"/>
        <item x="35"/>
        <item x="231"/>
        <item x="123"/>
        <item x="180"/>
        <item x="153"/>
        <item x="120"/>
        <item x="93"/>
        <item x="194"/>
        <item x="208"/>
        <item x="127"/>
        <item x="7"/>
        <item x="56"/>
        <item x="17"/>
        <item x="60"/>
        <item x="38"/>
        <item t="default"/>
      </items>
    </pivotField>
    <pivotField compact="0" showAll="0">
      <items count="42">
        <item x="19"/>
        <item x="16"/>
        <item x="35"/>
        <item x="1"/>
        <item x="21"/>
        <item x="28"/>
        <item x="13"/>
        <item x="37"/>
        <item x="2"/>
        <item x="31"/>
        <item x="10"/>
        <item x="14"/>
        <item x="22"/>
        <item x="38"/>
        <item x="0"/>
        <item x="27"/>
        <item x="36"/>
        <item x="30"/>
        <item x="12"/>
        <item x="11"/>
        <item x="34"/>
        <item x="24"/>
        <item x="8"/>
        <item x="32"/>
        <item x="39"/>
        <item x="29"/>
        <item x="26"/>
        <item x="15"/>
        <item x="3"/>
        <item x="23"/>
        <item x="25"/>
        <item x="20"/>
        <item x="9"/>
        <item x="33"/>
        <item x="40"/>
        <item x="18"/>
        <item x="5"/>
        <item x="7"/>
        <item x="17"/>
        <item x="4"/>
        <item x="6"/>
        <item t="default"/>
      </items>
    </pivotField>
    <pivotField axis="axisPage" compact="0" multipleItemSelectionAllowed="1" numFmtId="180" showAll="0">
      <items count="315">
        <item x="117"/>
        <item x="102"/>
        <item x="108"/>
        <item x="231"/>
        <item x="301"/>
        <item x="114"/>
        <item x="211"/>
        <item x="311"/>
        <item x="310"/>
        <item x="263"/>
        <item x="104"/>
        <item x="190"/>
        <item x="216"/>
        <item x="66"/>
        <item x="184"/>
        <item x="70"/>
        <item x="181"/>
        <item x="96"/>
        <item x="230"/>
        <item x="225"/>
        <item x="93"/>
        <item x="258"/>
        <item x="186"/>
        <item x="29"/>
        <item x="151"/>
        <item x="23"/>
        <item x="42"/>
        <item x="166"/>
        <item x="119"/>
        <item x="232"/>
        <item x="169"/>
        <item x="127"/>
        <item x="24"/>
        <item x="124"/>
        <item x="254"/>
        <item x="206"/>
        <item x="226"/>
        <item x="130"/>
        <item x="280"/>
        <item x="187"/>
        <item x="163"/>
        <item x="71"/>
        <item x="60"/>
        <item x="11"/>
        <item x="98"/>
        <item x="300"/>
        <item x="46"/>
        <item x="21"/>
        <item x="240"/>
        <item x="201"/>
        <item x="188"/>
        <item x="260"/>
        <item x="28"/>
        <item x="94"/>
        <item x="253"/>
        <item x="162"/>
        <item x="243"/>
        <item x="195"/>
        <item x="220"/>
        <item x="161"/>
        <item x="227"/>
        <item x="245"/>
        <item x="164"/>
        <item x="87"/>
        <item x="249"/>
        <item x="33"/>
        <item x="209"/>
        <item x="4"/>
        <item x="120"/>
        <item x="272"/>
        <item x="40"/>
        <item x="279"/>
        <item x="142"/>
        <item x="217"/>
        <item x="176"/>
        <item x="202"/>
        <item x="219"/>
        <item x="133"/>
        <item x="153"/>
        <item x="250"/>
        <item x="103"/>
        <item x="305"/>
        <item x="165"/>
        <item x="121"/>
        <item x="288"/>
        <item x="214"/>
        <item x="18"/>
        <item x="167"/>
        <item x="110"/>
        <item x="115"/>
        <item x="2"/>
        <item x="91"/>
        <item x="261"/>
        <item x="143"/>
        <item x="97"/>
        <item x="136"/>
        <item x="291"/>
        <item x="31"/>
        <item x="210"/>
        <item x="269"/>
        <item x="137"/>
        <item x="223"/>
        <item x="257"/>
        <item x="276"/>
        <item x="75"/>
        <item x="101"/>
        <item x="45"/>
        <item x="30"/>
        <item x="304"/>
        <item x="81"/>
        <item x="118"/>
        <item x="207"/>
        <item x="182"/>
        <item x="146"/>
        <item x="215"/>
        <item x="251"/>
        <item x="0"/>
        <item x="79"/>
        <item x="52"/>
        <item x="150"/>
        <item x="286"/>
        <item x="44"/>
        <item x="270"/>
        <item x="198"/>
        <item x="183"/>
        <item x="159"/>
        <item x="308"/>
        <item x="222"/>
        <item x="267"/>
        <item x="78"/>
        <item x="72"/>
        <item x="69"/>
        <item x="88"/>
        <item x="141"/>
        <item x="244"/>
        <item x="203"/>
        <item x="281"/>
        <item x="22"/>
        <item x="123"/>
        <item x="152"/>
        <item x="294"/>
        <item x="109"/>
        <item x="171"/>
        <item x="20"/>
        <item x="80"/>
        <item x="135"/>
        <item x="155"/>
        <item x="77"/>
        <item x="204"/>
        <item x="189"/>
        <item x="174"/>
        <item x="43"/>
        <item x="312"/>
        <item x="53"/>
        <item x="246"/>
        <item x="180"/>
        <item x="7"/>
        <item x="140"/>
        <item x="172"/>
        <item x="83"/>
        <item x="38"/>
        <item x="19"/>
        <item x="36"/>
        <item x="35"/>
        <item x="274"/>
        <item x="313"/>
        <item x="296"/>
        <item x="126"/>
        <item x="241"/>
        <item x="278"/>
        <item x="170"/>
        <item x="41"/>
        <item x="157"/>
        <item x="17"/>
        <item x="26"/>
        <item x="34"/>
        <item x="139"/>
        <item x="303"/>
        <item x="112"/>
        <item x="47"/>
        <item x="107"/>
        <item x="64"/>
        <item x="265"/>
        <item x="197"/>
        <item x="50"/>
        <item x="134"/>
        <item x="284"/>
        <item x="247"/>
        <item x="10"/>
        <item x="309"/>
        <item x="238"/>
        <item x="292"/>
        <item x="173"/>
        <item x="65"/>
        <item x="131"/>
        <item x="58"/>
        <item x="306"/>
        <item x="248"/>
        <item x="233"/>
        <item x="283"/>
        <item x="228"/>
        <item x="298"/>
        <item x="67"/>
        <item x="224"/>
        <item x="15"/>
        <item x="158"/>
        <item x="299"/>
        <item x="149"/>
        <item x="74"/>
        <item x="160"/>
        <item x="255"/>
        <item x="235"/>
        <item x="6"/>
        <item x="63"/>
        <item x="16"/>
        <item x="122"/>
        <item x="14"/>
        <item x="297"/>
        <item x="129"/>
        <item x="85"/>
        <item x="264"/>
        <item x="148"/>
        <item x="62"/>
        <item x="302"/>
        <item x="199"/>
        <item x="105"/>
        <item x="192"/>
        <item x="168"/>
        <item x="285"/>
        <item x="234"/>
        <item x="95"/>
        <item x="39"/>
        <item x="256"/>
        <item x="194"/>
        <item x="271"/>
        <item x="132"/>
        <item x="73"/>
        <item x="275"/>
        <item x="92"/>
        <item x="212"/>
        <item x="307"/>
        <item x="12"/>
        <item x="8"/>
        <item x="268"/>
        <item x="289"/>
        <item x="48"/>
        <item x="138"/>
        <item x="27"/>
        <item x="54"/>
        <item x="293"/>
        <item x="273"/>
        <item x="106"/>
        <item x="277"/>
        <item x="290"/>
        <item x="61"/>
        <item x="242"/>
        <item x="113"/>
        <item x="25"/>
        <item x="144"/>
        <item x="3"/>
        <item x="1"/>
        <item x="59"/>
        <item x="13"/>
        <item x="90"/>
        <item x="76"/>
        <item x="218"/>
        <item x="99"/>
        <item x="51"/>
        <item x="259"/>
        <item x="128"/>
        <item x="205"/>
        <item x="84"/>
        <item x="193"/>
        <item x="178"/>
        <item x="282"/>
        <item x="295"/>
        <item x="100"/>
        <item x="68"/>
        <item x="191"/>
        <item x="177"/>
        <item x="196"/>
        <item x="221"/>
        <item x="116"/>
        <item x="229"/>
        <item x="154"/>
        <item x="179"/>
        <item x="175"/>
        <item x="208"/>
        <item x="185"/>
        <item x="9"/>
        <item x="89"/>
        <item x="32"/>
        <item x="86"/>
        <item x="125"/>
        <item x="213"/>
        <item x="287"/>
        <item x="200"/>
        <item x="82"/>
        <item x="55"/>
        <item x="262"/>
        <item x="266"/>
        <item x="49"/>
        <item x="37"/>
        <item x="239"/>
        <item x="147"/>
        <item x="237"/>
        <item x="5"/>
        <item x="56"/>
        <item x="57"/>
        <item x="111"/>
        <item x="145"/>
        <item x="236"/>
        <item x="156"/>
        <item x="252"/>
        <item t="default"/>
      </items>
    </pivotField>
    <pivotField axis="axisPage" dataField="1" compact="0" multipleItemSelectionAllowed="1" showAll="0">
      <items count="5">
        <item x="2"/>
        <item x="3"/>
        <item x="0"/>
        <item x="1"/>
        <item t="default"/>
      </items>
    </pivotField>
    <pivotField compact="0" showAll="0">
      <items count="642">
        <item x="441"/>
        <item x="557"/>
        <item x="0"/>
        <item x="502"/>
        <item x="137"/>
        <item x="514"/>
        <item x="84"/>
        <item x="596"/>
        <item x="383"/>
        <item x="575"/>
        <item x="248"/>
        <item x="622"/>
        <item x="13"/>
        <item x="164"/>
        <item x="174"/>
        <item x="31"/>
        <item x="195"/>
        <item x="466"/>
        <item x="27"/>
        <item x="239"/>
        <item x="443"/>
        <item x="511"/>
        <item x="231"/>
        <item x="482"/>
        <item x="493"/>
        <item x="203"/>
        <item x="532"/>
        <item x="488"/>
        <item x="520"/>
        <item x="128"/>
        <item x="279"/>
        <item x="11"/>
        <item x="397"/>
        <item x="399"/>
        <item x="103"/>
        <item x="193"/>
        <item x="589"/>
        <item x="569"/>
        <item x="508"/>
        <item x="215"/>
        <item x="56"/>
        <item x="325"/>
        <item x="618"/>
        <item x="565"/>
        <item x="275"/>
        <item x="598"/>
        <item x="227"/>
        <item x="99"/>
        <item x="162"/>
        <item x="612"/>
        <item x="256"/>
        <item x="175"/>
        <item x="535"/>
        <item x="171"/>
        <item x="228"/>
        <item x="259"/>
        <item x="636"/>
        <item x="341"/>
        <item x="380"/>
        <item x="196"/>
        <item x="64"/>
        <item x="42"/>
        <item x="233"/>
        <item x="555"/>
        <item x="553"/>
        <item x="282"/>
        <item x="473"/>
        <item x="615"/>
        <item x="190"/>
        <item x="301"/>
        <item x="571"/>
        <item x="3"/>
        <item x="125"/>
        <item x="330"/>
        <item x="624"/>
        <item x="462"/>
        <item x="124"/>
        <item x="50"/>
        <item x="237"/>
        <item x="317"/>
        <item x="131"/>
        <item x="523"/>
        <item x="55"/>
        <item x="332"/>
        <item x="429"/>
        <item x="492"/>
        <item x="585"/>
        <item x="106"/>
        <item x="384"/>
        <item x="121"/>
        <item x="528"/>
        <item x="424"/>
        <item x="176"/>
        <item x="442"/>
        <item x="92"/>
        <item x="242"/>
        <item x="207"/>
        <item x="402"/>
        <item x="370"/>
        <item x="394"/>
        <item x="595"/>
        <item x="628"/>
        <item x="551"/>
        <item x="225"/>
        <item x="290"/>
        <item x="605"/>
        <item x="591"/>
        <item x="590"/>
        <item x="395"/>
        <item x="453"/>
        <item x="249"/>
        <item x="280"/>
        <item x="120"/>
        <item x="320"/>
        <item x="546"/>
        <item x="271"/>
        <item x="564"/>
        <item x="543"/>
        <item x="163"/>
        <item x="61"/>
        <item x="524"/>
        <item x="2"/>
        <item x="148"/>
        <item x="521"/>
        <item x="338"/>
        <item x="456"/>
        <item x="609"/>
        <item x="173"/>
        <item x="53"/>
        <item x="186"/>
        <item x="510"/>
        <item x="613"/>
        <item x="406"/>
        <item x="251"/>
        <item x="117"/>
        <item x="331"/>
        <item x="631"/>
        <item x="90"/>
        <item x="57"/>
        <item x="468"/>
        <item x="372"/>
        <item x="470"/>
        <item x="144"/>
        <item x="491"/>
        <item x="66"/>
        <item x="44"/>
        <item x="361"/>
        <item x="145"/>
        <item x="244"/>
        <item x="76"/>
        <item x="623"/>
        <item x="63"/>
        <item x="138"/>
        <item x="255"/>
        <item x="548"/>
        <item x="200"/>
        <item x="463"/>
        <item x="229"/>
        <item x="33"/>
        <item x="351"/>
        <item x="108"/>
        <item x="6"/>
        <item x="344"/>
        <item x="515"/>
        <item x="238"/>
        <item x="236"/>
        <item x="479"/>
        <item x="77"/>
        <item x="91"/>
        <item x="640"/>
        <item x="556"/>
        <item x="360"/>
        <item x="208"/>
        <item x="593"/>
        <item x="158"/>
        <item x="381"/>
        <item x="243"/>
        <item x="218"/>
        <item x="386"/>
        <item x="574"/>
        <item x="323"/>
        <item x="337"/>
        <item x="10"/>
        <item x="350"/>
        <item x="166"/>
        <item x="51"/>
        <item x="611"/>
        <item x="376"/>
        <item x="172"/>
        <item x="312"/>
        <item x="342"/>
        <item x="62"/>
        <item x="98"/>
        <item x="340"/>
        <item x="439"/>
        <item x="428"/>
        <item x="471"/>
        <item x="356"/>
        <item x="68"/>
        <item x="189"/>
        <item x="426"/>
        <item x="78"/>
        <item x="318"/>
        <item x="34"/>
        <item x="469"/>
        <item x="292"/>
        <item x="28"/>
        <item x="123"/>
        <item x="390"/>
        <item x="400"/>
        <item x="179"/>
        <item x="9"/>
        <item x="597"/>
        <item x="568"/>
        <item x="635"/>
        <item x="545"/>
        <item x="616"/>
        <item x="127"/>
        <item x="212"/>
        <item x="273"/>
        <item x="500"/>
        <item x="404"/>
        <item x="205"/>
        <item x="601"/>
        <item x="112"/>
        <item x="517"/>
        <item x="346"/>
        <item x="425"/>
        <item x="418"/>
        <item x="191"/>
        <item x="373"/>
        <item x="378"/>
        <item x="136"/>
        <item x="362"/>
        <item x="217"/>
        <item x="638"/>
        <item x="161"/>
        <item x="74"/>
        <item x="287"/>
        <item x="86"/>
        <item x="150"/>
        <item x="39"/>
        <item x="151"/>
        <item x="321"/>
        <item x="572"/>
        <item x="484"/>
        <item x="333"/>
        <item x="88"/>
        <item x="202"/>
        <item x="298"/>
        <item x="278"/>
        <item x="531"/>
        <item x="168"/>
        <item x="118"/>
        <item x="222"/>
        <item x="604"/>
        <item x="417"/>
        <item x="272"/>
        <item x="122"/>
        <item x="303"/>
        <item x="274"/>
        <item x="540"/>
        <item x="477"/>
        <item x="288"/>
        <item x="472"/>
        <item x="413"/>
        <item x="544"/>
        <item x="12"/>
        <item x="257"/>
        <item x="188"/>
        <item x="100"/>
        <item x="43"/>
        <item x="81"/>
        <item x="134"/>
        <item x="142"/>
        <item x="232"/>
        <item x="392"/>
        <item x="302"/>
        <item x="476"/>
        <item x="226"/>
        <item x="140"/>
        <item x="199"/>
        <item x="626"/>
        <item x="407"/>
        <item x="411"/>
        <item x="485"/>
        <item x="483"/>
        <item x="474"/>
        <item x="58"/>
        <item x="245"/>
        <item x="135"/>
        <item x="537"/>
        <item x="503"/>
        <item x="266"/>
        <item x="54"/>
        <item x="5"/>
        <item x="348"/>
        <item x="599"/>
        <item x="336"/>
        <item x="427"/>
        <item x="300"/>
        <item x="297"/>
        <item x="349"/>
        <item x="550"/>
        <item x="326"/>
        <item x="633"/>
        <item x="153"/>
        <item x="73"/>
        <item x="324"/>
        <item x="567"/>
        <item x="487"/>
        <item x="32"/>
        <item x="518"/>
        <item x="432"/>
        <item x="375"/>
        <item x="448"/>
        <item x="415"/>
        <item x="23"/>
        <item x="154"/>
        <item x="496"/>
        <item x="167"/>
        <item x="130"/>
        <item x="30"/>
        <item x="366"/>
        <item x="307"/>
        <item x="41"/>
        <item x="619"/>
        <item x="632"/>
        <item x="309"/>
        <item x="35"/>
        <item x="305"/>
        <item x="261"/>
        <item x="254"/>
        <item x="187"/>
        <item x="85"/>
        <item x="72"/>
        <item x="329"/>
        <item x="359"/>
        <item x="16"/>
        <item x="434"/>
        <item x="639"/>
        <item x="327"/>
        <item x="513"/>
        <item x="610"/>
        <item x="371"/>
        <item x="24"/>
        <item x="97"/>
        <item x="52"/>
        <item x="129"/>
        <item x="343"/>
        <item x="454"/>
        <item x="505"/>
        <item x="192"/>
        <item x="119"/>
        <item x="420"/>
        <item x="445"/>
        <item x="209"/>
        <item x="204"/>
        <item x="549"/>
        <item x="1"/>
        <item x="527"/>
        <item x="457"/>
        <item x="422"/>
        <item x="139"/>
        <item x="206"/>
        <item x="277"/>
        <item x="69"/>
        <item x="455"/>
        <item x="264"/>
        <item x="358"/>
        <item x="181"/>
        <item x="450"/>
        <item x="322"/>
        <item x="512"/>
        <item x="295"/>
        <item x="364"/>
        <item x="96"/>
        <item x="542"/>
        <item x="296"/>
        <item x="465"/>
        <item x="283"/>
        <item x="160"/>
        <item x="451"/>
        <item x="14"/>
        <item x="315"/>
        <item x="352"/>
        <item x="316"/>
        <item x="539"/>
        <item x="577"/>
        <item x="29"/>
        <item x="410"/>
        <item x="452"/>
        <item x="354"/>
        <item x="75"/>
        <item x="116"/>
        <item x="536"/>
        <item x="497"/>
        <item x="433"/>
        <item x="335"/>
        <item x="293"/>
        <item x="538"/>
        <item x="334"/>
        <item x="223"/>
        <item x="566"/>
        <item x="559"/>
        <item x="286"/>
        <item x="412"/>
        <item x="416"/>
        <item x="314"/>
        <item x="522"/>
        <item x="252"/>
        <item x="60"/>
        <item x="423"/>
        <item x="621"/>
        <item x="357"/>
        <item x="157"/>
        <item x="67"/>
        <item x="262"/>
        <item x="347"/>
        <item x="533"/>
        <item x="507"/>
        <item x="141"/>
        <item x="582"/>
        <item x="313"/>
        <item x="490"/>
        <item x="170"/>
        <item x="592"/>
        <item x="306"/>
        <item x="586"/>
        <item x="4"/>
        <item x="269"/>
        <item x="101"/>
        <item x="552"/>
        <item x="115"/>
        <item x="387"/>
        <item x="89"/>
        <item x="444"/>
        <item x="414"/>
        <item x="562"/>
        <item x="70"/>
        <item x="377"/>
        <item x="547"/>
        <item x="143"/>
        <item x="385"/>
        <item x="40"/>
        <item x="45"/>
        <item x="608"/>
        <item x="102"/>
        <item x="541"/>
        <item x="311"/>
        <item x="398"/>
        <item x="554"/>
        <item x="637"/>
        <item x="506"/>
        <item x="281"/>
        <item x="509"/>
        <item x="435"/>
        <item x="46"/>
        <item x="177"/>
        <item x="486"/>
        <item x="258"/>
        <item x="579"/>
        <item x="389"/>
        <item x="516"/>
        <item x="504"/>
        <item x="495"/>
        <item x="299"/>
        <item x="446"/>
        <item x="211"/>
        <item x="104"/>
        <item x="573"/>
        <item x="578"/>
        <item x="614"/>
        <item x="146"/>
        <item x="489"/>
        <item x="603"/>
        <item x="328"/>
        <item x="8"/>
        <item x="430"/>
        <item x="584"/>
        <item x="234"/>
        <item x="25"/>
        <item x="560"/>
        <item x="379"/>
        <item x="94"/>
        <item x="263"/>
        <item x="460"/>
        <item x="155"/>
        <item x="105"/>
        <item x="388"/>
        <item x="198"/>
        <item x="83"/>
        <item x="87"/>
        <item x="221"/>
        <item x="240"/>
        <item x="156"/>
        <item x="21"/>
        <item x="184"/>
        <item x="630"/>
        <item x="230"/>
        <item x="304"/>
        <item x="403"/>
        <item x="438"/>
        <item x="268"/>
        <item x="393"/>
        <item x="178"/>
        <item x="213"/>
        <item x="114"/>
        <item x="19"/>
        <item x="38"/>
        <item x="79"/>
        <item x="18"/>
        <item x="36"/>
        <item x="588"/>
        <item x="113"/>
        <item x="7"/>
        <item x="355"/>
        <item x="368"/>
        <item x="576"/>
        <item x="194"/>
        <item x="594"/>
        <item x="419"/>
        <item x="294"/>
        <item x="345"/>
        <item x="458"/>
        <item x="561"/>
        <item x="219"/>
        <item x="241"/>
        <item x="214"/>
        <item x="260"/>
        <item x="159"/>
        <item x="20"/>
        <item x="107"/>
        <item x="408"/>
        <item x="291"/>
        <item x="49"/>
        <item x="185"/>
        <item x="449"/>
        <item x="95"/>
        <item x="201"/>
        <item x="180"/>
        <item x="602"/>
        <item x="47"/>
        <item x="481"/>
        <item x="480"/>
        <item x="494"/>
        <item x="581"/>
        <item x="37"/>
        <item x="22"/>
        <item x="250"/>
        <item x="82"/>
        <item x="498"/>
        <item x="284"/>
        <item x="310"/>
        <item x="519"/>
        <item x="467"/>
        <item x="627"/>
        <item x="436"/>
        <item x="529"/>
        <item x="365"/>
        <item x="606"/>
        <item x="285"/>
        <item x="48"/>
        <item x="253"/>
        <item x="71"/>
        <item x="235"/>
        <item x="247"/>
        <item x="530"/>
        <item x="620"/>
        <item x="111"/>
        <item x="401"/>
        <item x="26"/>
        <item x="147"/>
        <item x="339"/>
        <item x="583"/>
        <item x="369"/>
        <item x="478"/>
        <item x="267"/>
        <item x="534"/>
        <item x="165"/>
        <item x="109"/>
        <item x="149"/>
        <item x="396"/>
        <item x="169"/>
        <item x="246"/>
        <item x="265"/>
        <item x="224"/>
        <item x="437"/>
        <item x="65"/>
        <item x="391"/>
        <item x="580"/>
        <item x="183"/>
        <item x="431"/>
        <item x="587"/>
        <item x="197"/>
        <item x="499"/>
        <item x="634"/>
        <item x="182"/>
        <item x="220"/>
        <item x="110"/>
        <item x="308"/>
        <item x="276"/>
        <item x="289"/>
        <item x="501"/>
        <item x="625"/>
        <item x="459"/>
        <item x="525"/>
        <item x="93"/>
        <item x="563"/>
        <item x="59"/>
        <item x="126"/>
        <item x="210"/>
        <item x="558"/>
        <item x="464"/>
        <item x="367"/>
        <item x="600"/>
        <item x="526"/>
        <item x="409"/>
        <item x="319"/>
        <item x="152"/>
        <item x="607"/>
        <item x="80"/>
        <item x="617"/>
        <item x="382"/>
        <item x="421"/>
        <item x="132"/>
        <item x="216"/>
        <item x="270"/>
        <item x="405"/>
        <item x="17"/>
        <item x="629"/>
        <item x="475"/>
        <item x="374"/>
        <item x="133"/>
        <item x="363"/>
        <item x="440"/>
        <item x="353"/>
        <item x="461"/>
        <item x="570"/>
        <item x="447"/>
        <item x="15"/>
        <item t="default"/>
      </items>
    </pivotField>
    <pivotField compact="0" multipleItemSelectionAllowed="1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634">
        <item x="255"/>
        <item x="16"/>
        <item x="33"/>
        <item x="522"/>
        <item x="156"/>
        <item x="529"/>
        <item x="473"/>
        <item x="238"/>
        <item x="347"/>
        <item x="512"/>
        <item x="403"/>
        <item x="42"/>
        <item x="133"/>
        <item x="557"/>
        <item x="531"/>
        <item x="485"/>
        <item x="385"/>
        <item x="632"/>
        <item x="78"/>
        <item x="275"/>
        <item x="424"/>
        <item x="301"/>
        <item x="304"/>
        <item x="509"/>
        <item x="324"/>
        <item x="477"/>
        <item x="452"/>
        <item x="417"/>
        <item x="261"/>
        <item x="220"/>
        <item x="242"/>
        <item x="413"/>
        <item x="76"/>
        <item x="270"/>
        <item x="420"/>
        <item x="480"/>
        <item x="287"/>
        <item x="300"/>
        <item x="115"/>
        <item x="19"/>
        <item x="448"/>
        <item x="499"/>
        <item x="24"/>
        <item x="120"/>
        <item x="205"/>
        <item x="210"/>
        <item x="182"/>
        <item x="628"/>
        <item x="336"/>
        <item x="116"/>
        <item x="376"/>
        <item x="152"/>
        <item x="223"/>
        <item x="60"/>
        <item x="542"/>
        <item x="520"/>
        <item x="183"/>
        <item x="433"/>
        <item x="55"/>
        <item x="127"/>
        <item x="134"/>
        <item x="81"/>
        <item x="496"/>
        <item x="508"/>
        <item x="85"/>
        <item x="615"/>
        <item x="207"/>
        <item x="296"/>
        <item x="297"/>
        <item x="506"/>
        <item x="419"/>
        <item x="451"/>
        <item x="278"/>
        <item x="449"/>
        <item x="97"/>
        <item x="265"/>
        <item x="536"/>
        <item x="70"/>
        <item x="521"/>
        <item x="140"/>
        <item x="525"/>
        <item x="30"/>
        <item x="279"/>
        <item x="348"/>
        <item x="58"/>
        <item x="562"/>
        <item x="246"/>
        <item x="471"/>
        <item x="45"/>
        <item x="82"/>
        <item x="203"/>
        <item x="386"/>
        <item x="187"/>
        <item x="504"/>
        <item x="623"/>
        <item x="360"/>
        <item x="67"/>
        <item x="350"/>
        <item x="139"/>
        <item x="344"/>
        <item x="266"/>
        <item x="230"/>
        <item x="331"/>
        <item x="57"/>
        <item x="405"/>
        <item x="515"/>
        <item x="118"/>
        <item x="605"/>
        <item x="163"/>
        <item x="323"/>
        <item x="75"/>
        <item x="87"/>
        <item x="137"/>
        <item x="586"/>
        <item x="256"/>
        <item x="399"/>
        <item x="288"/>
        <item x="593"/>
        <item x="361"/>
        <item x="128"/>
        <item x="91"/>
        <item x="2"/>
        <item x="162"/>
        <item x="249"/>
        <item x="614"/>
        <item x="0"/>
        <item x="309"/>
        <item x="170"/>
        <item x="528"/>
        <item x="368"/>
        <item x="273"/>
        <item x="625"/>
        <item x="227"/>
        <item x="402"/>
        <item x="264"/>
        <item x="518"/>
        <item x="174"/>
        <item x="338"/>
        <item x="395"/>
        <item x="418"/>
        <item x="111"/>
        <item x="469"/>
        <item x="564"/>
        <item x="211"/>
        <item x="277"/>
        <item x="617"/>
        <item x="125"/>
        <item x="23"/>
        <item x="322"/>
        <item x="208"/>
        <item x="587"/>
        <item x="454"/>
        <item x="544"/>
        <item x="422"/>
        <item x="151"/>
        <item x="247"/>
        <item x="390"/>
        <item x="467"/>
        <item x="302"/>
        <item x="226"/>
        <item x="578"/>
        <item x="257"/>
        <item x="88"/>
        <item x="387"/>
        <item x="584"/>
        <item x="126"/>
        <item x="412"/>
        <item x="167"/>
        <item x="274"/>
        <item x="293"/>
        <item x="342"/>
        <item x="435"/>
        <item x="129"/>
        <item x="445"/>
        <item x="14"/>
        <item x="178"/>
        <item x="608"/>
        <item x="32"/>
        <item x="235"/>
        <item x="107"/>
        <item x="234"/>
        <item x="93"/>
        <item x="547"/>
        <item x="341"/>
        <item x="18"/>
        <item x="177"/>
        <item x="330"/>
        <item x="565"/>
        <item x="549"/>
        <item x="545"/>
        <item x="3"/>
        <item x="486"/>
        <item x="195"/>
        <item x="616"/>
        <item x="369"/>
        <item x="517"/>
        <item x="38"/>
        <item x="283"/>
        <item x="176"/>
        <item x="122"/>
        <item x="272"/>
        <item x="202"/>
        <item x="166"/>
        <item x="109"/>
        <item x="384"/>
        <item x="92"/>
        <item x="201"/>
        <item x="237"/>
        <item x="537"/>
        <item x="583"/>
        <item x="540"/>
        <item x="281"/>
        <item x="191"/>
        <item x="124"/>
        <item x="370"/>
        <item x="44"/>
        <item x="289"/>
        <item x="303"/>
        <item x="353"/>
        <item x="185"/>
        <item x="5"/>
        <item x="326"/>
        <item x="497"/>
        <item x="106"/>
        <item x="8"/>
        <item x="328"/>
        <item x="219"/>
        <item x="305"/>
        <item x="41"/>
        <item x="456"/>
        <item x="332"/>
        <item x="558"/>
        <item x="123"/>
        <item x="54"/>
        <item x="468"/>
        <item x="466"/>
        <item x="267"/>
        <item x="299"/>
        <item x="101"/>
        <item x="478"/>
        <item x="596"/>
        <item x="333"/>
        <item x="618"/>
        <item x="168"/>
        <item x="429"/>
        <item x="406"/>
        <item x="481"/>
        <item x="591"/>
        <item x="258"/>
        <item x="470"/>
        <item x="443"/>
        <item x="119"/>
        <item x="611"/>
        <item x="15"/>
        <item x="438"/>
        <item x="428"/>
        <item x="172"/>
        <item x="194"/>
        <item x="56"/>
        <item x="11"/>
        <item x="175"/>
        <item x="396"/>
        <item x="559"/>
        <item x="505"/>
        <item x="104"/>
        <item x="100"/>
        <item x="228"/>
        <item x="610"/>
        <item x="526"/>
        <item x="59"/>
        <item x="240"/>
        <item x="27"/>
        <item x="563"/>
        <item x="592"/>
        <item x="241"/>
        <item x="21"/>
        <item x="621"/>
        <item x="439"/>
        <item x="457"/>
        <item x="268"/>
        <item x="472"/>
        <item x="31"/>
        <item x="146"/>
        <item x="6"/>
        <item x="25"/>
        <item x="325"/>
        <item x="462"/>
        <item x="204"/>
        <item x="165"/>
        <item x="371"/>
        <item x="460"/>
        <item x="149"/>
        <item x="53"/>
        <item x="568"/>
        <item x="245"/>
        <item x="359"/>
        <item x="222"/>
        <item x="607"/>
        <item x="597"/>
        <item x="121"/>
        <item x="426"/>
        <item x="62"/>
        <item x="492"/>
        <item x="573"/>
        <item x="28"/>
        <item x="51"/>
        <item x="290"/>
        <item x="217"/>
        <item x="131"/>
        <item x="415"/>
        <item x="514"/>
        <item x="251"/>
        <item x="236"/>
        <item x="22"/>
        <item x="461"/>
        <item x="181"/>
        <item x="553"/>
        <item x="453"/>
        <item x="169"/>
        <item x="599"/>
        <item x="519"/>
        <item x="271"/>
        <item x="35"/>
        <item x="380"/>
        <item x="244"/>
        <item x="77"/>
        <item x="550"/>
        <item x="432"/>
        <item x="286"/>
        <item x="252"/>
        <item x="298"/>
        <item x="327"/>
        <item x="398"/>
        <item x="72"/>
        <item x="601"/>
        <item x="150"/>
        <item x="110"/>
        <item x="404"/>
        <item x="276"/>
        <item x="291"/>
        <item x="254"/>
        <item x="319"/>
        <item x="444"/>
        <item x="400"/>
        <item x="524"/>
        <item x="407"/>
        <item x="594"/>
        <item x="47"/>
        <item x="475"/>
        <item x="49"/>
        <item x="37"/>
        <item x="379"/>
        <item x="320"/>
        <item x="250"/>
        <item x="421"/>
        <item x="50"/>
        <item x="262"/>
        <item x="215"/>
        <item x="229"/>
        <item x="243"/>
        <item x="339"/>
        <item x="310"/>
        <item x="292"/>
        <item x="455"/>
        <item x="612"/>
        <item x="523"/>
        <item x="576"/>
        <item x="598"/>
        <item x="96"/>
        <item x="488"/>
        <item x="48"/>
        <item x="316"/>
        <item x="112"/>
        <item x="221"/>
        <item x="626"/>
        <item x="381"/>
        <item x="489"/>
        <item x="602"/>
        <item x="577"/>
        <item x="248"/>
        <item x="465"/>
        <item x="630"/>
        <item x="69"/>
        <item x="218"/>
        <item x="627"/>
        <item x="10"/>
        <item x="312"/>
        <item x="425"/>
        <item x="354"/>
        <item x="192"/>
        <item x="349"/>
        <item x="213"/>
        <item x="345"/>
        <item x="463"/>
        <item x="337"/>
        <item x="372"/>
        <item x="416"/>
        <item x="9"/>
        <item x="63"/>
        <item x="173"/>
        <item x="479"/>
        <item x="603"/>
        <item x="351"/>
        <item x="494"/>
        <item x="94"/>
        <item x="153"/>
        <item x="552"/>
        <item x="366"/>
        <item x="502"/>
        <item x="216"/>
        <item x="145"/>
        <item x="482"/>
        <item x="232"/>
        <item x="604"/>
        <item x="476"/>
        <item x="487"/>
        <item x="130"/>
        <item x="98"/>
        <item x="52"/>
        <item x="551"/>
        <item x="590"/>
        <item x="389"/>
        <item x="377"/>
        <item x="198"/>
        <item x="17"/>
        <item x="631"/>
        <item x="365"/>
        <item x="375"/>
        <item x="212"/>
        <item x="84"/>
        <item x="367"/>
        <item x="409"/>
        <item x="434"/>
        <item x="66"/>
        <item x="619"/>
        <item x="364"/>
        <item x="580"/>
        <item x="543"/>
        <item x="86"/>
        <item x="308"/>
        <item x="493"/>
        <item x="495"/>
        <item x="117"/>
        <item x="362"/>
        <item x="180"/>
        <item x="539"/>
        <item x="423"/>
        <item x="555"/>
        <item x="200"/>
        <item x="233"/>
        <item x="34"/>
        <item x="89"/>
        <item x="410"/>
        <item x="225"/>
        <item x="436"/>
        <item x="340"/>
        <item x="113"/>
        <item x="285"/>
        <item x="574"/>
        <item x="442"/>
        <item x="269"/>
        <item x="581"/>
        <item x="355"/>
        <item x="329"/>
        <item x="13"/>
        <item x="190"/>
        <item x="427"/>
        <item x="624"/>
        <item x="313"/>
        <item x="589"/>
        <item x="108"/>
        <item x="179"/>
        <item x="114"/>
        <item x="392"/>
        <item x="196"/>
        <item x="464"/>
        <item x="582"/>
        <item x="36"/>
        <item x="622"/>
        <item x="450"/>
        <item x="458"/>
        <item x="83"/>
        <item x="474"/>
        <item x="79"/>
        <item x="99"/>
        <item x="209"/>
        <item x="64"/>
        <item x="138"/>
        <item x="382"/>
        <item x="569"/>
        <item x="437"/>
        <item x="1"/>
        <item x="356"/>
        <item x="65"/>
        <item x="260"/>
        <item x="408"/>
        <item x="554"/>
        <item x="280"/>
        <item x="609"/>
        <item x="29"/>
        <item x="148"/>
        <item x="160"/>
        <item x="186"/>
        <item x="575"/>
        <item x="68"/>
        <item x="335"/>
        <item x="90"/>
        <item x="147"/>
        <item x="538"/>
        <item x="184"/>
        <item x="620"/>
        <item x="318"/>
        <item x="73"/>
        <item x="159"/>
        <item x="295"/>
        <item x="317"/>
        <item x="363"/>
        <item x="193"/>
        <item x="511"/>
        <item x="199"/>
        <item x="343"/>
        <item x="135"/>
        <item x="188"/>
        <item x="7"/>
        <item x="157"/>
        <item x="571"/>
        <item x="132"/>
        <item x="401"/>
        <item x="197"/>
        <item x="80"/>
        <item x="570"/>
        <item x="95"/>
        <item x="231"/>
        <item x="394"/>
        <item x="306"/>
        <item x="606"/>
        <item x="259"/>
        <item x="530"/>
        <item x="214"/>
        <item x="43"/>
        <item x="239"/>
        <item x="136"/>
        <item x="155"/>
        <item x="39"/>
        <item x="358"/>
        <item x="588"/>
        <item x="46"/>
        <item x="20"/>
        <item x="26"/>
        <item x="189"/>
        <item x="507"/>
        <item x="513"/>
        <item x="393"/>
        <item x="383"/>
        <item x="164"/>
        <item x="440"/>
        <item x="431"/>
        <item x="560"/>
        <item x="141"/>
        <item x="534"/>
        <item x="12"/>
        <item x="154"/>
        <item x="143"/>
        <item x="490"/>
        <item x="414"/>
        <item x="391"/>
        <item x="307"/>
        <item x="561"/>
        <item x="74"/>
        <item x="373"/>
        <item x="314"/>
        <item x="447"/>
        <item x="105"/>
        <item x="541"/>
        <item x="378"/>
        <item x="388"/>
        <item x="346"/>
        <item x="579"/>
        <item x="294"/>
        <item x="446"/>
        <item x="533"/>
        <item x="572"/>
        <item x="585"/>
        <item x="516"/>
        <item x="171"/>
        <item x="357"/>
        <item x="397"/>
        <item x="161"/>
        <item x="535"/>
        <item x="532"/>
        <item x="71"/>
        <item x="595"/>
        <item x="142"/>
        <item x="459"/>
        <item x="430"/>
        <item x="441"/>
        <item x="629"/>
        <item x="61"/>
        <item x="352"/>
        <item x="546"/>
        <item x="103"/>
        <item x="498"/>
        <item x="144"/>
        <item x="263"/>
        <item x="503"/>
        <item x="4"/>
        <item x="224"/>
        <item x="158"/>
        <item x="556"/>
        <item x="491"/>
        <item x="501"/>
        <item x="311"/>
        <item x="500"/>
        <item x="548"/>
        <item x="40"/>
        <item x="334"/>
        <item x="613"/>
        <item x="411"/>
        <item x="284"/>
        <item x="600"/>
        <item x="315"/>
        <item x="527"/>
        <item x="483"/>
        <item x="282"/>
        <item x="510"/>
        <item x="253"/>
        <item x="567"/>
        <item x="102"/>
        <item x="484"/>
        <item x="374"/>
        <item x="566"/>
        <item x="206"/>
        <item x="321"/>
        <item t="default"/>
      </items>
    </pivotField>
    <pivotField compact="0" numFmtId="181" showAll="0">
      <items count="718">
        <item x="408"/>
        <item x="334"/>
        <item x="581"/>
        <item x="33"/>
        <item x="112"/>
        <item x="690"/>
        <item x="355"/>
        <item x="664"/>
        <item x="525"/>
        <item x="415"/>
        <item x="434"/>
        <item x="101"/>
        <item x="58"/>
        <item x="150"/>
        <item x="251"/>
        <item x="191"/>
        <item x="381"/>
        <item x="543"/>
        <item x="303"/>
        <item x="171"/>
        <item x="90"/>
        <item x="407"/>
        <item x="637"/>
        <item x="80"/>
        <item x="227"/>
        <item x="692"/>
        <item x="332"/>
        <item x="631"/>
        <item x="437"/>
        <item x="441"/>
        <item x="212"/>
        <item x="666"/>
        <item x="352"/>
        <item x="31"/>
        <item x="134"/>
        <item x="168"/>
        <item x="125"/>
        <item x="550"/>
        <item x="443"/>
        <item x="643"/>
        <item x="516"/>
        <item x="300"/>
        <item x="630"/>
        <item x="647"/>
        <item x="401"/>
        <item x="386"/>
        <item x="704"/>
        <item x="597"/>
        <item x="100"/>
        <item x="42"/>
        <item x="444"/>
        <item x="307"/>
        <item x="182"/>
        <item x="72"/>
        <item x="330"/>
        <item x="357"/>
        <item x="365"/>
        <item x="560"/>
        <item x="390"/>
        <item x="70"/>
        <item x="166"/>
        <item x="447"/>
        <item x="138"/>
        <item x="671"/>
        <item x="363"/>
        <item x="339"/>
        <item x="83"/>
        <item x="714"/>
        <item x="526"/>
        <item x="302"/>
        <item x="572"/>
        <item x="88"/>
        <item x="562"/>
        <item x="137"/>
        <item x="108"/>
        <item x="492"/>
        <item x="135"/>
        <item x="333"/>
        <item x="185"/>
        <item x="143"/>
        <item x="596"/>
        <item x="523"/>
        <item x="707"/>
        <item x="229"/>
        <item x="9"/>
        <item x="356"/>
        <item x="145"/>
        <item x="438"/>
        <item x="232"/>
        <item x="587"/>
        <item x="63"/>
        <item x="349"/>
        <item x="316"/>
        <item x="181"/>
        <item x="222"/>
        <item x="602"/>
        <item x="489"/>
        <item x="688"/>
        <item x="423"/>
        <item x="157"/>
        <item x="445"/>
        <item x="294"/>
        <item x="429"/>
        <item x="331"/>
        <item x="76"/>
        <item x="264"/>
        <item x="287"/>
        <item x="544"/>
        <item x="371"/>
        <item x="689"/>
        <item x="446"/>
        <item x="684"/>
        <item x="260"/>
        <item x="104"/>
        <item x="337"/>
        <item x="403"/>
        <item x="208"/>
        <item x="465"/>
        <item x="591"/>
        <item x="351"/>
        <item x="497"/>
        <item x="378"/>
        <item x="404"/>
        <item x="461"/>
        <item x="280"/>
        <item x="673"/>
        <item x="373"/>
        <item x="224"/>
        <item x="13"/>
        <item x="272"/>
        <item x="343"/>
        <item x="273"/>
        <item x="617"/>
        <item x="375"/>
        <item x="110"/>
        <item x="322"/>
        <item x="571"/>
        <item x="697"/>
        <item x="383"/>
        <item x="648"/>
        <item x="153"/>
        <item x="391"/>
        <item x="474"/>
        <item x="41"/>
        <item x="211"/>
        <item x="277"/>
        <item x="627"/>
        <item x="549"/>
        <item x="432"/>
        <item x="395"/>
        <item x="310"/>
        <item x="342"/>
        <item x="27"/>
        <item x="116"/>
        <item x="715"/>
        <item x="567"/>
        <item x="87"/>
        <item x="252"/>
        <item x="594"/>
        <item x="1"/>
        <item x="180"/>
        <item x="534"/>
        <item x="243"/>
        <item x="685"/>
        <item x="35"/>
        <item x="580"/>
        <item x="126"/>
        <item x="651"/>
        <item x="25"/>
        <item x="604"/>
        <item x="4"/>
        <item x="313"/>
        <item x="344"/>
        <item x="304"/>
        <item x="672"/>
        <item x="132"/>
        <item x="451"/>
        <item x="201"/>
        <item x="686"/>
        <item x="324"/>
        <item x="439"/>
        <item x="309"/>
        <item x="502"/>
        <item x="269"/>
        <item x="388"/>
        <item x="448"/>
        <item x="282"/>
        <item x="713"/>
        <item x="193"/>
        <item x="103"/>
        <item x="632"/>
        <item x="239"/>
        <item x="238"/>
        <item x="510"/>
        <item x="483"/>
        <item x="586"/>
        <item x="121"/>
        <item x="473"/>
        <item x="209"/>
        <item x="10"/>
        <item x="710"/>
        <item x="538"/>
        <item x="359"/>
        <item x="514"/>
        <item x="38"/>
        <item x="61"/>
        <item x="40"/>
        <item x="288"/>
        <item x="111"/>
        <item x="141"/>
        <item x="614"/>
        <item x="97"/>
        <item x="488"/>
        <item x="77"/>
        <item x="462"/>
        <item x="91"/>
        <item x="424"/>
        <item x="485"/>
        <item x="195"/>
        <item x="290"/>
        <item x="190"/>
        <item x="278"/>
        <item x="364"/>
        <item x="515"/>
        <item x="142"/>
        <item x="151"/>
        <item x="175"/>
        <item x="98"/>
        <item x="248"/>
        <item x="46"/>
        <item x="464"/>
        <item x="346"/>
        <item x="398"/>
        <item x="561"/>
        <item x="262"/>
        <item x="276"/>
        <item x="81"/>
        <item x="615"/>
        <item x="410"/>
        <item x="682"/>
        <item x="325"/>
        <item x="625"/>
        <item x="105"/>
        <item x="652"/>
        <item x="528"/>
        <item x="123"/>
        <item x="622"/>
        <item x="326"/>
        <item x="75"/>
        <item x="607"/>
        <item x="74"/>
        <item x="361"/>
        <item x="540"/>
        <item x="15"/>
        <item x="328"/>
        <item x="183"/>
        <item x="411"/>
        <item x="541"/>
        <item x="566"/>
        <item x="592"/>
        <item x="249"/>
        <item x="430"/>
        <item x="308"/>
        <item x="348"/>
        <item x="170"/>
        <item x="284"/>
        <item x="600"/>
        <item x="283"/>
        <item x="532"/>
        <item x="484"/>
        <item x="466"/>
        <item x="703"/>
        <item x="507"/>
        <item x="491"/>
        <item x="94"/>
        <item x="595"/>
        <item x="460"/>
        <item x="234"/>
        <item x="158"/>
        <item x="156"/>
        <item x="197"/>
        <item x="708"/>
        <item x="345"/>
        <item x="431"/>
        <item x="641"/>
        <item x="406"/>
        <item x="117"/>
        <item x="85"/>
        <item x="296"/>
        <item x="311"/>
        <item x="24"/>
        <item x="418"/>
        <item x="399"/>
        <item x="393"/>
        <item x="527"/>
        <item x="301"/>
        <item x="455"/>
        <item x="52"/>
        <item x="179"/>
        <item x="231"/>
        <item x="463"/>
        <item x="454"/>
        <item x="589"/>
        <item x="358"/>
        <item x="206"/>
        <item x="601"/>
        <item x="582"/>
        <item x="611"/>
        <item x="705"/>
        <item x="147"/>
        <item x="479"/>
        <item x="50"/>
        <item x="574"/>
        <item x="210"/>
        <item x="202"/>
        <item x="699"/>
        <item x="683"/>
        <item x="639"/>
        <item x="486"/>
        <item x="305"/>
        <item x="633"/>
        <item x="23"/>
        <item x="323"/>
        <item x="353"/>
        <item x="124"/>
        <item x="268"/>
        <item x="573"/>
        <item x="539"/>
        <item x="21"/>
        <item x="696"/>
        <item x="321"/>
        <item x="89"/>
        <item x="575"/>
        <item x="372"/>
        <item x="490"/>
        <item x="315"/>
        <item x="55"/>
        <item x="706"/>
        <item x="199"/>
        <item x="644"/>
        <item x="136"/>
        <item x="716"/>
        <item x="599"/>
        <item x="384"/>
        <item x="687"/>
        <item x="3"/>
        <item x="298"/>
        <item x="420"/>
        <item x="155"/>
        <item x="676"/>
        <item x="146"/>
        <item x="44"/>
        <item x="218"/>
        <item x="291"/>
        <item x="610"/>
        <item x="440"/>
        <item x="78"/>
        <item x="701"/>
        <item x="661"/>
        <item x="370"/>
        <item x="73"/>
        <item x="177"/>
        <item x="8"/>
        <item x="606"/>
        <item x="669"/>
        <item x="163"/>
        <item x="654"/>
        <item x="698"/>
        <item x="700"/>
        <item x="274"/>
        <item x="69"/>
        <item x="649"/>
        <item x="480"/>
        <item x="172"/>
        <item x="265"/>
        <item x="60"/>
        <item x="636"/>
        <item x="495"/>
        <item x="295"/>
        <item x="711"/>
        <item x="250"/>
        <item x="397"/>
        <item x="449"/>
        <item x="45"/>
        <item x="93"/>
        <item x="293"/>
        <item x="694"/>
        <item x="6"/>
        <item x="557"/>
        <item x="650"/>
        <item x="217"/>
        <item x="389"/>
        <item x="498"/>
        <item x="165"/>
        <item x="642"/>
        <item x="220"/>
        <item x="578"/>
        <item x="11"/>
        <item x="360"/>
        <item x="593"/>
        <item x="546"/>
        <item x="215"/>
        <item x="402"/>
        <item x="48"/>
        <item x="609"/>
        <item x="500"/>
        <item x="154"/>
        <item x="30"/>
        <item x="51"/>
        <item x="223"/>
        <item x="656"/>
        <item x="598"/>
        <item x="499"/>
        <item x="19"/>
        <item x="662"/>
        <item x="414"/>
        <item x="588"/>
        <item x="556"/>
        <item x="115"/>
        <item x="109"/>
        <item x="422"/>
        <item x="59"/>
        <item x="613"/>
        <item x="376"/>
        <item x="62"/>
        <item x="456"/>
        <item x="297"/>
        <item x="450"/>
        <item x="96"/>
        <item x="421"/>
        <item x="221"/>
        <item x="319"/>
        <item x="658"/>
        <item x="428"/>
        <item x="392"/>
        <item x="531"/>
        <item x="127"/>
        <item x="405"/>
        <item x="478"/>
        <item x="504"/>
        <item x="623"/>
        <item x="435"/>
        <item x="214"/>
        <item x="459"/>
        <item x="629"/>
        <item x="99"/>
        <item x="66"/>
        <item x="187"/>
        <item x="20"/>
        <item x="677"/>
        <item x="161"/>
        <item x="43"/>
        <item x="235"/>
        <item x="79"/>
        <item x="552"/>
        <item x="659"/>
        <item x="129"/>
        <item x="506"/>
        <item x="655"/>
        <item x="314"/>
        <item x="256"/>
        <item x="482"/>
        <item x="189"/>
        <item x="496"/>
        <item x="279"/>
        <item x="475"/>
        <item x="640"/>
        <item x="536"/>
        <item x="576"/>
        <item x="457"/>
        <item x="17"/>
        <item x="245"/>
        <item x="603"/>
        <item x="396"/>
        <item x="299"/>
        <item x="230"/>
        <item x="261"/>
        <item x="417"/>
        <item x="458"/>
        <item x="192"/>
        <item x="174"/>
        <item x="267"/>
        <item x="653"/>
        <item x="241"/>
        <item x="494"/>
        <item x="130"/>
        <item x="638"/>
        <item x="433"/>
        <item x="160"/>
        <item x="503"/>
        <item x="379"/>
        <item x="226"/>
        <item x="605"/>
        <item x="577"/>
        <item x="225"/>
        <item x="416"/>
        <item x="419"/>
        <item x="565"/>
        <item x="266"/>
        <item x="18"/>
        <item x="318"/>
        <item x="511"/>
        <item x="340"/>
        <item x="203"/>
        <item x="533"/>
        <item x="312"/>
        <item x="712"/>
        <item x="54"/>
        <item x="68"/>
        <item x="39"/>
        <item x="530"/>
        <item x="520"/>
        <item x="216"/>
        <item x="477"/>
        <item x="702"/>
        <item x="102"/>
        <item x="524"/>
        <item x="257"/>
        <item x="590"/>
        <item x="350"/>
        <item x="668"/>
        <item x="476"/>
        <item x="665"/>
        <item x="657"/>
        <item x="678"/>
        <item x="327"/>
        <item x="559"/>
        <item x="84"/>
        <item x="128"/>
        <item x="159"/>
        <item x="270"/>
        <item x="167"/>
        <item x="188"/>
        <item x="198"/>
        <item x="612"/>
        <item x="255"/>
        <item x="619"/>
        <item x="354"/>
        <item x="481"/>
        <item x="258"/>
        <item x="470"/>
        <item x="519"/>
        <item x="36"/>
        <item x="467"/>
        <item x="645"/>
        <item x="453"/>
        <item x="329"/>
        <item x="452"/>
        <item x="616"/>
        <item x="34"/>
        <item x="26"/>
        <item x="242"/>
        <item x="194"/>
        <item x="22"/>
        <item x="28"/>
        <item x="92"/>
        <item x="635"/>
        <item x="493"/>
        <item x="608"/>
        <item x="583"/>
        <item x="37"/>
        <item x="535"/>
        <item x="47"/>
        <item x="292"/>
        <item x="271"/>
        <item x="236"/>
        <item x="436"/>
        <item x="152"/>
        <item x="380"/>
        <item x="131"/>
        <item x="120"/>
        <item x="176"/>
        <item x="413"/>
        <item x="626"/>
        <item x="374"/>
        <item x="529"/>
        <item x="0"/>
        <item x="681"/>
        <item x="377"/>
        <item x="366"/>
        <item x="555"/>
        <item x="263"/>
        <item x="289"/>
        <item x="173"/>
        <item x="367"/>
        <item x="469"/>
        <item x="133"/>
        <item x="518"/>
        <item x="122"/>
        <item x="233"/>
        <item x="281"/>
        <item x="537"/>
        <item x="634"/>
        <item x="670"/>
        <item x="107"/>
        <item x="585"/>
        <item x="679"/>
        <item x="618"/>
        <item x="114"/>
        <item x="240"/>
        <item x="426"/>
        <item x="49"/>
        <item x="178"/>
        <item x="362"/>
        <item x="285"/>
        <item x="521"/>
        <item x="468"/>
        <item x="551"/>
        <item x="369"/>
        <item x="564"/>
        <item x="228"/>
        <item x="259"/>
        <item x="213"/>
        <item x="148"/>
        <item x="244"/>
        <item x="162"/>
        <item x="67"/>
        <item x="139"/>
        <item x="554"/>
        <item x="237"/>
        <item x="425"/>
        <item x="5"/>
        <item x="620"/>
        <item x="680"/>
        <item x="95"/>
        <item x="186"/>
        <item x="71"/>
        <item x="247"/>
        <item x="204"/>
        <item x="219"/>
        <item x="254"/>
        <item x="149"/>
        <item x="338"/>
        <item x="545"/>
        <item x="82"/>
        <item x="663"/>
        <item x="472"/>
        <item x="621"/>
        <item x="547"/>
        <item x="667"/>
        <item x="409"/>
        <item x="400"/>
        <item x="563"/>
        <item x="691"/>
        <item x="646"/>
        <item x="56"/>
        <item x="57"/>
        <item x="569"/>
        <item x="368"/>
        <item x="205"/>
        <item x="140"/>
        <item x="695"/>
        <item x="7"/>
        <item x="65"/>
        <item x="471"/>
        <item x="196"/>
        <item x="675"/>
        <item x="624"/>
        <item x="412"/>
        <item x="347"/>
        <item x="246"/>
        <item x="709"/>
        <item x="118"/>
        <item x="505"/>
        <item x="385"/>
        <item x="53"/>
        <item x="32"/>
        <item x="542"/>
        <item x="660"/>
        <item x="64"/>
        <item x="382"/>
        <item x="320"/>
        <item x="394"/>
        <item x="513"/>
        <item x="387"/>
        <item x="164"/>
        <item x="674"/>
        <item x="553"/>
        <item x="512"/>
        <item x="86"/>
        <item x="509"/>
        <item x="427"/>
        <item x="2"/>
        <item x="628"/>
        <item x="200"/>
        <item x="169"/>
        <item x="548"/>
        <item x="119"/>
        <item x="12"/>
        <item x="487"/>
        <item x="16"/>
        <item x="29"/>
        <item x="207"/>
        <item x="501"/>
        <item x="306"/>
        <item x="335"/>
        <item x="317"/>
        <item x="275"/>
        <item x="442"/>
        <item x="568"/>
        <item x="286"/>
        <item x="579"/>
        <item x="517"/>
        <item x="144"/>
        <item x="558"/>
        <item x="522"/>
        <item x="341"/>
        <item x="508"/>
        <item x="106"/>
        <item x="693"/>
        <item x="336"/>
        <item x="184"/>
        <item x="113"/>
        <item x="14"/>
        <item x="570"/>
        <item x="253"/>
        <item x="584"/>
        <item t="default"/>
      </items>
    </pivotField>
    <pivotField compact="0" numFmtId="180" showAll="0">
      <items count="14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9"/>
        <item t="default"/>
      </items>
    </pivotField>
    <pivotField compact="0" numFmtId="9" showAll="0">
      <items count="13">
        <item x="0"/>
        <item x="9"/>
        <item x="10"/>
        <item x="2"/>
        <item x="4"/>
        <item x="11"/>
        <item x="7"/>
        <item x="1"/>
        <item x="5"/>
        <item x="8"/>
        <item x="6"/>
        <item x="3"/>
        <item t="default"/>
      </items>
    </pivotField>
    <pivotField compact="0" numFmtId="180" showAll="0">
      <items count="755">
        <item x="258"/>
        <item x="14"/>
        <item x="534"/>
        <item x="313"/>
        <item x="114"/>
        <item x="519"/>
        <item x="58"/>
        <item x="2"/>
        <item x="155"/>
        <item x="182"/>
        <item x="150"/>
        <item x="473"/>
        <item x="80"/>
        <item x="712"/>
        <item x="434"/>
        <item x="94"/>
        <item x="123"/>
        <item x="514"/>
        <item x="93"/>
        <item x="154"/>
        <item x="211"/>
        <item x="173"/>
        <item x="79"/>
        <item x="6"/>
        <item x="550"/>
        <item x="55"/>
        <item x="32"/>
        <item x="587"/>
        <item x="590"/>
        <item x="564"/>
        <item x="194"/>
        <item x="430"/>
        <item x="563"/>
        <item x="625"/>
        <item x="661"/>
        <item x="179"/>
        <item x="423"/>
        <item x="501"/>
        <item x="208"/>
        <item x="137"/>
        <item x="552"/>
        <item x="241"/>
        <item x="251"/>
        <item x="37"/>
        <item x="388"/>
        <item x="653"/>
        <item x="559"/>
        <item x="542"/>
        <item x="312"/>
        <item x="481"/>
        <item x="596"/>
        <item x="631"/>
        <item x="447"/>
        <item x="359"/>
        <item x="230"/>
        <item x="103"/>
        <item x="422"/>
        <item x="285"/>
        <item x="48"/>
        <item x="546"/>
        <item x="427"/>
        <item x="180"/>
        <item x="290"/>
        <item x="138"/>
        <item x="159"/>
        <item x="151"/>
        <item x="226"/>
        <item x="703"/>
        <item x="671"/>
        <item x="28"/>
        <item x="196"/>
        <item x="698"/>
        <item x="237"/>
        <item x="645"/>
        <item x="397"/>
        <item x="264"/>
        <item x="243"/>
        <item x="530"/>
        <item x="104"/>
        <item x="748"/>
        <item x="61"/>
        <item x="551"/>
        <item x="278"/>
        <item x="701"/>
        <item x="644"/>
        <item x="60"/>
        <item x="476"/>
        <item x="460"/>
        <item x="532"/>
        <item x="57"/>
        <item x="111"/>
        <item x="616"/>
        <item x="657"/>
        <item x="118"/>
        <item x="256"/>
        <item x="203"/>
        <item x="719"/>
        <item x="696"/>
        <item x="324"/>
        <item x="708"/>
        <item x="573"/>
        <item x="621"/>
        <item x="658"/>
        <item x="506"/>
        <item x="148"/>
        <item x="144"/>
        <item x="664"/>
        <item x="366"/>
        <item x="113"/>
        <item x="411"/>
        <item x="315"/>
        <item x="42"/>
        <item x="174"/>
        <item x="232"/>
        <item x="91"/>
        <item x="33"/>
        <item x="343"/>
        <item x="59"/>
        <item x="419"/>
        <item x="425"/>
        <item x="444"/>
        <item x="541"/>
        <item x="11"/>
        <item x="604"/>
        <item x="418"/>
        <item x="364"/>
        <item x="475"/>
        <item x="213"/>
        <item x="309"/>
        <item x="465"/>
        <item x="156"/>
        <item x="739"/>
        <item x="627"/>
        <item x="695"/>
        <item x="172"/>
        <item x="722"/>
        <item x="395"/>
        <item x="191"/>
        <item x="726"/>
        <item x="512"/>
        <item x="390"/>
        <item x="197"/>
        <item x="341"/>
        <item x="279"/>
        <item x="102"/>
        <item x="561"/>
        <item x="136"/>
        <item x="229"/>
        <item x="402"/>
        <item x="548"/>
        <item x="227"/>
        <item x="89"/>
        <item x="751"/>
        <item x="217"/>
        <item x="452"/>
        <item x="307"/>
        <item x="310"/>
        <item x="74"/>
        <item x="177"/>
        <item x="81"/>
        <item x="207"/>
        <item x="223"/>
        <item x="432"/>
        <item x="361"/>
        <item x="139"/>
        <item x="431"/>
        <item x="673"/>
        <item x="749"/>
        <item x="188"/>
        <item x="717"/>
        <item x="31"/>
        <item x="555"/>
        <item x="454"/>
        <item x="399"/>
        <item x="71"/>
        <item x="448"/>
        <item x="677"/>
        <item x="101"/>
        <item x="731"/>
        <item x="82"/>
        <item x="187"/>
        <item x="128"/>
        <item x="373"/>
        <item x="462"/>
        <item x="253"/>
        <item x="622"/>
        <item x="406"/>
        <item x="143"/>
        <item x="659"/>
        <item x="629"/>
        <item x="64"/>
        <item x="477"/>
        <item x="205"/>
        <item x="569"/>
        <item x="348"/>
        <item x="9"/>
        <item x="543"/>
        <item x="214"/>
        <item x="337"/>
        <item x="342"/>
        <item x="605"/>
        <item x="584"/>
        <item x="234"/>
        <item x="571"/>
        <item x="73"/>
        <item x="355"/>
        <item x="335"/>
        <item x="77"/>
        <item x="140"/>
        <item x="742"/>
        <item x="455"/>
        <item x="478"/>
        <item x="358"/>
        <item x="689"/>
        <item x="365"/>
        <item x="339"/>
        <item x="269"/>
        <item x="142"/>
        <item x="582"/>
        <item x="457"/>
        <item x="720"/>
        <item x="301"/>
        <item x="439"/>
        <item x="458"/>
        <item x="387"/>
        <item x="215"/>
        <item x="184"/>
        <item x="668"/>
        <item x="84"/>
        <item x="163"/>
        <item x="595"/>
        <item x="750"/>
        <item x="471"/>
        <item x="413"/>
        <item x="109"/>
        <item x="134"/>
        <item x="129"/>
        <item x="162"/>
        <item x="562"/>
        <item x="265"/>
        <item x="511"/>
        <item x="456"/>
        <item x="492"/>
        <item x="289"/>
        <item x="503"/>
        <item x="716"/>
        <item x="86"/>
        <item x="681"/>
        <item x="710"/>
        <item x="666"/>
        <item x="539"/>
        <item x="678"/>
        <item x="19"/>
        <item x="487"/>
        <item x="120"/>
        <item x="300"/>
        <item x="449"/>
        <item x="121"/>
        <item x="331"/>
        <item x="474"/>
        <item x="35"/>
        <item x="630"/>
        <item x="612"/>
        <item x="13"/>
        <item x="384"/>
        <item x="283"/>
        <item x="277"/>
        <item x="352"/>
        <item x="589"/>
        <item x="407"/>
        <item x="360"/>
        <item x="594"/>
        <item x="405"/>
        <item x="362"/>
        <item x="318"/>
        <item x="293"/>
        <item x="614"/>
        <item x="380"/>
        <item x="257"/>
        <item x="117"/>
        <item x="105"/>
        <item x="141"/>
        <item x="260"/>
        <item x="340"/>
        <item x="429"/>
        <item x="346"/>
        <item x="23"/>
        <item x="667"/>
        <item x="225"/>
        <item x="702"/>
        <item x="450"/>
        <item x="10"/>
        <item x="715"/>
        <item x="321"/>
        <item x="353"/>
        <item x="273"/>
        <item x="311"/>
        <item x="574"/>
        <item x="314"/>
        <item x="597"/>
        <item x="663"/>
        <item x="199"/>
        <item x="286"/>
        <item x="401"/>
        <item x="382"/>
        <item x="392"/>
        <item x="4"/>
        <item x="745"/>
        <item x="718"/>
        <item x="408"/>
        <item x="415"/>
        <item x="459"/>
        <item x="400"/>
        <item x="732"/>
        <item x="499"/>
        <item x="479"/>
        <item x="451"/>
        <item x="97"/>
        <item x="516"/>
        <item x="317"/>
        <item x="244"/>
        <item x="509"/>
        <item x="752"/>
        <item x="248"/>
        <item x="738"/>
        <item x="433"/>
        <item x="27"/>
        <item x="297"/>
        <item x="41"/>
        <item x="642"/>
        <item x="25"/>
        <item x="498"/>
        <item x="442"/>
        <item x="572"/>
        <item x="274"/>
        <item x="654"/>
        <item x="568"/>
        <item x="531"/>
        <item x="98"/>
        <item x="420"/>
        <item x="186"/>
        <item x="40"/>
        <item x="124"/>
        <item x="351"/>
        <item x="88"/>
        <item x="619"/>
        <item x="92"/>
        <item x="38"/>
        <item x="1"/>
        <item x="282"/>
        <item x="556"/>
        <item x="112"/>
        <item x="669"/>
        <item x="603"/>
        <item x="181"/>
        <item x="370"/>
        <item x="558"/>
        <item x="641"/>
        <item x="296"/>
        <item x="504"/>
        <item x="334"/>
        <item x="157"/>
        <item x="637"/>
        <item x="583"/>
        <item x="421"/>
        <item x="333"/>
        <item x="721"/>
        <item x="22"/>
        <item x="250"/>
        <item x="526"/>
        <item x="305"/>
        <item x="132"/>
        <item x="222"/>
        <item x="254"/>
        <item x="153"/>
        <item x="267"/>
        <item x="99"/>
        <item x="192"/>
        <item x="723"/>
        <item x="525"/>
        <item x="326"/>
        <item x="496"/>
        <item x="288"/>
        <item x="640"/>
        <item x="713"/>
        <item x="426"/>
        <item x="549"/>
        <item x="611"/>
        <item x="486"/>
        <item x="369"/>
        <item x="106"/>
        <item x="161"/>
        <item x="20"/>
        <item x="502"/>
        <item x="62"/>
        <item x="95"/>
        <item x="76"/>
        <item x="164"/>
        <item x="276"/>
        <item x="649"/>
        <item x="78"/>
        <item x="294"/>
        <item x="146"/>
        <item x="15"/>
        <item x="670"/>
        <item x="8"/>
        <item x="316"/>
        <item x="490"/>
        <item x="284"/>
        <item x="685"/>
        <item x="63"/>
        <item x="523"/>
        <item x="201"/>
        <item x="147"/>
        <item x="505"/>
        <item x="617"/>
        <item x="367"/>
        <item x="687"/>
        <item x="440"/>
        <item x="51"/>
        <item x="733"/>
        <item x="357"/>
        <item x="403"/>
        <item x="374"/>
        <item x="579"/>
        <item x="441"/>
        <item x="176"/>
        <item x="652"/>
        <item x="737"/>
        <item x="466"/>
        <item x="303"/>
        <item x="47"/>
        <item x="518"/>
        <item x="204"/>
        <item x="90"/>
        <item x="239"/>
        <item x="736"/>
        <item x="730"/>
        <item x="682"/>
        <item x="740"/>
        <item x="363"/>
        <item x="607"/>
        <item x="414"/>
        <item x="660"/>
        <item x="472"/>
        <item x="126"/>
        <item x="67"/>
        <item x="330"/>
        <item x="636"/>
        <item x="638"/>
        <item x="545"/>
        <item x="193"/>
        <item x="633"/>
        <item x="7"/>
        <item x="75"/>
        <item x="620"/>
        <item x="588"/>
        <item x="354"/>
        <item x="693"/>
        <item x="39"/>
        <item x="212"/>
        <item x="371"/>
        <item x="3"/>
        <item x="684"/>
        <item x="600"/>
        <item x="688"/>
        <item x="53"/>
        <item x="261"/>
        <item x="706"/>
        <item x="169"/>
        <item x="189"/>
        <item x="618"/>
        <item x="332"/>
        <item x="567"/>
        <item x="497"/>
        <item x="178"/>
        <item x="379"/>
        <item x="632"/>
        <item x="699"/>
        <item x="236"/>
        <item x="235"/>
        <item x="725"/>
        <item x="734"/>
        <item x="674"/>
        <item x="417"/>
        <item x="302"/>
        <item x="18"/>
        <item x="255"/>
        <item x="216"/>
        <item x="691"/>
        <item x="679"/>
        <item x="464"/>
        <item x="386"/>
        <item x="743"/>
        <item x="609"/>
        <item x="263"/>
        <item x="626"/>
        <item x="443"/>
        <item x="49"/>
        <item x="295"/>
        <item x="69"/>
        <item x="231"/>
        <item x="44"/>
        <item x="24"/>
        <item x="598"/>
        <item x="714"/>
        <item x="746"/>
        <item x="56"/>
        <item x="690"/>
        <item x="252"/>
        <item x="319"/>
        <item x="409"/>
        <item x="308"/>
        <item x="398"/>
        <item x="741"/>
        <item x="185"/>
        <item x="493"/>
        <item x="270"/>
        <item x="680"/>
        <item x="412"/>
        <item x="21"/>
        <item x="544"/>
        <item x="66"/>
        <item x="675"/>
        <item x="521"/>
        <item x="500"/>
        <item x="735"/>
        <item x="613"/>
        <item x="127"/>
        <item x="557"/>
        <item x="381"/>
        <item x="200"/>
        <item x="272"/>
        <item x="535"/>
        <item x="228"/>
        <item x="385"/>
        <item x="131"/>
        <item x="599"/>
        <item x="634"/>
        <item x="323"/>
        <item x="110"/>
        <item x="45"/>
        <item x="46"/>
        <item x="480"/>
        <item x="52"/>
        <item x="85"/>
        <item x="606"/>
        <item x="624"/>
        <item x="635"/>
        <item x="287"/>
        <item x="304"/>
        <item x="393"/>
        <item x="133"/>
        <item x="692"/>
        <item x="662"/>
        <item x="298"/>
        <item x="262"/>
        <item x="650"/>
        <item x="152"/>
        <item x="160"/>
        <item x="520"/>
        <item x="167"/>
        <item x="100"/>
        <item x="495"/>
        <item x="70"/>
        <item x="416"/>
        <item x="436"/>
        <item x="183"/>
        <item x="686"/>
        <item x="280"/>
        <item x="510"/>
        <item x="461"/>
        <item x="349"/>
        <item x="482"/>
        <item x="601"/>
        <item x="158"/>
        <item x="491"/>
        <item x="513"/>
        <item x="108"/>
        <item x="240"/>
        <item x="115"/>
        <item x="467"/>
        <item x="578"/>
        <item x="171"/>
        <item x="372"/>
        <item x="149"/>
        <item x="646"/>
        <item x="438"/>
        <item x="623"/>
        <item x="565"/>
        <item x="639"/>
        <item x="728"/>
        <item x="593"/>
        <item x="672"/>
        <item x="368"/>
        <item x="656"/>
        <item x="665"/>
        <item x="707"/>
        <item x="651"/>
        <item x="220"/>
        <item x="445"/>
        <item x="753"/>
        <item x="291"/>
        <item x="328"/>
        <item x="577"/>
        <item x="116"/>
        <item x="724"/>
        <item x="17"/>
        <item x="30"/>
        <item x="536"/>
        <item x="424"/>
        <item x="130"/>
        <item x="165"/>
        <item x="168"/>
        <item x="517"/>
        <item x="470"/>
        <item x="198"/>
        <item x="43"/>
        <item x="209"/>
        <item x="233"/>
        <item x="0"/>
        <item x="446"/>
        <item x="320"/>
        <item x="202"/>
        <item x="175"/>
        <item x="242"/>
        <item x="336"/>
        <item x="553"/>
        <item x="96"/>
        <item x="389"/>
        <item x="219"/>
        <item x="540"/>
        <item x="581"/>
        <item x="489"/>
        <item x="218"/>
        <item x="522"/>
        <item x="463"/>
        <item x="306"/>
        <item x="327"/>
        <item x="72"/>
        <item x="628"/>
        <item x="195"/>
        <item x="322"/>
        <item x="122"/>
        <item x="26"/>
        <item x="602"/>
        <item x="266"/>
        <item x="747"/>
        <item x="224"/>
        <item x="338"/>
        <item x="488"/>
        <item x="246"/>
        <item x="468"/>
        <item x="34"/>
        <item x="247"/>
        <item x="469"/>
        <item x="610"/>
        <item x="643"/>
        <item x="683"/>
        <item x="428"/>
        <item x="711"/>
        <item x="36"/>
        <item x="383"/>
        <item x="508"/>
        <item x="586"/>
        <item x="166"/>
        <item x="527"/>
        <item x="50"/>
        <item x="391"/>
        <item x="647"/>
        <item x="410"/>
        <item x="299"/>
        <item x="744"/>
        <item x="271"/>
        <item x="547"/>
        <item x="221"/>
        <item x="125"/>
        <item x="570"/>
        <item x="615"/>
        <item x="575"/>
        <item x="135"/>
        <item x="275"/>
        <item x="537"/>
        <item x="484"/>
        <item x="404"/>
        <item x="292"/>
        <item x="245"/>
        <item x="238"/>
        <item x="378"/>
        <item x="347"/>
        <item x="585"/>
        <item x="394"/>
        <item x="494"/>
        <item x="694"/>
        <item x="483"/>
        <item x="68"/>
        <item x="453"/>
        <item x="377"/>
        <item x="507"/>
        <item x="529"/>
        <item x="396"/>
        <item x="655"/>
        <item x="435"/>
        <item x="268"/>
        <item x="29"/>
        <item x="87"/>
        <item x="700"/>
        <item x="437"/>
        <item x="16"/>
        <item x="515"/>
        <item x="376"/>
        <item x="83"/>
        <item x="344"/>
        <item x="5"/>
        <item x="648"/>
        <item x="697"/>
        <item x="375"/>
        <item x="356"/>
        <item x="709"/>
        <item x="554"/>
        <item x="485"/>
        <item x="259"/>
        <item x="54"/>
        <item x="145"/>
        <item x="576"/>
        <item x="704"/>
        <item x="249"/>
        <item x="705"/>
        <item x="533"/>
        <item x="580"/>
        <item x="210"/>
        <item x="119"/>
        <item x="729"/>
        <item x="65"/>
        <item x="170"/>
        <item x="560"/>
        <item x="12"/>
        <item x="676"/>
        <item x="206"/>
        <item x="329"/>
        <item x="528"/>
        <item x="591"/>
        <item x="325"/>
        <item x="190"/>
        <item x="350"/>
        <item x="281"/>
        <item x="566"/>
        <item x="538"/>
        <item x="107"/>
        <item x="727"/>
        <item x="524"/>
        <item x="592"/>
        <item x="345"/>
        <item x="608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2"/>
    <pageField fld="11"/>
  </pageFields>
  <dataFields count="1">
    <dataField name="Count of Region" fld="1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0" firstDataRow="1" firstDataCol="1"/>
  <pivotFields count="21">
    <pivotField compact="0" numFmtId="18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3">
        <item x="0"/>
        <item x="1"/>
        <item t="default"/>
      </items>
    </pivotField>
    <pivotField compact="0" numFmtId="182" showAll="0">
      <items count="553">
        <item x="239"/>
        <item x="203"/>
        <item x="266"/>
        <item x="232"/>
        <item x="246"/>
        <item x="423"/>
        <item x="512"/>
        <item x="499"/>
        <item x="190"/>
        <item x="400"/>
        <item x="375"/>
        <item x="380"/>
        <item x="264"/>
        <item x="163"/>
        <item x="342"/>
        <item x="69"/>
        <item x="194"/>
        <item x="533"/>
        <item x="206"/>
        <item x="86"/>
        <item x="405"/>
        <item x="457"/>
        <item x="231"/>
        <item x="268"/>
        <item x="402"/>
        <item x="469"/>
        <item x="273"/>
        <item x="317"/>
        <item x="260"/>
        <item x="403"/>
        <item x="8"/>
        <item x="247"/>
        <item x="435"/>
        <item x="296"/>
        <item x="497"/>
        <item x="207"/>
        <item x="411"/>
        <item x="388"/>
        <item x="101"/>
        <item x="233"/>
        <item x="146"/>
        <item x="515"/>
        <item x="3"/>
        <item x="462"/>
        <item x="504"/>
        <item x="226"/>
        <item x="522"/>
        <item x="434"/>
        <item x="249"/>
        <item x="356"/>
        <item x="333"/>
        <item x="225"/>
        <item x="126"/>
        <item x="441"/>
        <item x="432"/>
        <item x="417"/>
        <item x="171"/>
        <item x="136"/>
        <item x="414"/>
        <item x="89"/>
        <item x="76"/>
        <item x="204"/>
        <item x="118"/>
        <item x="323"/>
        <item x="495"/>
        <item x="52"/>
        <item x="82"/>
        <item x="9"/>
        <item x="393"/>
        <item x="316"/>
        <item x="544"/>
        <item x="75"/>
        <item x="278"/>
        <item x="155"/>
        <item x="99"/>
        <item x="77"/>
        <item x="271"/>
        <item x="106"/>
        <item x="56"/>
        <item x="145"/>
        <item x="133"/>
        <item x="350"/>
        <item x="117"/>
        <item x="337"/>
        <item x="433"/>
        <item x="347"/>
        <item x="478"/>
        <item x="170"/>
        <item x="235"/>
        <item x="545"/>
        <item x="34"/>
        <item x="22"/>
        <item x="65"/>
        <item x="173"/>
        <item x="120"/>
        <item x="167"/>
        <item x="7"/>
        <item x="442"/>
        <item x="534"/>
        <item x="506"/>
        <item x="458"/>
        <item x="80"/>
        <item x="500"/>
        <item x="518"/>
        <item x="143"/>
        <item x="391"/>
        <item x="369"/>
        <item x="371"/>
        <item x="230"/>
        <item x="470"/>
        <item x="29"/>
        <item x="408"/>
        <item x="270"/>
        <item x="324"/>
        <item x="426"/>
        <item x="384"/>
        <item x="468"/>
        <item x="158"/>
        <item x="498"/>
        <item x="150"/>
        <item x="55"/>
        <item x="318"/>
        <item x="119"/>
        <item x="243"/>
        <item x="94"/>
        <item x="165"/>
        <item x="40"/>
        <item x="245"/>
        <item x="93"/>
        <item x="407"/>
        <item x="98"/>
        <item x="53"/>
        <item x="520"/>
        <item x="294"/>
        <item x="532"/>
        <item x="177"/>
        <item x="258"/>
        <item x="180"/>
        <item x="387"/>
        <item x="227"/>
        <item x="295"/>
        <item x="482"/>
        <item x="305"/>
        <item x="54"/>
        <item x="464"/>
        <item x="229"/>
        <item x="283"/>
        <item x="307"/>
        <item x="481"/>
        <item x="24"/>
        <item x="274"/>
        <item x="32"/>
        <item x="139"/>
        <item x="28"/>
        <item x="115"/>
        <item x="228"/>
        <item x="330"/>
        <item x="68"/>
        <item x="67"/>
        <item x="455"/>
        <item x="490"/>
        <item x="303"/>
        <item x="516"/>
        <item x="386"/>
        <item x="140"/>
        <item x="201"/>
        <item x="301"/>
        <item x="459"/>
        <item x="413"/>
        <item x="363"/>
        <item x="543"/>
        <item x="483"/>
        <item x="374"/>
        <item x="97"/>
        <item x="537"/>
        <item x="472"/>
        <item x="474"/>
        <item x="298"/>
        <item x="454"/>
        <item x="125"/>
        <item x="35"/>
        <item x="314"/>
        <item x="465"/>
        <item x="64"/>
        <item x="200"/>
        <item x="453"/>
        <item x="14"/>
        <item x="198"/>
        <item x="331"/>
        <item x="358"/>
        <item x="291"/>
        <item x="390"/>
        <item x="12"/>
        <item x="359"/>
        <item x="362"/>
        <item x="250"/>
        <item x="213"/>
        <item x="285"/>
        <item x="461"/>
        <item x="2"/>
        <item x="84"/>
        <item x="262"/>
        <item x="49"/>
        <item x="297"/>
        <item x="85"/>
        <item x="113"/>
        <item x="370"/>
        <item x="299"/>
        <item x="184"/>
        <item x="447"/>
        <item x="383"/>
        <item x="108"/>
        <item x="47"/>
        <item x="514"/>
        <item x="261"/>
        <item x="6"/>
        <item x="27"/>
        <item x="527"/>
        <item x="141"/>
        <item x="104"/>
        <item x="211"/>
        <item x="436"/>
        <item x="142"/>
        <item x="480"/>
        <item x="377"/>
        <item x="189"/>
        <item x="521"/>
        <item x="397"/>
        <item x="251"/>
        <item x="286"/>
        <item x="79"/>
        <item x="191"/>
        <item x="389"/>
        <item x="166"/>
        <item x="300"/>
        <item x="96"/>
        <item x="182"/>
        <item x="17"/>
        <item x="72"/>
        <item x="437"/>
        <item x="509"/>
        <item x="302"/>
        <item x="13"/>
        <item x="460"/>
        <item x="547"/>
        <item x="353"/>
        <item x="476"/>
        <item x="412"/>
        <item x="410"/>
        <item x="234"/>
        <item x="282"/>
        <item x="21"/>
        <item x="255"/>
        <item x="66"/>
        <item x="399"/>
        <item x="511"/>
        <item x="175"/>
        <item x="444"/>
        <item x="202"/>
        <item x="396"/>
        <item x="220"/>
        <item x="338"/>
        <item x="161"/>
        <item x="38"/>
        <item x="242"/>
        <item x="130"/>
        <item x="382"/>
        <item x="280"/>
        <item x="153"/>
        <item x="157"/>
        <item x="519"/>
        <item x="456"/>
        <item x="164"/>
        <item x="121"/>
        <item x="319"/>
        <item x="124"/>
        <item x="531"/>
        <item x="208"/>
        <item x="466"/>
        <item x="328"/>
        <item x="551"/>
        <item x="348"/>
        <item x="174"/>
        <item x="71"/>
        <item x="385"/>
        <item x="343"/>
        <item x="398"/>
        <item x="252"/>
        <item x="340"/>
        <item x="491"/>
        <item x="392"/>
        <item x="186"/>
        <item x="176"/>
        <item x="30"/>
        <item x="107"/>
        <item x="195"/>
        <item x="1"/>
        <item x="312"/>
        <item x="26"/>
        <item x="287"/>
        <item x="23"/>
        <item x="517"/>
        <item x="169"/>
        <item x="236"/>
        <item x="425"/>
        <item x="187"/>
        <item x="205"/>
        <item x="83"/>
        <item x="19"/>
        <item x="415"/>
        <item x="429"/>
        <item x="313"/>
        <item x="526"/>
        <item x="427"/>
        <item x="501"/>
        <item x="404"/>
        <item x="502"/>
        <item x="409"/>
        <item x="467"/>
        <item x="214"/>
        <item x="541"/>
        <item x="218"/>
        <item x="530"/>
        <item x="240"/>
        <item x="45"/>
        <item x="123"/>
        <item x="129"/>
        <item x="269"/>
        <item x="61"/>
        <item x="44"/>
        <item x="149"/>
        <item x="103"/>
        <item x="116"/>
        <item x="284"/>
        <item x="39"/>
        <item x="31"/>
        <item x="219"/>
        <item x="355"/>
        <item x="137"/>
        <item x="267"/>
        <item x="308"/>
        <item x="277"/>
        <item x="60"/>
        <item x="513"/>
        <item x="440"/>
        <item x="546"/>
        <item x="134"/>
        <item x="272"/>
        <item x="217"/>
        <item x="168"/>
        <item x="95"/>
        <item x="379"/>
        <item x="354"/>
        <item x="51"/>
        <item x="58"/>
        <item x="74"/>
        <item x="0"/>
        <item x="276"/>
        <item x="550"/>
        <item x="310"/>
        <item x="368"/>
        <item x="463"/>
        <item x="446"/>
        <item x="73"/>
        <item x="223"/>
        <item x="70"/>
        <item x="329"/>
        <item x="306"/>
        <item x="503"/>
        <item x="364"/>
        <item x="81"/>
        <item x="507"/>
        <item x="46"/>
        <item x="237"/>
        <item x="5"/>
        <item x="16"/>
        <item x="10"/>
        <item x="102"/>
        <item x="25"/>
        <item x="366"/>
        <item x="114"/>
        <item x="542"/>
        <item x="549"/>
        <item x="263"/>
        <item x="346"/>
        <item x="451"/>
        <item x="523"/>
        <item x="395"/>
        <item x="238"/>
        <item x="181"/>
        <item x="484"/>
        <item x="439"/>
        <item x="357"/>
        <item x="248"/>
        <item x="59"/>
        <item x="334"/>
        <item x="448"/>
        <item x="378"/>
        <item x="496"/>
        <item x="479"/>
        <item x="254"/>
        <item x="320"/>
        <item x="335"/>
        <item x="510"/>
        <item x="352"/>
        <item x="131"/>
        <item x="325"/>
        <item x="438"/>
        <item x="222"/>
        <item x="160"/>
        <item x="485"/>
        <item x="419"/>
        <item x="540"/>
        <item x="548"/>
        <item x="529"/>
        <item x="345"/>
        <item x="344"/>
        <item x="288"/>
        <item x="486"/>
        <item x="292"/>
        <item x="265"/>
        <item x="428"/>
        <item x="473"/>
        <item x="4"/>
        <item x="376"/>
        <item x="492"/>
        <item x="78"/>
        <item x="256"/>
        <item x="349"/>
        <item x="401"/>
        <item x="508"/>
        <item x="257"/>
        <item x="290"/>
        <item x="525"/>
        <item x="212"/>
        <item x="528"/>
        <item x="135"/>
        <item x="341"/>
        <item x="91"/>
        <item x="327"/>
        <item x="105"/>
        <item x="172"/>
        <item x="452"/>
        <item x="365"/>
        <item x="127"/>
        <item x="109"/>
        <item x="43"/>
        <item x="259"/>
        <item x="88"/>
        <item x="445"/>
        <item x="488"/>
        <item x="315"/>
        <item x="147"/>
        <item x="332"/>
        <item x="87"/>
        <item x="128"/>
        <item x="304"/>
        <item x="487"/>
        <item x="367"/>
        <item x="431"/>
        <item x="11"/>
        <item x="199"/>
        <item x="244"/>
        <item x="443"/>
        <item x="416"/>
        <item x="215"/>
        <item x="321"/>
        <item x="361"/>
        <item x="424"/>
        <item x="210"/>
        <item x="154"/>
        <item x="477"/>
        <item x="138"/>
        <item x="536"/>
        <item x="281"/>
        <item x="188"/>
        <item x="373"/>
        <item x="185"/>
        <item x="494"/>
        <item x="322"/>
        <item x="18"/>
        <item x="430"/>
        <item x="159"/>
        <item x="111"/>
        <item x="450"/>
        <item x="62"/>
        <item x="20"/>
        <item x="253"/>
        <item x="406"/>
        <item x="311"/>
        <item x="132"/>
        <item x="309"/>
        <item x="293"/>
        <item x="156"/>
        <item x="241"/>
        <item x="421"/>
        <item x="524"/>
        <item x="539"/>
        <item x="336"/>
        <item x="449"/>
        <item x="112"/>
        <item x="275"/>
        <item x="339"/>
        <item x="381"/>
        <item x="148"/>
        <item x="15"/>
        <item x="162"/>
        <item x="183"/>
        <item x="471"/>
        <item x="326"/>
        <item x="37"/>
        <item x="279"/>
        <item x="372"/>
        <item x="535"/>
        <item x="122"/>
        <item x="224"/>
        <item x="57"/>
        <item x="41"/>
        <item x="42"/>
        <item x="351"/>
        <item x="100"/>
        <item x="36"/>
        <item x="209"/>
        <item x="493"/>
        <item x="394"/>
        <item x="192"/>
        <item x="196"/>
        <item x="418"/>
        <item x="48"/>
        <item x="193"/>
        <item x="178"/>
        <item x="538"/>
        <item x="289"/>
        <item x="92"/>
        <item x="420"/>
        <item x="475"/>
        <item x="221"/>
        <item x="197"/>
        <item x="152"/>
        <item x="33"/>
        <item x="505"/>
        <item x="144"/>
        <item x="489"/>
        <item x="90"/>
        <item x="422"/>
        <item x="360"/>
        <item x="179"/>
        <item x="63"/>
        <item x="151"/>
        <item x="50"/>
        <item x="110"/>
        <item x="216"/>
        <item t="default"/>
      </items>
    </pivotField>
    <pivotField compact="0" numFmtId="182" showAll="0">
      <items count="570">
        <item x="250"/>
        <item x="209"/>
        <item x="243"/>
        <item x="257"/>
        <item x="442"/>
        <item x="530"/>
        <item x="193"/>
        <item x="401"/>
        <item x="404"/>
        <item x="275"/>
        <item x="166"/>
        <item x="372"/>
        <item x="67"/>
        <item x="197"/>
        <item x="340"/>
        <item x="212"/>
        <item x="82"/>
        <item x="426"/>
        <item x="482"/>
        <item x="240"/>
        <item x="280"/>
        <item x="423"/>
        <item x="510"/>
        <item x="494"/>
        <item x="284"/>
        <item x="341"/>
        <item x="8"/>
        <item x="424"/>
        <item x="258"/>
        <item x="454"/>
        <item x="312"/>
        <item x="213"/>
        <item x="432"/>
        <item x="414"/>
        <item x="99"/>
        <item x="244"/>
        <item x="146"/>
        <item x="549"/>
        <item x="539"/>
        <item x="175"/>
        <item x="3"/>
        <item x="278"/>
        <item x="499"/>
        <item x="488"/>
        <item x="235"/>
        <item x="535"/>
        <item x="544"/>
        <item x="453"/>
        <item x="364"/>
        <item x="259"/>
        <item x="234"/>
        <item x="347"/>
        <item x="126"/>
        <item x="451"/>
        <item x="461"/>
        <item x="438"/>
        <item x="136"/>
        <item x="459"/>
        <item x="86"/>
        <item x="276"/>
        <item x="72"/>
        <item x="210"/>
        <item x="117"/>
        <item x="523"/>
        <item x="52"/>
        <item x="416"/>
        <item x="79"/>
        <item x="9"/>
        <item x="525"/>
        <item x="339"/>
        <item x="562"/>
        <item x="71"/>
        <item x="157"/>
        <item x="288"/>
        <item x="295"/>
        <item x="97"/>
        <item x="198"/>
        <item x="73"/>
        <item x="105"/>
        <item x="145"/>
        <item x="120"/>
        <item x="56"/>
        <item x="263"/>
        <item x="133"/>
        <item x="378"/>
        <item x="116"/>
        <item x="476"/>
        <item x="452"/>
        <item x="376"/>
        <item x="172"/>
        <item x="246"/>
        <item x="564"/>
        <item x="34"/>
        <item x="21"/>
        <item x="62"/>
        <item x="174"/>
        <item x="502"/>
        <item x="119"/>
        <item x="169"/>
        <item x="308"/>
        <item x="528"/>
        <item x="462"/>
        <item x="7"/>
        <item x="483"/>
        <item x="487"/>
        <item x="77"/>
        <item x="143"/>
        <item x="554"/>
        <item x="456"/>
        <item x="342"/>
        <item x="415"/>
        <item x="395"/>
        <item x="239"/>
        <item x="397"/>
        <item x="76"/>
        <item x="28"/>
        <item x="428"/>
        <item x="350"/>
        <item x="282"/>
        <item x="409"/>
        <item x="445"/>
        <item x="492"/>
        <item x="160"/>
        <item x="150"/>
        <item x="55"/>
        <item x="118"/>
        <item x="217"/>
        <item x="254"/>
        <item x="92"/>
        <item x="167"/>
        <item x="40"/>
        <item x="91"/>
        <item x="466"/>
        <item x="427"/>
        <item x="96"/>
        <item x="53"/>
        <item x="310"/>
        <item x="543"/>
        <item x="552"/>
        <item x="179"/>
        <item x="269"/>
        <item x="182"/>
        <item x="413"/>
        <item x="311"/>
        <item x="236"/>
        <item x="337"/>
        <item x="504"/>
        <item x="323"/>
        <item x="54"/>
        <item x="238"/>
        <item x="293"/>
        <item x="325"/>
        <item x="23"/>
        <item x="285"/>
        <item x="558"/>
        <item x="31"/>
        <item x="27"/>
        <item x="113"/>
        <item x="237"/>
        <item x="358"/>
        <item x="65"/>
        <item x="66"/>
        <item x="291"/>
        <item x="480"/>
        <item x="567"/>
        <item x="319"/>
        <item x="512"/>
        <item x="540"/>
        <item x="412"/>
        <item x="140"/>
        <item x="322"/>
        <item x="207"/>
        <item x="315"/>
        <item x="484"/>
        <item x="434"/>
        <item x="388"/>
        <item x="506"/>
        <item x="561"/>
        <item x="399"/>
        <item x="95"/>
        <item x="496"/>
        <item x="498"/>
        <item x="314"/>
        <item x="477"/>
        <item x="125"/>
        <item x="186"/>
        <item x="35"/>
        <item x="61"/>
        <item x="205"/>
        <item x="475"/>
        <item x="14"/>
        <item x="203"/>
        <item x="361"/>
        <item x="516"/>
        <item x="555"/>
        <item x="12"/>
        <item x="260"/>
        <item x="220"/>
        <item x="486"/>
        <item x="80"/>
        <item x="273"/>
        <item x="2"/>
        <item x="49"/>
        <item x="348"/>
        <item x="313"/>
        <item x="385"/>
        <item x="81"/>
        <item x="396"/>
        <item x="187"/>
        <item x="467"/>
        <item x="107"/>
        <item x="47"/>
        <item x="538"/>
        <item x="271"/>
        <item x="6"/>
        <item x="26"/>
        <item x="305"/>
        <item x="141"/>
        <item x="218"/>
        <item x="102"/>
        <item x="464"/>
        <item x="142"/>
        <item x="503"/>
        <item x="199"/>
        <item x="479"/>
        <item x="192"/>
        <item x="419"/>
        <item x="261"/>
        <item x="298"/>
        <item x="468"/>
        <item x="75"/>
        <item x="194"/>
        <item x="168"/>
        <item x="94"/>
        <item x="16"/>
        <item x="184"/>
        <item x="455"/>
        <item x="317"/>
        <item x="13"/>
        <item x="485"/>
        <item x="566"/>
        <item x="382"/>
        <item x="500"/>
        <item x="433"/>
        <item x="430"/>
        <item x="245"/>
        <item x="292"/>
        <item x="20"/>
        <item x="390"/>
        <item x="64"/>
        <item x="266"/>
        <item x="421"/>
        <item x="177"/>
        <item x="251"/>
        <item x="208"/>
        <item x="418"/>
        <item x="229"/>
        <item x="368"/>
        <item x="164"/>
        <item x="253"/>
        <item x="38"/>
        <item x="290"/>
        <item x="130"/>
        <item x="518"/>
        <item x="196"/>
        <item x="155"/>
        <item x="411"/>
        <item x="159"/>
        <item x="542"/>
        <item x="481"/>
        <item x="121"/>
        <item x="124"/>
        <item x="214"/>
        <item x="327"/>
        <item x="490"/>
        <item x="493"/>
        <item x="355"/>
        <item x="471"/>
        <item x="69"/>
        <item x="176"/>
        <item x="407"/>
        <item x="410"/>
        <item x="262"/>
        <item x="373"/>
        <item x="420"/>
        <item x="370"/>
        <item x="513"/>
        <item x="307"/>
        <item x="189"/>
        <item x="178"/>
        <item x="29"/>
        <item x="98"/>
        <item x="106"/>
        <item x="161"/>
        <item x="33"/>
        <item x="1"/>
        <item x="333"/>
        <item x="25"/>
        <item x="299"/>
        <item x="405"/>
        <item x="297"/>
        <item x="22"/>
        <item x="541"/>
        <item x="171"/>
        <item x="356"/>
        <item x="444"/>
        <item x="247"/>
        <item x="460"/>
        <item x="190"/>
        <item x="345"/>
        <item x="563"/>
        <item x="211"/>
        <item x="18"/>
        <item x="435"/>
        <item x="335"/>
        <item x="446"/>
        <item x="531"/>
        <item x="532"/>
        <item x="425"/>
        <item x="429"/>
        <item x="491"/>
        <item x="509"/>
        <item x="559"/>
        <item x="331"/>
        <item x="221"/>
        <item x="545"/>
        <item x="227"/>
        <item x="123"/>
        <item x="45"/>
        <item x="129"/>
        <item x="281"/>
        <item x="59"/>
        <item x="321"/>
        <item x="149"/>
        <item x="44"/>
        <item x="553"/>
        <item x="215"/>
        <item x="115"/>
        <item x="101"/>
        <item x="228"/>
        <item x="294"/>
        <item x="448"/>
        <item x="39"/>
        <item x="30"/>
        <item x="329"/>
        <item x="137"/>
        <item x="279"/>
        <item x="287"/>
        <item x="437"/>
        <item x="58"/>
        <item x="537"/>
        <item x="134"/>
        <item x="283"/>
        <item x="565"/>
        <item x="334"/>
        <item x="139"/>
        <item x="93"/>
        <item x="170"/>
        <item x="353"/>
        <item x="383"/>
        <item x="202"/>
        <item x="272"/>
        <item x="51"/>
        <item x="0"/>
        <item x="286"/>
        <item x="336"/>
        <item x="394"/>
        <item x="328"/>
        <item x="70"/>
        <item x="318"/>
        <item x="68"/>
        <item x="393"/>
        <item x="357"/>
        <item x="526"/>
        <item x="389"/>
        <item x="533"/>
        <item x="324"/>
        <item x="78"/>
        <item x="46"/>
        <item x="249"/>
        <item x="63"/>
        <item x="5"/>
        <item x="360"/>
        <item x="10"/>
        <item x="100"/>
        <item x="226"/>
        <item x="24"/>
        <item x="391"/>
        <item x="112"/>
        <item x="222"/>
        <item x="363"/>
        <item x="560"/>
        <item x="568"/>
        <item x="375"/>
        <item x="274"/>
        <item x="472"/>
        <item x="546"/>
        <item x="183"/>
        <item x="332"/>
        <item x="458"/>
        <item x="384"/>
        <item x="57"/>
        <item x="365"/>
        <item x="469"/>
        <item x="524"/>
        <item x="403"/>
        <item x="501"/>
        <item x="265"/>
        <item x="343"/>
        <item x="519"/>
        <item x="366"/>
        <item x="131"/>
        <item x="381"/>
        <item x="351"/>
        <item x="520"/>
        <item x="457"/>
        <item x="232"/>
        <item x="163"/>
        <item x="478"/>
        <item x="507"/>
        <item x="440"/>
        <item x="548"/>
        <item x="374"/>
        <item x="517"/>
        <item x="300"/>
        <item x="534"/>
        <item x="306"/>
        <item x="556"/>
        <item x="277"/>
        <item x="114"/>
        <item x="447"/>
        <item x="527"/>
        <item x="4"/>
        <item x="402"/>
        <item x="514"/>
        <item x="267"/>
        <item x="74"/>
        <item x="377"/>
        <item x="422"/>
        <item x="536"/>
        <item x="268"/>
        <item x="303"/>
        <item x="495"/>
        <item x="349"/>
        <item x="219"/>
        <item x="242"/>
        <item x="547"/>
        <item x="550"/>
        <item x="135"/>
        <item x="371"/>
        <item x="88"/>
        <item x="354"/>
        <item x="230"/>
        <item x="104"/>
        <item x="173"/>
        <item x="551"/>
        <item x="224"/>
        <item x="497"/>
        <item x="127"/>
        <item x="43"/>
        <item x="270"/>
        <item x="154"/>
        <item x="85"/>
        <item x="408"/>
        <item x="465"/>
        <item x="338"/>
        <item x="147"/>
        <item x="362"/>
        <item x="380"/>
        <item x="128"/>
        <item x="84"/>
        <item x="511"/>
        <item x="392"/>
        <item x="11"/>
        <item x="450"/>
        <item x="474"/>
        <item x="204"/>
        <item x="255"/>
        <item x="463"/>
        <item x="436"/>
        <item x="223"/>
        <item x="344"/>
        <item x="387"/>
        <item x="443"/>
        <item x="529"/>
        <item x="156"/>
        <item x="138"/>
        <item x="521"/>
        <item x="296"/>
        <item x="241"/>
        <item x="191"/>
        <item x="188"/>
        <item x="522"/>
        <item x="346"/>
        <item x="17"/>
        <item x="110"/>
        <item x="162"/>
        <item x="248"/>
        <item x="256"/>
        <item x="19"/>
        <item x="330"/>
        <item x="264"/>
        <item x="449"/>
        <item x="326"/>
        <item x="132"/>
        <item x="309"/>
        <item x="252"/>
        <item x="158"/>
        <item x="367"/>
        <item x="557"/>
        <item x="470"/>
        <item x="111"/>
        <item x="369"/>
        <item x="148"/>
        <item x="406"/>
        <item x="15"/>
        <item x="165"/>
        <item x="379"/>
        <item x="185"/>
        <item x="352"/>
        <item x="289"/>
        <item x="37"/>
        <item x="398"/>
        <item x="233"/>
        <item x="122"/>
        <item x="417"/>
        <item x="153"/>
        <item x="505"/>
        <item x="473"/>
        <item x="42"/>
        <item x="41"/>
        <item x="83"/>
        <item x="36"/>
        <item x="216"/>
        <item x="304"/>
        <item x="320"/>
        <item x="195"/>
        <item x="515"/>
        <item x="439"/>
        <item x="431"/>
        <item x="180"/>
        <item x="48"/>
        <item x="103"/>
        <item x="302"/>
        <item x="206"/>
        <item x="489"/>
        <item x="90"/>
        <item x="231"/>
        <item x="200"/>
        <item x="32"/>
        <item x="152"/>
        <item x="108"/>
        <item x="89"/>
        <item x="144"/>
        <item x="400"/>
        <item x="316"/>
        <item x="87"/>
        <item x="508"/>
        <item x="441"/>
        <item x="386"/>
        <item x="181"/>
        <item x="60"/>
        <item x="151"/>
        <item x="50"/>
        <item x="301"/>
        <item x="109"/>
        <item x="359"/>
        <item x="201"/>
        <item x="22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53">
        <item x="57"/>
        <item x="224"/>
        <item x="187"/>
        <item x="230"/>
        <item x="239"/>
        <item x="76"/>
        <item x="251"/>
        <item x="77"/>
        <item x="140"/>
        <item x="107"/>
        <item x="101"/>
        <item x="32"/>
        <item x="133"/>
        <item x="212"/>
        <item x="144"/>
        <item x="39"/>
        <item x="138"/>
        <item x="205"/>
        <item x="213"/>
        <item x="69"/>
        <item x="185"/>
        <item x="37"/>
        <item x="209"/>
        <item x="157"/>
        <item x="164"/>
        <item x="126"/>
        <item x="49"/>
        <item x="229"/>
        <item x="129"/>
        <item x="70"/>
        <item x="33"/>
        <item x="207"/>
        <item x="128"/>
        <item x="22"/>
        <item x="71"/>
        <item x="223"/>
        <item x="124"/>
        <item x="159"/>
        <item x="215"/>
        <item x="74"/>
        <item x="65"/>
        <item x="36"/>
        <item x="3"/>
        <item x="241"/>
        <item x="183"/>
        <item x="176"/>
        <item x="137"/>
        <item x="250"/>
        <item x="59"/>
        <item x="246"/>
        <item x="119"/>
        <item x="26"/>
        <item x="171"/>
        <item x="58"/>
        <item x="90"/>
        <item x="64"/>
        <item x="18"/>
        <item x="63"/>
        <item x="27"/>
        <item x="16"/>
        <item x="48"/>
        <item x="188"/>
        <item x="225"/>
        <item x="234"/>
        <item x="163"/>
        <item x="135"/>
        <item x="186"/>
        <item x="52"/>
        <item x="105"/>
        <item x="168"/>
        <item x="222"/>
        <item x="2"/>
        <item x="5"/>
        <item x="45"/>
        <item x="9"/>
        <item x="166"/>
        <item x="99"/>
        <item x="23"/>
        <item x="108"/>
        <item x="237"/>
        <item x="53"/>
        <item x="189"/>
        <item x="112"/>
        <item x="199"/>
        <item x="167"/>
        <item x="118"/>
        <item x="165"/>
        <item x="78"/>
        <item x="55"/>
        <item x="85"/>
        <item x="0"/>
        <item x="81"/>
        <item x="132"/>
        <item x="240"/>
        <item x="235"/>
        <item x="12"/>
        <item x="95"/>
        <item x="104"/>
        <item x="42"/>
        <item x="198"/>
        <item x="72"/>
        <item x="179"/>
        <item x="97"/>
        <item x="100"/>
        <item x="226"/>
        <item x="200"/>
        <item x="191"/>
        <item x="161"/>
        <item x="228"/>
        <item x="192"/>
        <item x="184"/>
        <item x="236"/>
        <item x="141"/>
        <item x="109"/>
        <item x="67"/>
        <item x="75"/>
        <item x="139"/>
        <item x="162"/>
        <item x="117"/>
        <item x="233"/>
        <item x="92"/>
        <item x="96"/>
        <item x="248"/>
        <item x="238"/>
        <item x="147"/>
        <item x="103"/>
        <item x="220"/>
        <item x="80"/>
        <item x="146"/>
        <item x="1"/>
        <item x="145"/>
        <item x="83"/>
        <item x="204"/>
        <item x="6"/>
        <item x="84"/>
        <item x="217"/>
        <item x="219"/>
        <item x="114"/>
        <item x="244"/>
        <item x="62"/>
        <item x="15"/>
        <item x="25"/>
        <item x="111"/>
        <item x="243"/>
        <item x="94"/>
        <item x="173"/>
        <item x="143"/>
        <item x="29"/>
        <item x="227"/>
        <item x="121"/>
        <item x="178"/>
        <item x="51"/>
        <item x="110"/>
        <item x="131"/>
        <item x="82"/>
        <item x="172"/>
        <item x="154"/>
        <item x="14"/>
        <item x="19"/>
        <item x="149"/>
        <item x="98"/>
        <item x="20"/>
        <item x="44"/>
        <item x="181"/>
        <item x="196"/>
        <item x="150"/>
        <item x="158"/>
        <item x="134"/>
        <item x="247"/>
        <item x="201"/>
        <item x="190"/>
        <item x="249"/>
        <item x="211"/>
        <item x="11"/>
        <item x="34"/>
        <item x="130"/>
        <item x="102"/>
        <item x="106"/>
        <item x="177"/>
        <item x="43"/>
        <item x="89"/>
        <item x="91"/>
        <item x="210"/>
        <item x="10"/>
        <item x="40"/>
        <item x="174"/>
        <item x="242"/>
        <item x="30"/>
        <item x="169"/>
        <item x="170"/>
        <item x="87"/>
        <item x="203"/>
        <item x="54"/>
        <item x="13"/>
        <item x="115"/>
        <item x="151"/>
        <item x="28"/>
        <item x="122"/>
        <item x="245"/>
        <item x="41"/>
        <item x="160"/>
        <item x="152"/>
        <item x="61"/>
        <item x="216"/>
        <item x="31"/>
        <item x="155"/>
        <item x="79"/>
        <item x="116"/>
        <item x="148"/>
        <item x="218"/>
        <item x="50"/>
        <item x="68"/>
        <item x="8"/>
        <item x="47"/>
        <item x="142"/>
        <item x="66"/>
        <item x="46"/>
        <item x="4"/>
        <item x="221"/>
        <item x="195"/>
        <item x="175"/>
        <item x="206"/>
        <item x="24"/>
        <item x="214"/>
        <item x="197"/>
        <item x="232"/>
        <item x="73"/>
        <item x="113"/>
        <item x="88"/>
        <item x="182"/>
        <item x="193"/>
        <item x="156"/>
        <item x="136"/>
        <item x="21"/>
        <item x="86"/>
        <item x="202"/>
        <item x="125"/>
        <item x="35"/>
        <item x="231"/>
        <item x="123"/>
        <item x="180"/>
        <item x="153"/>
        <item x="120"/>
        <item x="93"/>
        <item x="194"/>
        <item x="208"/>
        <item x="127"/>
        <item x="7"/>
        <item x="56"/>
        <item x="17"/>
        <item x="60"/>
        <item x="38"/>
        <item t="default"/>
      </items>
    </pivotField>
    <pivotField compact="0" showAll="0">
      <items count="42">
        <item x="19"/>
        <item x="16"/>
        <item x="35"/>
        <item x="1"/>
        <item x="21"/>
        <item x="28"/>
        <item x="13"/>
        <item x="37"/>
        <item x="2"/>
        <item x="31"/>
        <item x="10"/>
        <item x="14"/>
        <item x="22"/>
        <item x="38"/>
        <item x="0"/>
        <item x="27"/>
        <item x="36"/>
        <item x="30"/>
        <item x="12"/>
        <item x="11"/>
        <item x="34"/>
        <item x="24"/>
        <item x="8"/>
        <item x="32"/>
        <item x="39"/>
        <item x="29"/>
        <item x="26"/>
        <item x="15"/>
        <item x="3"/>
        <item x="23"/>
        <item x="25"/>
        <item x="20"/>
        <item x="9"/>
        <item x="33"/>
        <item x="40"/>
        <item x="18"/>
        <item x="5"/>
        <item x="7"/>
        <item x="17"/>
        <item x="4"/>
        <item x="6"/>
        <item t="default"/>
      </items>
    </pivotField>
    <pivotField compact="0" numFmtId="180" showAll="0">
      <items count="315">
        <item x="117"/>
        <item x="102"/>
        <item x="108"/>
        <item x="231"/>
        <item x="301"/>
        <item x="114"/>
        <item x="211"/>
        <item x="311"/>
        <item x="310"/>
        <item x="263"/>
        <item x="104"/>
        <item x="190"/>
        <item x="216"/>
        <item x="66"/>
        <item x="184"/>
        <item x="70"/>
        <item x="181"/>
        <item x="96"/>
        <item x="230"/>
        <item x="225"/>
        <item x="93"/>
        <item x="258"/>
        <item x="186"/>
        <item x="29"/>
        <item x="151"/>
        <item x="23"/>
        <item x="42"/>
        <item x="166"/>
        <item x="119"/>
        <item x="232"/>
        <item x="169"/>
        <item x="127"/>
        <item x="24"/>
        <item x="124"/>
        <item x="254"/>
        <item x="206"/>
        <item x="226"/>
        <item x="130"/>
        <item x="280"/>
        <item x="187"/>
        <item x="163"/>
        <item x="71"/>
        <item x="60"/>
        <item x="11"/>
        <item x="98"/>
        <item x="300"/>
        <item x="46"/>
        <item x="21"/>
        <item x="240"/>
        <item x="201"/>
        <item x="188"/>
        <item x="260"/>
        <item x="28"/>
        <item x="94"/>
        <item x="253"/>
        <item x="162"/>
        <item x="243"/>
        <item x="195"/>
        <item x="220"/>
        <item x="161"/>
        <item x="227"/>
        <item x="245"/>
        <item x="164"/>
        <item x="87"/>
        <item x="249"/>
        <item x="33"/>
        <item x="209"/>
        <item x="4"/>
        <item x="120"/>
        <item x="272"/>
        <item x="40"/>
        <item x="279"/>
        <item x="142"/>
        <item x="217"/>
        <item x="176"/>
        <item x="202"/>
        <item x="219"/>
        <item x="133"/>
        <item x="153"/>
        <item x="250"/>
        <item x="103"/>
        <item x="305"/>
        <item x="165"/>
        <item x="121"/>
        <item x="288"/>
        <item x="214"/>
        <item x="18"/>
        <item x="167"/>
        <item x="110"/>
        <item x="115"/>
        <item x="2"/>
        <item x="91"/>
        <item x="261"/>
        <item x="143"/>
        <item x="97"/>
        <item x="136"/>
        <item x="291"/>
        <item x="31"/>
        <item x="210"/>
        <item x="269"/>
        <item x="137"/>
        <item x="223"/>
        <item x="257"/>
        <item x="276"/>
        <item x="75"/>
        <item x="101"/>
        <item x="45"/>
        <item x="30"/>
        <item x="304"/>
        <item x="81"/>
        <item x="118"/>
        <item x="207"/>
        <item x="182"/>
        <item x="146"/>
        <item x="215"/>
        <item x="251"/>
        <item x="0"/>
        <item x="79"/>
        <item x="52"/>
        <item x="150"/>
        <item x="286"/>
        <item x="44"/>
        <item x="270"/>
        <item x="198"/>
        <item x="183"/>
        <item x="159"/>
        <item x="308"/>
        <item x="222"/>
        <item x="267"/>
        <item x="78"/>
        <item x="72"/>
        <item x="69"/>
        <item x="88"/>
        <item x="141"/>
        <item x="244"/>
        <item x="203"/>
        <item x="281"/>
        <item x="22"/>
        <item x="123"/>
        <item x="152"/>
        <item x="294"/>
        <item x="109"/>
        <item x="171"/>
        <item x="20"/>
        <item x="80"/>
        <item x="135"/>
        <item x="155"/>
        <item x="77"/>
        <item x="204"/>
        <item x="189"/>
        <item x="174"/>
        <item x="43"/>
        <item x="312"/>
        <item x="53"/>
        <item x="246"/>
        <item x="180"/>
        <item x="7"/>
        <item x="140"/>
        <item x="172"/>
        <item x="83"/>
        <item x="38"/>
        <item x="19"/>
        <item x="36"/>
        <item x="35"/>
        <item x="274"/>
        <item x="313"/>
        <item x="296"/>
        <item x="126"/>
        <item x="241"/>
        <item x="278"/>
        <item x="170"/>
        <item x="41"/>
        <item x="157"/>
        <item x="17"/>
        <item x="26"/>
        <item x="34"/>
        <item x="139"/>
        <item x="303"/>
        <item x="112"/>
        <item x="47"/>
        <item x="107"/>
        <item x="64"/>
        <item x="265"/>
        <item x="197"/>
        <item x="50"/>
        <item x="134"/>
        <item x="284"/>
        <item x="247"/>
        <item x="10"/>
        <item x="309"/>
        <item x="238"/>
        <item x="292"/>
        <item x="173"/>
        <item x="65"/>
        <item x="131"/>
        <item x="58"/>
        <item x="306"/>
        <item x="248"/>
        <item x="233"/>
        <item x="283"/>
        <item x="228"/>
        <item x="298"/>
        <item x="67"/>
        <item x="224"/>
        <item x="15"/>
        <item x="158"/>
        <item x="299"/>
        <item x="149"/>
        <item x="74"/>
        <item x="160"/>
        <item x="255"/>
        <item x="235"/>
        <item x="6"/>
        <item x="63"/>
        <item x="16"/>
        <item x="122"/>
        <item x="14"/>
        <item x="297"/>
        <item x="129"/>
        <item x="85"/>
        <item x="264"/>
        <item x="148"/>
        <item x="62"/>
        <item x="302"/>
        <item x="199"/>
        <item x="105"/>
        <item x="192"/>
        <item x="168"/>
        <item x="285"/>
        <item x="234"/>
        <item x="95"/>
        <item x="39"/>
        <item x="256"/>
        <item x="194"/>
        <item x="271"/>
        <item x="132"/>
        <item x="73"/>
        <item x="275"/>
        <item x="92"/>
        <item x="212"/>
        <item x="307"/>
        <item x="12"/>
        <item x="8"/>
        <item x="268"/>
        <item x="289"/>
        <item x="48"/>
        <item x="138"/>
        <item x="27"/>
        <item x="54"/>
        <item x="293"/>
        <item x="273"/>
        <item x="106"/>
        <item x="277"/>
        <item x="290"/>
        <item x="61"/>
        <item x="242"/>
        <item x="113"/>
        <item x="25"/>
        <item x="144"/>
        <item x="3"/>
        <item x="1"/>
        <item x="59"/>
        <item x="13"/>
        <item x="90"/>
        <item x="76"/>
        <item x="218"/>
        <item x="99"/>
        <item x="51"/>
        <item x="259"/>
        <item x="128"/>
        <item x="205"/>
        <item x="84"/>
        <item x="193"/>
        <item x="178"/>
        <item x="282"/>
        <item x="295"/>
        <item x="100"/>
        <item x="68"/>
        <item x="191"/>
        <item x="177"/>
        <item x="196"/>
        <item x="221"/>
        <item x="116"/>
        <item x="229"/>
        <item x="154"/>
        <item x="179"/>
        <item x="175"/>
        <item x="208"/>
        <item x="185"/>
        <item x="9"/>
        <item x="89"/>
        <item x="32"/>
        <item x="86"/>
        <item x="125"/>
        <item x="213"/>
        <item x="287"/>
        <item x="200"/>
        <item x="82"/>
        <item x="55"/>
        <item x="262"/>
        <item x="266"/>
        <item x="49"/>
        <item x="37"/>
        <item x="239"/>
        <item x="147"/>
        <item x="237"/>
        <item x="5"/>
        <item x="56"/>
        <item x="57"/>
        <item x="111"/>
        <item x="145"/>
        <item x="236"/>
        <item x="156"/>
        <item x="25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42">
        <item x="441"/>
        <item x="557"/>
        <item x="0"/>
        <item x="502"/>
        <item x="137"/>
        <item x="514"/>
        <item x="84"/>
        <item x="596"/>
        <item x="383"/>
        <item x="575"/>
        <item x="248"/>
        <item x="622"/>
        <item x="13"/>
        <item x="164"/>
        <item x="174"/>
        <item x="31"/>
        <item x="195"/>
        <item x="466"/>
        <item x="27"/>
        <item x="239"/>
        <item x="443"/>
        <item x="511"/>
        <item x="231"/>
        <item x="482"/>
        <item x="493"/>
        <item x="203"/>
        <item x="532"/>
        <item x="488"/>
        <item x="520"/>
        <item x="128"/>
        <item x="279"/>
        <item x="11"/>
        <item x="397"/>
        <item x="399"/>
        <item x="103"/>
        <item x="193"/>
        <item x="589"/>
        <item x="569"/>
        <item x="508"/>
        <item x="215"/>
        <item x="56"/>
        <item x="325"/>
        <item x="618"/>
        <item x="565"/>
        <item x="275"/>
        <item x="598"/>
        <item x="227"/>
        <item x="99"/>
        <item x="162"/>
        <item x="612"/>
        <item x="256"/>
        <item x="175"/>
        <item x="535"/>
        <item x="171"/>
        <item x="228"/>
        <item x="259"/>
        <item x="636"/>
        <item x="341"/>
        <item x="380"/>
        <item x="196"/>
        <item x="64"/>
        <item x="42"/>
        <item x="233"/>
        <item x="555"/>
        <item x="553"/>
        <item x="282"/>
        <item x="473"/>
        <item x="615"/>
        <item x="190"/>
        <item x="301"/>
        <item x="571"/>
        <item x="3"/>
        <item x="125"/>
        <item x="330"/>
        <item x="624"/>
        <item x="462"/>
        <item x="124"/>
        <item x="50"/>
        <item x="237"/>
        <item x="317"/>
        <item x="131"/>
        <item x="523"/>
        <item x="55"/>
        <item x="332"/>
        <item x="429"/>
        <item x="492"/>
        <item x="585"/>
        <item x="106"/>
        <item x="384"/>
        <item x="121"/>
        <item x="528"/>
        <item x="424"/>
        <item x="176"/>
        <item x="442"/>
        <item x="92"/>
        <item x="242"/>
        <item x="207"/>
        <item x="402"/>
        <item x="370"/>
        <item x="394"/>
        <item x="595"/>
        <item x="628"/>
        <item x="551"/>
        <item x="225"/>
        <item x="290"/>
        <item x="605"/>
        <item x="591"/>
        <item x="590"/>
        <item x="395"/>
        <item x="453"/>
        <item x="249"/>
        <item x="280"/>
        <item x="120"/>
        <item x="320"/>
        <item x="546"/>
        <item x="271"/>
        <item x="564"/>
        <item x="543"/>
        <item x="163"/>
        <item x="61"/>
        <item x="524"/>
        <item x="2"/>
        <item x="148"/>
        <item x="521"/>
        <item x="338"/>
        <item x="456"/>
        <item x="609"/>
        <item x="173"/>
        <item x="53"/>
        <item x="186"/>
        <item x="510"/>
        <item x="613"/>
        <item x="406"/>
        <item x="251"/>
        <item x="117"/>
        <item x="331"/>
        <item x="631"/>
        <item x="90"/>
        <item x="57"/>
        <item x="468"/>
        <item x="372"/>
        <item x="470"/>
        <item x="144"/>
        <item x="491"/>
        <item x="66"/>
        <item x="44"/>
        <item x="361"/>
        <item x="145"/>
        <item x="244"/>
        <item x="76"/>
        <item x="623"/>
        <item x="63"/>
        <item x="138"/>
        <item x="255"/>
        <item x="548"/>
        <item x="200"/>
        <item x="463"/>
        <item x="229"/>
        <item x="33"/>
        <item x="351"/>
        <item x="108"/>
        <item x="6"/>
        <item x="344"/>
        <item x="515"/>
        <item x="238"/>
        <item x="236"/>
        <item x="479"/>
        <item x="77"/>
        <item x="91"/>
        <item x="640"/>
        <item x="556"/>
        <item x="360"/>
        <item x="208"/>
        <item x="593"/>
        <item x="158"/>
        <item x="381"/>
        <item x="243"/>
        <item x="218"/>
        <item x="386"/>
        <item x="574"/>
        <item x="323"/>
        <item x="337"/>
        <item x="10"/>
        <item x="350"/>
        <item x="166"/>
        <item x="51"/>
        <item x="611"/>
        <item x="376"/>
        <item x="172"/>
        <item x="312"/>
        <item x="342"/>
        <item x="62"/>
        <item x="98"/>
        <item x="340"/>
        <item x="439"/>
        <item x="428"/>
        <item x="471"/>
        <item x="356"/>
        <item x="68"/>
        <item x="189"/>
        <item x="426"/>
        <item x="78"/>
        <item x="318"/>
        <item x="34"/>
        <item x="469"/>
        <item x="292"/>
        <item x="28"/>
        <item x="123"/>
        <item x="390"/>
        <item x="400"/>
        <item x="179"/>
        <item x="9"/>
        <item x="597"/>
        <item x="568"/>
        <item x="635"/>
        <item x="545"/>
        <item x="616"/>
        <item x="127"/>
        <item x="212"/>
        <item x="273"/>
        <item x="500"/>
        <item x="404"/>
        <item x="205"/>
        <item x="601"/>
        <item x="112"/>
        <item x="517"/>
        <item x="346"/>
        <item x="425"/>
        <item x="418"/>
        <item x="191"/>
        <item x="373"/>
        <item x="378"/>
        <item x="136"/>
        <item x="362"/>
        <item x="217"/>
        <item x="638"/>
        <item x="161"/>
        <item x="74"/>
        <item x="287"/>
        <item x="86"/>
        <item x="150"/>
        <item x="39"/>
        <item x="151"/>
        <item x="321"/>
        <item x="572"/>
        <item x="484"/>
        <item x="333"/>
        <item x="88"/>
        <item x="202"/>
        <item x="298"/>
        <item x="278"/>
        <item x="531"/>
        <item x="168"/>
        <item x="118"/>
        <item x="222"/>
        <item x="604"/>
        <item x="417"/>
        <item x="272"/>
        <item x="122"/>
        <item x="303"/>
        <item x="274"/>
        <item x="540"/>
        <item x="477"/>
        <item x="288"/>
        <item x="472"/>
        <item x="413"/>
        <item x="544"/>
        <item x="12"/>
        <item x="257"/>
        <item x="188"/>
        <item x="100"/>
        <item x="43"/>
        <item x="81"/>
        <item x="134"/>
        <item x="142"/>
        <item x="232"/>
        <item x="392"/>
        <item x="302"/>
        <item x="476"/>
        <item x="226"/>
        <item x="140"/>
        <item x="199"/>
        <item x="626"/>
        <item x="407"/>
        <item x="411"/>
        <item x="485"/>
        <item x="483"/>
        <item x="474"/>
        <item x="58"/>
        <item x="245"/>
        <item x="135"/>
        <item x="537"/>
        <item x="503"/>
        <item x="266"/>
        <item x="54"/>
        <item x="5"/>
        <item x="348"/>
        <item x="599"/>
        <item x="336"/>
        <item x="427"/>
        <item x="300"/>
        <item x="297"/>
        <item x="349"/>
        <item x="550"/>
        <item x="326"/>
        <item x="633"/>
        <item x="153"/>
        <item x="73"/>
        <item x="324"/>
        <item x="567"/>
        <item x="487"/>
        <item x="32"/>
        <item x="518"/>
        <item x="432"/>
        <item x="375"/>
        <item x="448"/>
        <item x="415"/>
        <item x="23"/>
        <item x="154"/>
        <item x="496"/>
        <item x="167"/>
        <item x="130"/>
        <item x="30"/>
        <item x="366"/>
        <item x="307"/>
        <item x="41"/>
        <item x="619"/>
        <item x="632"/>
        <item x="309"/>
        <item x="35"/>
        <item x="305"/>
        <item x="261"/>
        <item x="254"/>
        <item x="187"/>
        <item x="85"/>
        <item x="72"/>
        <item x="329"/>
        <item x="359"/>
        <item x="16"/>
        <item x="434"/>
        <item x="639"/>
        <item x="327"/>
        <item x="513"/>
        <item x="610"/>
        <item x="371"/>
        <item x="24"/>
        <item x="97"/>
        <item x="52"/>
        <item x="129"/>
        <item x="343"/>
        <item x="454"/>
        <item x="505"/>
        <item x="192"/>
        <item x="119"/>
        <item x="420"/>
        <item x="445"/>
        <item x="209"/>
        <item x="204"/>
        <item x="549"/>
        <item x="1"/>
        <item x="527"/>
        <item x="457"/>
        <item x="422"/>
        <item x="139"/>
        <item x="206"/>
        <item x="277"/>
        <item x="69"/>
        <item x="455"/>
        <item x="264"/>
        <item x="358"/>
        <item x="181"/>
        <item x="450"/>
        <item x="322"/>
        <item x="512"/>
        <item x="295"/>
        <item x="364"/>
        <item x="96"/>
        <item x="542"/>
        <item x="296"/>
        <item x="465"/>
        <item x="283"/>
        <item x="160"/>
        <item x="451"/>
        <item x="14"/>
        <item x="315"/>
        <item x="352"/>
        <item x="316"/>
        <item x="539"/>
        <item x="577"/>
        <item x="29"/>
        <item x="410"/>
        <item x="452"/>
        <item x="354"/>
        <item x="75"/>
        <item x="116"/>
        <item x="536"/>
        <item x="497"/>
        <item x="433"/>
        <item x="335"/>
        <item x="293"/>
        <item x="538"/>
        <item x="334"/>
        <item x="223"/>
        <item x="566"/>
        <item x="559"/>
        <item x="286"/>
        <item x="412"/>
        <item x="416"/>
        <item x="314"/>
        <item x="522"/>
        <item x="252"/>
        <item x="60"/>
        <item x="423"/>
        <item x="621"/>
        <item x="357"/>
        <item x="157"/>
        <item x="67"/>
        <item x="262"/>
        <item x="347"/>
        <item x="533"/>
        <item x="507"/>
        <item x="141"/>
        <item x="582"/>
        <item x="313"/>
        <item x="490"/>
        <item x="170"/>
        <item x="592"/>
        <item x="306"/>
        <item x="586"/>
        <item x="4"/>
        <item x="269"/>
        <item x="101"/>
        <item x="552"/>
        <item x="115"/>
        <item x="387"/>
        <item x="89"/>
        <item x="444"/>
        <item x="414"/>
        <item x="562"/>
        <item x="70"/>
        <item x="377"/>
        <item x="547"/>
        <item x="143"/>
        <item x="385"/>
        <item x="40"/>
        <item x="45"/>
        <item x="608"/>
        <item x="102"/>
        <item x="541"/>
        <item x="311"/>
        <item x="398"/>
        <item x="554"/>
        <item x="637"/>
        <item x="506"/>
        <item x="281"/>
        <item x="509"/>
        <item x="435"/>
        <item x="46"/>
        <item x="177"/>
        <item x="486"/>
        <item x="258"/>
        <item x="579"/>
        <item x="389"/>
        <item x="516"/>
        <item x="504"/>
        <item x="495"/>
        <item x="299"/>
        <item x="446"/>
        <item x="211"/>
        <item x="104"/>
        <item x="573"/>
        <item x="578"/>
        <item x="614"/>
        <item x="146"/>
        <item x="489"/>
        <item x="603"/>
        <item x="328"/>
        <item x="8"/>
        <item x="430"/>
        <item x="584"/>
        <item x="234"/>
        <item x="25"/>
        <item x="560"/>
        <item x="379"/>
        <item x="94"/>
        <item x="263"/>
        <item x="460"/>
        <item x="155"/>
        <item x="105"/>
        <item x="388"/>
        <item x="198"/>
        <item x="83"/>
        <item x="87"/>
        <item x="221"/>
        <item x="240"/>
        <item x="156"/>
        <item x="21"/>
        <item x="184"/>
        <item x="630"/>
        <item x="230"/>
        <item x="304"/>
        <item x="403"/>
        <item x="438"/>
        <item x="268"/>
        <item x="393"/>
        <item x="178"/>
        <item x="213"/>
        <item x="114"/>
        <item x="19"/>
        <item x="38"/>
        <item x="79"/>
        <item x="18"/>
        <item x="36"/>
        <item x="588"/>
        <item x="113"/>
        <item x="7"/>
        <item x="355"/>
        <item x="368"/>
        <item x="576"/>
        <item x="194"/>
        <item x="594"/>
        <item x="419"/>
        <item x="294"/>
        <item x="345"/>
        <item x="458"/>
        <item x="561"/>
        <item x="219"/>
        <item x="241"/>
        <item x="214"/>
        <item x="260"/>
        <item x="159"/>
        <item x="20"/>
        <item x="107"/>
        <item x="408"/>
        <item x="291"/>
        <item x="49"/>
        <item x="185"/>
        <item x="449"/>
        <item x="95"/>
        <item x="201"/>
        <item x="180"/>
        <item x="602"/>
        <item x="47"/>
        <item x="481"/>
        <item x="480"/>
        <item x="494"/>
        <item x="581"/>
        <item x="37"/>
        <item x="22"/>
        <item x="250"/>
        <item x="82"/>
        <item x="498"/>
        <item x="284"/>
        <item x="310"/>
        <item x="519"/>
        <item x="467"/>
        <item x="627"/>
        <item x="436"/>
        <item x="529"/>
        <item x="365"/>
        <item x="606"/>
        <item x="285"/>
        <item x="48"/>
        <item x="253"/>
        <item x="71"/>
        <item x="235"/>
        <item x="247"/>
        <item x="530"/>
        <item x="620"/>
        <item x="111"/>
        <item x="401"/>
        <item x="26"/>
        <item x="147"/>
        <item x="339"/>
        <item x="583"/>
        <item x="369"/>
        <item x="478"/>
        <item x="267"/>
        <item x="534"/>
        <item x="165"/>
        <item x="109"/>
        <item x="149"/>
        <item x="396"/>
        <item x="169"/>
        <item x="246"/>
        <item x="265"/>
        <item x="224"/>
        <item x="437"/>
        <item x="65"/>
        <item x="391"/>
        <item x="580"/>
        <item x="183"/>
        <item x="431"/>
        <item x="587"/>
        <item x="197"/>
        <item x="499"/>
        <item x="634"/>
        <item x="182"/>
        <item x="220"/>
        <item x="110"/>
        <item x="308"/>
        <item x="276"/>
        <item x="289"/>
        <item x="501"/>
        <item x="625"/>
        <item x="459"/>
        <item x="525"/>
        <item x="93"/>
        <item x="563"/>
        <item x="59"/>
        <item x="126"/>
        <item x="210"/>
        <item x="558"/>
        <item x="464"/>
        <item x="367"/>
        <item x="600"/>
        <item x="526"/>
        <item x="409"/>
        <item x="319"/>
        <item x="152"/>
        <item x="607"/>
        <item x="80"/>
        <item x="617"/>
        <item x="382"/>
        <item x="421"/>
        <item x="132"/>
        <item x="216"/>
        <item x="270"/>
        <item x="405"/>
        <item x="17"/>
        <item x="629"/>
        <item x="475"/>
        <item x="374"/>
        <item x="133"/>
        <item x="363"/>
        <item x="440"/>
        <item x="353"/>
        <item x="461"/>
        <item x="570"/>
        <item x="447"/>
        <item x="15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634">
        <item x="255"/>
        <item x="16"/>
        <item x="33"/>
        <item x="522"/>
        <item x="156"/>
        <item x="529"/>
        <item x="473"/>
        <item x="238"/>
        <item x="347"/>
        <item x="512"/>
        <item x="403"/>
        <item x="42"/>
        <item x="133"/>
        <item x="557"/>
        <item x="531"/>
        <item x="485"/>
        <item x="385"/>
        <item x="632"/>
        <item x="78"/>
        <item x="275"/>
        <item x="424"/>
        <item x="301"/>
        <item x="304"/>
        <item x="509"/>
        <item x="324"/>
        <item x="477"/>
        <item x="452"/>
        <item x="417"/>
        <item x="261"/>
        <item x="220"/>
        <item x="242"/>
        <item x="413"/>
        <item x="76"/>
        <item x="270"/>
        <item x="420"/>
        <item x="480"/>
        <item x="287"/>
        <item x="300"/>
        <item x="115"/>
        <item x="19"/>
        <item x="448"/>
        <item x="499"/>
        <item x="24"/>
        <item x="120"/>
        <item x="205"/>
        <item x="210"/>
        <item x="182"/>
        <item x="628"/>
        <item x="336"/>
        <item x="116"/>
        <item x="376"/>
        <item x="152"/>
        <item x="223"/>
        <item x="60"/>
        <item x="542"/>
        <item x="520"/>
        <item x="183"/>
        <item x="433"/>
        <item x="55"/>
        <item x="127"/>
        <item x="134"/>
        <item x="81"/>
        <item x="496"/>
        <item x="508"/>
        <item x="85"/>
        <item x="615"/>
        <item x="207"/>
        <item x="296"/>
        <item x="297"/>
        <item x="506"/>
        <item x="419"/>
        <item x="451"/>
        <item x="278"/>
        <item x="449"/>
        <item x="97"/>
        <item x="265"/>
        <item x="536"/>
        <item x="70"/>
        <item x="521"/>
        <item x="140"/>
        <item x="525"/>
        <item x="30"/>
        <item x="279"/>
        <item x="348"/>
        <item x="58"/>
        <item x="562"/>
        <item x="246"/>
        <item x="471"/>
        <item x="45"/>
        <item x="82"/>
        <item x="203"/>
        <item x="386"/>
        <item x="187"/>
        <item x="504"/>
        <item x="623"/>
        <item x="360"/>
        <item x="67"/>
        <item x="350"/>
        <item x="139"/>
        <item x="344"/>
        <item x="266"/>
        <item x="230"/>
        <item x="331"/>
        <item x="57"/>
        <item x="405"/>
        <item x="515"/>
        <item x="118"/>
        <item x="605"/>
        <item x="163"/>
        <item x="323"/>
        <item x="75"/>
        <item x="87"/>
        <item x="137"/>
        <item x="586"/>
        <item x="256"/>
        <item x="399"/>
        <item x="288"/>
        <item x="593"/>
        <item x="361"/>
        <item x="128"/>
        <item x="91"/>
        <item x="2"/>
        <item x="162"/>
        <item x="249"/>
        <item x="614"/>
        <item x="0"/>
        <item x="309"/>
        <item x="170"/>
        <item x="528"/>
        <item x="368"/>
        <item x="273"/>
        <item x="625"/>
        <item x="227"/>
        <item x="402"/>
        <item x="264"/>
        <item x="518"/>
        <item x="174"/>
        <item x="338"/>
        <item x="395"/>
        <item x="418"/>
        <item x="111"/>
        <item x="469"/>
        <item x="564"/>
        <item x="211"/>
        <item x="277"/>
        <item x="617"/>
        <item x="125"/>
        <item x="23"/>
        <item x="322"/>
        <item x="208"/>
        <item x="587"/>
        <item x="454"/>
        <item x="544"/>
        <item x="422"/>
        <item x="151"/>
        <item x="247"/>
        <item x="390"/>
        <item x="467"/>
        <item x="302"/>
        <item x="226"/>
        <item x="578"/>
        <item x="257"/>
        <item x="88"/>
        <item x="387"/>
        <item x="584"/>
        <item x="126"/>
        <item x="412"/>
        <item x="167"/>
        <item x="274"/>
        <item x="293"/>
        <item x="342"/>
        <item x="435"/>
        <item x="129"/>
        <item x="445"/>
        <item x="14"/>
        <item x="178"/>
        <item x="608"/>
        <item x="32"/>
        <item x="235"/>
        <item x="107"/>
        <item x="234"/>
        <item x="93"/>
        <item x="547"/>
        <item x="341"/>
        <item x="18"/>
        <item x="177"/>
        <item x="330"/>
        <item x="565"/>
        <item x="549"/>
        <item x="545"/>
        <item x="3"/>
        <item x="486"/>
        <item x="195"/>
        <item x="616"/>
        <item x="369"/>
        <item x="517"/>
        <item x="38"/>
        <item x="283"/>
        <item x="176"/>
        <item x="122"/>
        <item x="272"/>
        <item x="202"/>
        <item x="166"/>
        <item x="109"/>
        <item x="384"/>
        <item x="92"/>
        <item x="201"/>
        <item x="237"/>
        <item x="537"/>
        <item x="583"/>
        <item x="540"/>
        <item x="281"/>
        <item x="191"/>
        <item x="124"/>
        <item x="370"/>
        <item x="44"/>
        <item x="289"/>
        <item x="303"/>
        <item x="353"/>
        <item x="185"/>
        <item x="5"/>
        <item x="326"/>
        <item x="497"/>
        <item x="106"/>
        <item x="8"/>
        <item x="328"/>
        <item x="219"/>
        <item x="305"/>
        <item x="41"/>
        <item x="456"/>
        <item x="332"/>
        <item x="558"/>
        <item x="123"/>
        <item x="54"/>
        <item x="468"/>
        <item x="466"/>
        <item x="267"/>
        <item x="299"/>
        <item x="101"/>
        <item x="478"/>
        <item x="596"/>
        <item x="333"/>
        <item x="618"/>
        <item x="168"/>
        <item x="429"/>
        <item x="406"/>
        <item x="481"/>
        <item x="591"/>
        <item x="258"/>
        <item x="470"/>
        <item x="443"/>
        <item x="119"/>
        <item x="611"/>
        <item x="15"/>
        <item x="438"/>
        <item x="428"/>
        <item x="172"/>
        <item x="194"/>
        <item x="56"/>
        <item x="11"/>
        <item x="175"/>
        <item x="396"/>
        <item x="559"/>
        <item x="505"/>
        <item x="104"/>
        <item x="100"/>
        <item x="228"/>
        <item x="610"/>
        <item x="526"/>
        <item x="59"/>
        <item x="240"/>
        <item x="27"/>
        <item x="563"/>
        <item x="592"/>
        <item x="241"/>
        <item x="21"/>
        <item x="621"/>
        <item x="439"/>
        <item x="457"/>
        <item x="268"/>
        <item x="472"/>
        <item x="31"/>
        <item x="146"/>
        <item x="6"/>
        <item x="25"/>
        <item x="325"/>
        <item x="462"/>
        <item x="204"/>
        <item x="165"/>
        <item x="371"/>
        <item x="460"/>
        <item x="149"/>
        <item x="53"/>
        <item x="568"/>
        <item x="245"/>
        <item x="359"/>
        <item x="222"/>
        <item x="607"/>
        <item x="597"/>
        <item x="121"/>
        <item x="426"/>
        <item x="62"/>
        <item x="492"/>
        <item x="573"/>
        <item x="28"/>
        <item x="51"/>
        <item x="290"/>
        <item x="217"/>
        <item x="131"/>
        <item x="415"/>
        <item x="514"/>
        <item x="251"/>
        <item x="236"/>
        <item x="22"/>
        <item x="461"/>
        <item x="181"/>
        <item x="553"/>
        <item x="453"/>
        <item x="169"/>
        <item x="599"/>
        <item x="519"/>
        <item x="271"/>
        <item x="35"/>
        <item x="380"/>
        <item x="244"/>
        <item x="77"/>
        <item x="550"/>
        <item x="432"/>
        <item x="286"/>
        <item x="252"/>
        <item x="298"/>
        <item x="327"/>
        <item x="398"/>
        <item x="72"/>
        <item x="601"/>
        <item x="150"/>
        <item x="110"/>
        <item x="404"/>
        <item x="276"/>
        <item x="291"/>
        <item x="254"/>
        <item x="319"/>
        <item x="444"/>
        <item x="400"/>
        <item x="524"/>
        <item x="407"/>
        <item x="594"/>
        <item x="47"/>
        <item x="475"/>
        <item x="49"/>
        <item x="37"/>
        <item x="379"/>
        <item x="320"/>
        <item x="250"/>
        <item x="421"/>
        <item x="50"/>
        <item x="262"/>
        <item x="215"/>
        <item x="229"/>
        <item x="243"/>
        <item x="339"/>
        <item x="310"/>
        <item x="292"/>
        <item x="455"/>
        <item x="612"/>
        <item x="523"/>
        <item x="576"/>
        <item x="598"/>
        <item x="96"/>
        <item x="488"/>
        <item x="48"/>
        <item x="316"/>
        <item x="112"/>
        <item x="221"/>
        <item x="626"/>
        <item x="381"/>
        <item x="489"/>
        <item x="602"/>
        <item x="577"/>
        <item x="248"/>
        <item x="465"/>
        <item x="630"/>
        <item x="69"/>
        <item x="218"/>
        <item x="627"/>
        <item x="10"/>
        <item x="312"/>
        <item x="425"/>
        <item x="354"/>
        <item x="192"/>
        <item x="349"/>
        <item x="213"/>
        <item x="345"/>
        <item x="463"/>
        <item x="337"/>
        <item x="372"/>
        <item x="416"/>
        <item x="9"/>
        <item x="63"/>
        <item x="173"/>
        <item x="479"/>
        <item x="603"/>
        <item x="351"/>
        <item x="494"/>
        <item x="94"/>
        <item x="153"/>
        <item x="552"/>
        <item x="366"/>
        <item x="502"/>
        <item x="216"/>
        <item x="145"/>
        <item x="482"/>
        <item x="232"/>
        <item x="604"/>
        <item x="476"/>
        <item x="487"/>
        <item x="130"/>
        <item x="98"/>
        <item x="52"/>
        <item x="551"/>
        <item x="590"/>
        <item x="389"/>
        <item x="377"/>
        <item x="198"/>
        <item x="17"/>
        <item x="631"/>
        <item x="365"/>
        <item x="375"/>
        <item x="212"/>
        <item x="84"/>
        <item x="367"/>
        <item x="409"/>
        <item x="434"/>
        <item x="66"/>
        <item x="619"/>
        <item x="364"/>
        <item x="580"/>
        <item x="543"/>
        <item x="86"/>
        <item x="308"/>
        <item x="493"/>
        <item x="495"/>
        <item x="117"/>
        <item x="362"/>
        <item x="180"/>
        <item x="539"/>
        <item x="423"/>
        <item x="555"/>
        <item x="200"/>
        <item x="233"/>
        <item x="34"/>
        <item x="89"/>
        <item x="410"/>
        <item x="225"/>
        <item x="436"/>
        <item x="340"/>
        <item x="113"/>
        <item x="285"/>
        <item x="574"/>
        <item x="442"/>
        <item x="269"/>
        <item x="581"/>
        <item x="355"/>
        <item x="329"/>
        <item x="13"/>
        <item x="190"/>
        <item x="427"/>
        <item x="624"/>
        <item x="313"/>
        <item x="589"/>
        <item x="108"/>
        <item x="179"/>
        <item x="114"/>
        <item x="392"/>
        <item x="196"/>
        <item x="464"/>
        <item x="582"/>
        <item x="36"/>
        <item x="622"/>
        <item x="450"/>
        <item x="458"/>
        <item x="83"/>
        <item x="474"/>
        <item x="79"/>
        <item x="99"/>
        <item x="209"/>
        <item x="64"/>
        <item x="138"/>
        <item x="382"/>
        <item x="569"/>
        <item x="437"/>
        <item x="1"/>
        <item x="356"/>
        <item x="65"/>
        <item x="260"/>
        <item x="408"/>
        <item x="554"/>
        <item x="280"/>
        <item x="609"/>
        <item x="29"/>
        <item x="148"/>
        <item x="160"/>
        <item x="186"/>
        <item x="575"/>
        <item x="68"/>
        <item x="335"/>
        <item x="90"/>
        <item x="147"/>
        <item x="538"/>
        <item x="184"/>
        <item x="620"/>
        <item x="318"/>
        <item x="73"/>
        <item x="159"/>
        <item x="295"/>
        <item x="317"/>
        <item x="363"/>
        <item x="193"/>
        <item x="511"/>
        <item x="199"/>
        <item x="343"/>
        <item x="135"/>
        <item x="188"/>
        <item x="7"/>
        <item x="157"/>
        <item x="571"/>
        <item x="132"/>
        <item x="401"/>
        <item x="197"/>
        <item x="80"/>
        <item x="570"/>
        <item x="95"/>
        <item x="231"/>
        <item x="394"/>
        <item x="306"/>
        <item x="606"/>
        <item x="259"/>
        <item x="530"/>
        <item x="214"/>
        <item x="43"/>
        <item x="239"/>
        <item x="136"/>
        <item x="155"/>
        <item x="39"/>
        <item x="358"/>
        <item x="588"/>
        <item x="46"/>
        <item x="20"/>
        <item x="26"/>
        <item x="189"/>
        <item x="507"/>
        <item x="513"/>
        <item x="393"/>
        <item x="383"/>
        <item x="164"/>
        <item x="440"/>
        <item x="431"/>
        <item x="560"/>
        <item x="141"/>
        <item x="534"/>
        <item x="12"/>
        <item x="154"/>
        <item x="143"/>
        <item x="490"/>
        <item x="414"/>
        <item x="391"/>
        <item x="307"/>
        <item x="561"/>
        <item x="74"/>
        <item x="373"/>
        <item x="314"/>
        <item x="447"/>
        <item x="105"/>
        <item x="541"/>
        <item x="378"/>
        <item x="388"/>
        <item x="346"/>
        <item x="579"/>
        <item x="294"/>
        <item x="446"/>
        <item x="533"/>
        <item x="572"/>
        <item x="585"/>
        <item x="516"/>
        <item x="171"/>
        <item x="357"/>
        <item x="397"/>
        <item x="161"/>
        <item x="535"/>
        <item x="532"/>
        <item x="71"/>
        <item x="595"/>
        <item x="142"/>
        <item x="459"/>
        <item x="430"/>
        <item x="441"/>
        <item x="629"/>
        <item x="61"/>
        <item x="352"/>
        <item x="546"/>
        <item x="103"/>
        <item x="498"/>
        <item x="144"/>
        <item x="263"/>
        <item x="503"/>
        <item x="4"/>
        <item x="224"/>
        <item x="158"/>
        <item x="556"/>
        <item x="491"/>
        <item x="501"/>
        <item x="311"/>
        <item x="500"/>
        <item x="548"/>
        <item x="40"/>
        <item x="334"/>
        <item x="613"/>
        <item x="411"/>
        <item x="284"/>
        <item x="600"/>
        <item x="315"/>
        <item x="527"/>
        <item x="483"/>
        <item x="282"/>
        <item x="510"/>
        <item x="253"/>
        <item x="567"/>
        <item x="102"/>
        <item x="484"/>
        <item x="374"/>
        <item x="566"/>
        <item x="206"/>
        <item x="321"/>
        <item t="default"/>
      </items>
    </pivotField>
    <pivotField dataField="1" compact="0" numFmtId="181" showAll="0">
      <items count="718">
        <item x="408"/>
        <item x="334"/>
        <item x="581"/>
        <item x="33"/>
        <item x="112"/>
        <item x="690"/>
        <item x="355"/>
        <item x="664"/>
        <item x="525"/>
        <item x="415"/>
        <item x="434"/>
        <item x="101"/>
        <item x="58"/>
        <item x="150"/>
        <item x="251"/>
        <item x="191"/>
        <item x="381"/>
        <item x="543"/>
        <item x="303"/>
        <item x="171"/>
        <item x="90"/>
        <item x="407"/>
        <item x="637"/>
        <item x="80"/>
        <item x="227"/>
        <item x="692"/>
        <item x="332"/>
        <item x="631"/>
        <item x="437"/>
        <item x="441"/>
        <item x="212"/>
        <item x="666"/>
        <item x="352"/>
        <item x="31"/>
        <item x="134"/>
        <item x="168"/>
        <item x="125"/>
        <item x="550"/>
        <item x="443"/>
        <item x="643"/>
        <item x="516"/>
        <item x="300"/>
        <item x="630"/>
        <item x="647"/>
        <item x="401"/>
        <item x="386"/>
        <item x="704"/>
        <item x="597"/>
        <item x="100"/>
        <item x="42"/>
        <item x="444"/>
        <item x="307"/>
        <item x="182"/>
        <item x="72"/>
        <item x="330"/>
        <item x="357"/>
        <item x="365"/>
        <item x="560"/>
        <item x="390"/>
        <item x="70"/>
        <item x="166"/>
        <item x="447"/>
        <item x="138"/>
        <item x="671"/>
        <item x="363"/>
        <item x="339"/>
        <item x="83"/>
        <item x="714"/>
        <item x="526"/>
        <item x="302"/>
        <item x="572"/>
        <item x="88"/>
        <item x="562"/>
        <item x="137"/>
        <item x="108"/>
        <item x="492"/>
        <item x="135"/>
        <item x="333"/>
        <item x="185"/>
        <item x="143"/>
        <item x="596"/>
        <item x="523"/>
        <item x="707"/>
        <item x="229"/>
        <item x="9"/>
        <item x="356"/>
        <item x="145"/>
        <item x="438"/>
        <item x="232"/>
        <item x="587"/>
        <item x="63"/>
        <item x="349"/>
        <item x="316"/>
        <item x="181"/>
        <item x="222"/>
        <item x="602"/>
        <item x="489"/>
        <item x="688"/>
        <item x="423"/>
        <item x="157"/>
        <item x="445"/>
        <item x="294"/>
        <item x="429"/>
        <item x="331"/>
        <item x="76"/>
        <item x="264"/>
        <item x="287"/>
        <item x="544"/>
        <item x="371"/>
        <item x="689"/>
        <item x="446"/>
        <item x="684"/>
        <item x="260"/>
        <item x="104"/>
        <item x="337"/>
        <item x="403"/>
        <item x="208"/>
        <item x="465"/>
        <item x="591"/>
        <item x="351"/>
        <item x="497"/>
        <item x="378"/>
        <item x="404"/>
        <item x="461"/>
        <item x="280"/>
        <item x="673"/>
        <item x="373"/>
        <item x="224"/>
        <item x="13"/>
        <item x="272"/>
        <item x="343"/>
        <item x="273"/>
        <item x="617"/>
        <item x="375"/>
        <item x="110"/>
        <item x="322"/>
        <item x="571"/>
        <item x="697"/>
        <item x="383"/>
        <item x="648"/>
        <item x="153"/>
        <item x="391"/>
        <item x="474"/>
        <item x="41"/>
        <item x="211"/>
        <item x="277"/>
        <item x="627"/>
        <item x="549"/>
        <item x="432"/>
        <item x="395"/>
        <item x="310"/>
        <item x="342"/>
        <item x="27"/>
        <item x="116"/>
        <item x="715"/>
        <item x="567"/>
        <item x="87"/>
        <item x="252"/>
        <item x="594"/>
        <item x="1"/>
        <item x="180"/>
        <item x="534"/>
        <item x="243"/>
        <item x="685"/>
        <item x="35"/>
        <item x="580"/>
        <item x="126"/>
        <item x="651"/>
        <item x="25"/>
        <item x="604"/>
        <item x="4"/>
        <item x="313"/>
        <item x="344"/>
        <item x="304"/>
        <item x="672"/>
        <item x="132"/>
        <item x="451"/>
        <item x="201"/>
        <item x="686"/>
        <item x="324"/>
        <item x="439"/>
        <item x="309"/>
        <item x="502"/>
        <item x="269"/>
        <item x="388"/>
        <item x="448"/>
        <item x="282"/>
        <item x="713"/>
        <item x="193"/>
        <item x="103"/>
        <item x="632"/>
        <item x="239"/>
        <item x="238"/>
        <item x="510"/>
        <item x="483"/>
        <item x="586"/>
        <item x="121"/>
        <item x="473"/>
        <item x="209"/>
        <item x="10"/>
        <item x="710"/>
        <item x="538"/>
        <item x="359"/>
        <item x="514"/>
        <item x="38"/>
        <item x="61"/>
        <item x="40"/>
        <item x="288"/>
        <item x="111"/>
        <item x="141"/>
        <item x="614"/>
        <item x="97"/>
        <item x="488"/>
        <item x="77"/>
        <item x="462"/>
        <item x="91"/>
        <item x="424"/>
        <item x="485"/>
        <item x="195"/>
        <item x="290"/>
        <item x="190"/>
        <item x="278"/>
        <item x="364"/>
        <item x="515"/>
        <item x="142"/>
        <item x="151"/>
        <item x="175"/>
        <item x="98"/>
        <item x="248"/>
        <item x="46"/>
        <item x="464"/>
        <item x="346"/>
        <item x="398"/>
        <item x="561"/>
        <item x="262"/>
        <item x="276"/>
        <item x="81"/>
        <item x="615"/>
        <item x="410"/>
        <item x="682"/>
        <item x="325"/>
        <item x="625"/>
        <item x="105"/>
        <item x="652"/>
        <item x="528"/>
        <item x="123"/>
        <item x="622"/>
        <item x="326"/>
        <item x="75"/>
        <item x="607"/>
        <item x="74"/>
        <item x="361"/>
        <item x="540"/>
        <item x="15"/>
        <item x="328"/>
        <item x="183"/>
        <item x="411"/>
        <item x="541"/>
        <item x="566"/>
        <item x="592"/>
        <item x="249"/>
        <item x="430"/>
        <item x="308"/>
        <item x="348"/>
        <item x="170"/>
        <item x="284"/>
        <item x="600"/>
        <item x="283"/>
        <item x="532"/>
        <item x="484"/>
        <item x="466"/>
        <item x="703"/>
        <item x="507"/>
        <item x="491"/>
        <item x="94"/>
        <item x="595"/>
        <item x="460"/>
        <item x="234"/>
        <item x="158"/>
        <item x="156"/>
        <item x="197"/>
        <item x="708"/>
        <item x="345"/>
        <item x="431"/>
        <item x="641"/>
        <item x="406"/>
        <item x="117"/>
        <item x="85"/>
        <item x="296"/>
        <item x="311"/>
        <item x="24"/>
        <item x="418"/>
        <item x="399"/>
        <item x="393"/>
        <item x="527"/>
        <item x="301"/>
        <item x="455"/>
        <item x="52"/>
        <item x="179"/>
        <item x="231"/>
        <item x="463"/>
        <item x="454"/>
        <item x="589"/>
        <item x="358"/>
        <item x="206"/>
        <item x="601"/>
        <item x="582"/>
        <item x="611"/>
        <item x="705"/>
        <item x="147"/>
        <item x="479"/>
        <item x="50"/>
        <item x="574"/>
        <item x="210"/>
        <item x="202"/>
        <item x="699"/>
        <item x="683"/>
        <item x="639"/>
        <item x="486"/>
        <item x="305"/>
        <item x="633"/>
        <item x="23"/>
        <item x="323"/>
        <item x="353"/>
        <item x="124"/>
        <item x="268"/>
        <item x="573"/>
        <item x="539"/>
        <item x="21"/>
        <item x="696"/>
        <item x="321"/>
        <item x="89"/>
        <item x="575"/>
        <item x="372"/>
        <item x="490"/>
        <item x="315"/>
        <item x="55"/>
        <item x="706"/>
        <item x="199"/>
        <item x="644"/>
        <item x="136"/>
        <item x="716"/>
        <item x="599"/>
        <item x="384"/>
        <item x="687"/>
        <item x="3"/>
        <item x="298"/>
        <item x="420"/>
        <item x="155"/>
        <item x="676"/>
        <item x="146"/>
        <item x="44"/>
        <item x="218"/>
        <item x="291"/>
        <item x="610"/>
        <item x="440"/>
        <item x="78"/>
        <item x="701"/>
        <item x="661"/>
        <item x="370"/>
        <item x="73"/>
        <item x="177"/>
        <item x="8"/>
        <item x="606"/>
        <item x="669"/>
        <item x="163"/>
        <item x="654"/>
        <item x="698"/>
        <item x="700"/>
        <item x="274"/>
        <item x="69"/>
        <item x="649"/>
        <item x="480"/>
        <item x="172"/>
        <item x="265"/>
        <item x="60"/>
        <item x="636"/>
        <item x="495"/>
        <item x="295"/>
        <item x="711"/>
        <item x="250"/>
        <item x="397"/>
        <item x="449"/>
        <item x="45"/>
        <item x="93"/>
        <item x="293"/>
        <item x="694"/>
        <item x="6"/>
        <item x="557"/>
        <item x="650"/>
        <item x="217"/>
        <item x="389"/>
        <item x="498"/>
        <item x="165"/>
        <item x="642"/>
        <item x="220"/>
        <item x="578"/>
        <item x="11"/>
        <item x="360"/>
        <item x="593"/>
        <item x="546"/>
        <item x="215"/>
        <item x="402"/>
        <item x="48"/>
        <item x="609"/>
        <item x="500"/>
        <item x="154"/>
        <item x="30"/>
        <item x="51"/>
        <item x="223"/>
        <item x="656"/>
        <item x="598"/>
        <item x="499"/>
        <item x="19"/>
        <item x="662"/>
        <item x="414"/>
        <item x="588"/>
        <item x="556"/>
        <item x="115"/>
        <item x="109"/>
        <item x="422"/>
        <item x="59"/>
        <item x="613"/>
        <item x="376"/>
        <item x="62"/>
        <item x="456"/>
        <item x="297"/>
        <item x="450"/>
        <item x="96"/>
        <item x="421"/>
        <item x="221"/>
        <item x="319"/>
        <item x="658"/>
        <item x="428"/>
        <item x="392"/>
        <item x="531"/>
        <item x="127"/>
        <item x="405"/>
        <item x="478"/>
        <item x="504"/>
        <item x="623"/>
        <item x="435"/>
        <item x="214"/>
        <item x="459"/>
        <item x="629"/>
        <item x="99"/>
        <item x="66"/>
        <item x="187"/>
        <item x="20"/>
        <item x="677"/>
        <item x="161"/>
        <item x="43"/>
        <item x="235"/>
        <item x="79"/>
        <item x="552"/>
        <item x="659"/>
        <item x="129"/>
        <item x="506"/>
        <item x="655"/>
        <item x="314"/>
        <item x="256"/>
        <item x="482"/>
        <item x="189"/>
        <item x="496"/>
        <item x="279"/>
        <item x="475"/>
        <item x="640"/>
        <item x="536"/>
        <item x="576"/>
        <item x="457"/>
        <item x="17"/>
        <item x="245"/>
        <item x="603"/>
        <item x="396"/>
        <item x="299"/>
        <item x="230"/>
        <item x="261"/>
        <item x="417"/>
        <item x="458"/>
        <item x="192"/>
        <item x="174"/>
        <item x="267"/>
        <item x="653"/>
        <item x="241"/>
        <item x="494"/>
        <item x="130"/>
        <item x="638"/>
        <item x="433"/>
        <item x="160"/>
        <item x="503"/>
        <item x="379"/>
        <item x="226"/>
        <item x="605"/>
        <item x="577"/>
        <item x="225"/>
        <item x="416"/>
        <item x="419"/>
        <item x="565"/>
        <item x="266"/>
        <item x="18"/>
        <item x="318"/>
        <item x="511"/>
        <item x="340"/>
        <item x="203"/>
        <item x="533"/>
        <item x="312"/>
        <item x="712"/>
        <item x="54"/>
        <item x="68"/>
        <item x="39"/>
        <item x="530"/>
        <item x="520"/>
        <item x="216"/>
        <item x="477"/>
        <item x="702"/>
        <item x="102"/>
        <item x="524"/>
        <item x="257"/>
        <item x="590"/>
        <item x="350"/>
        <item x="668"/>
        <item x="476"/>
        <item x="665"/>
        <item x="657"/>
        <item x="678"/>
        <item x="327"/>
        <item x="559"/>
        <item x="84"/>
        <item x="128"/>
        <item x="159"/>
        <item x="270"/>
        <item x="167"/>
        <item x="188"/>
        <item x="198"/>
        <item x="612"/>
        <item x="255"/>
        <item x="619"/>
        <item x="354"/>
        <item x="481"/>
        <item x="258"/>
        <item x="470"/>
        <item x="519"/>
        <item x="36"/>
        <item x="467"/>
        <item x="645"/>
        <item x="453"/>
        <item x="329"/>
        <item x="452"/>
        <item x="616"/>
        <item x="34"/>
        <item x="26"/>
        <item x="242"/>
        <item x="194"/>
        <item x="22"/>
        <item x="28"/>
        <item x="92"/>
        <item x="635"/>
        <item x="493"/>
        <item x="608"/>
        <item x="583"/>
        <item x="37"/>
        <item x="535"/>
        <item x="47"/>
        <item x="292"/>
        <item x="271"/>
        <item x="236"/>
        <item x="436"/>
        <item x="152"/>
        <item x="380"/>
        <item x="131"/>
        <item x="120"/>
        <item x="176"/>
        <item x="413"/>
        <item x="626"/>
        <item x="374"/>
        <item x="529"/>
        <item x="0"/>
        <item x="681"/>
        <item x="377"/>
        <item x="366"/>
        <item x="555"/>
        <item x="263"/>
        <item x="289"/>
        <item x="173"/>
        <item x="367"/>
        <item x="469"/>
        <item x="133"/>
        <item x="518"/>
        <item x="122"/>
        <item x="233"/>
        <item x="281"/>
        <item x="537"/>
        <item x="634"/>
        <item x="670"/>
        <item x="107"/>
        <item x="585"/>
        <item x="679"/>
        <item x="618"/>
        <item x="114"/>
        <item x="240"/>
        <item x="426"/>
        <item x="49"/>
        <item x="178"/>
        <item x="362"/>
        <item x="285"/>
        <item x="521"/>
        <item x="468"/>
        <item x="551"/>
        <item x="369"/>
        <item x="564"/>
        <item x="228"/>
        <item x="259"/>
        <item x="213"/>
        <item x="148"/>
        <item x="244"/>
        <item x="162"/>
        <item x="67"/>
        <item x="139"/>
        <item x="554"/>
        <item x="237"/>
        <item x="425"/>
        <item x="5"/>
        <item x="620"/>
        <item x="680"/>
        <item x="95"/>
        <item x="186"/>
        <item x="71"/>
        <item x="247"/>
        <item x="204"/>
        <item x="219"/>
        <item x="254"/>
        <item x="149"/>
        <item x="338"/>
        <item x="545"/>
        <item x="82"/>
        <item x="663"/>
        <item x="472"/>
        <item x="621"/>
        <item x="547"/>
        <item x="667"/>
        <item x="409"/>
        <item x="400"/>
        <item x="563"/>
        <item x="691"/>
        <item x="646"/>
        <item x="56"/>
        <item x="57"/>
        <item x="569"/>
        <item x="368"/>
        <item x="205"/>
        <item x="140"/>
        <item x="695"/>
        <item x="7"/>
        <item x="65"/>
        <item x="471"/>
        <item x="196"/>
        <item x="675"/>
        <item x="624"/>
        <item x="412"/>
        <item x="347"/>
        <item x="246"/>
        <item x="709"/>
        <item x="118"/>
        <item x="505"/>
        <item x="385"/>
        <item x="53"/>
        <item x="32"/>
        <item x="542"/>
        <item x="660"/>
        <item x="64"/>
        <item x="382"/>
        <item x="320"/>
        <item x="394"/>
        <item x="513"/>
        <item x="387"/>
        <item x="164"/>
        <item x="674"/>
        <item x="553"/>
        <item x="512"/>
        <item x="86"/>
        <item x="509"/>
        <item x="427"/>
        <item x="2"/>
        <item x="628"/>
        <item x="200"/>
        <item x="169"/>
        <item x="548"/>
        <item x="119"/>
        <item x="12"/>
        <item x="487"/>
        <item x="16"/>
        <item x="29"/>
        <item x="207"/>
        <item x="501"/>
        <item x="306"/>
        <item x="335"/>
        <item x="317"/>
        <item x="275"/>
        <item x="442"/>
        <item x="568"/>
        <item x="286"/>
        <item x="579"/>
        <item x="517"/>
        <item x="144"/>
        <item x="558"/>
        <item x="522"/>
        <item x="341"/>
        <item x="508"/>
        <item x="106"/>
        <item x="693"/>
        <item x="336"/>
        <item x="184"/>
        <item x="113"/>
        <item x="14"/>
        <item x="570"/>
        <item x="253"/>
        <item x="584"/>
        <item t="default"/>
      </items>
    </pivotField>
    <pivotField dataField="1" compact="0" numFmtId="180" showAll="0">
      <items count="14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9"/>
        <item t="default"/>
      </items>
    </pivotField>
    <pivotField dataField="1" compact="0" numFmtId="9" showAll="0">
      <items count="13">
        <item x="0"/>
        <item x="9"/>
        <item x="10"/>
        <item x="2"/>
        <item x="4"/>
        <item x="11"/>
        <item x="7"/>
        <item x="1"/>
        <item x="5"/>
        <item x="8"/>
        <item x="6"/>
        <item x="3"/>
        <item t="default"/>
      </items>
    </pivotField>
    <pivotField compact="0" numFmtId="180" showAll="0">
      <items count="755">
        <item x="258"/>
        <item x="14"/>
        <item x="534"/>
        <item x="313"/>
        <item x="114"/>
        <item x="519"/>
        <item x="58"/>
        <item x="2"/>
        <item x="155"/>
        <item x="182"/>
        <item x="150"/>
        <item x="473"/>
        <item x="80"/>
        <item x="712"/>
        <item x="434"/>
        <item x="94"/>
        <item x="123"/>
        <item x="514"/>
        <item x="93"/>
        <item x="154"/>
        <item x="211"/>
        <item x="173"/>
        <item x="79"/>
        <item x="6"/>
        <item x="550"/>
        <item x="55"/>
        <item x="32"/>
        <item x="587"/>
        <item x="590"/>
        <item x="564"/>
        <item x="194"/>
        <item x="430"/>
        <item x="563"/>
        <item x="625"/>
        <item x="661"/>
        <item x="179"/>
        <item x="423"/>
        <item x="501"/>
        <item x="208"/>
        <item x="137"/>
        <item x="552"/>
        <item x="241"/>
        <item x="251"/>
        <item x="37"/>
        <item x="388"/>
        <item x="653"/>
        <item x="559"/>
        <item x="542"/>
        <item x="312"/>
        <item x="481"/>
        <item x="596"/>
        <item x="631"/>
        <item x="447"/>
        <item x="359"/>
        <item x="230"/>
        <item x="103"/>
        <item x="422"/>
        <item x="285"/>
        <item x="48"/>
        <item x="546"/>
        <item x="427"/>
        <item x="180"/>
        <item x="290"/>
        <item x="138"/>
        <item x="159"/>
        <item x="151"/>
        <item x="226"/>
        <item x="703"/>
        <item x="671"/>
        <item x="28"/>
        <item x="196"/>
        <item x="698"/>
        <item x="237"/>
        <item x="645"/>
        <item x="397"/>
        <item x="264"/>
        <item x="243"/>
        <item x="530"/>
        <item x="104"/>
        <item x="748"/>
        <item x="61"/>
        <item x="551"/>
        <item x="278"/>
        <item x="701"/>
        <item x="644"/>
        <item x="60"/>
        <item x="476"/>
        <item x="460"/>
        <item x="532"/>
        <item x="57"/>
        <item x="111"/>
        <item x="616"/>
        <item x="657"/>
        <item x="118"/>
        <item x="256"/>
        <item x="203"/>
        <item x="719"/>
        <item x="696"/>
        <item x="324"/>
        <item x="708"/>
        <item x="573"/>
        <item x="621"/>
        <item x="658"/>
        <item x="506"/>
        <item x="148"/>
        <item x="144"/>
        <item x="664"/>
        <item x="366"/>
        <item x="113"/>
        <item x="411"/>
        <item x="315"/>
        <item x="42"/>
        <item x="174"/>
        <item x="232"/>
        <item x="91"/>
        <item x="33"/>
        <item x="343"/>
        <item x="59"/>
        <item x="419"/>
        <item x="425"/>
        <item x="444"/>
        <item x="541"/>
        <item x="11"/>
        <item x="604"/>
        <item x="418"/>
        <item x="364"/>
        <item x="475"/>
        <item x="213"/>
        <item x="309"/>
        <item x="465"/>
        <item x="156"/>
        <item x="739"/>
        <item x="627"/>
        <item x="695"/>
        <item x="172"/>
        <item x="722"/>
        <item x="395"/>
        <item x="191"/>
        <item x="726"/>
        <item x="512"/>
        <item x="390"/>
        <item x="197"/>
        <item x="341"/>
        <item x="279"/>
        <item x="102"/>
        <item x="561"/>
        <item x="136"/>
        <item x="229"/>
        <item x="402"/>
        <item x="548"/>
        <item x="227"/>
        <item x="89"/>
        <item x="751"/>
        <item x="217"/>
        <item x="452"/>
        <item x="307"/>
        <item x="310"/>
        <item x="74"/>
        <item x="177"/>
        <item x="81"/>
        <item x="207"/>
        <item x="223"/>
        <item x="432"/>
        <item x="361"/>
        <item x="139"/>
        <item x="431"/>
        <item x="673"/>
        <item x="749"/>
        <item x="188"/>
        <item x="717"/>
        <item x="31"/>
        <item x="555"/>
        <item x="454"/>
        <item x="399"/>
        <item x="71"/>
        <item x="448"/>
        <item x="677"/>
        <item x="101"/>
        <item x="731"/>
        <item x="82"/>
        <item x="187"/>
        <item x="128"/>
        <item x="373"/>
        <item x="462"/>
        <item x="253"/>
        <item x="622"/>
        <item x="406"/>
        <item x="143"/>
        <item x="659"/>
        <item x="629"/>
        <item x="64"/>
        <item x="477"/>
        <item x="205"/>
        <item x="569"/>
        <item x="348"/>
        <item x="9"/>
        <item x="543"/>
        <item x="214"/>
        <item x="337"/>
        <item x="342"/>
        <item x="605"/>
        <item x="584"/>
        <item x="234"/>
        <item x="571"/>
        <item x="73"/>
        <item x="355"/>
        <item x="335"/>
        <item x="77"/>
        <item x="140"/>
        <item x="742"/>
        <item x="455"/>
        <item x="478"/>
        <item x="358"/>
        <item x="689"/>
        <item x="365"/>
        <item x="339"/>
        <item x="269"/>
        <item x="142"/>
        <item x="582"/>
        <item x="457"/>
        <item x="720"/>
        <item x="301"/>
        <item x="439"/>
        <item x="458"/>
        <item x="387"/>
        <item x="215"/>
        <item x="184"/>
        <item x="668"/>
        <item x="84"/>
        <item x="163"/>
        <item x="595"/>
        <item x="750"/>
        <item x="471"/>
        <item x="413"/>
        <item x="109"/>
        <item x="134"/>
        <item x="129"/>
        <item x="162"/>
        <item x="562"/>
        <item x="265"/>
        <item x="511"/>
        <item x="456"/>
        <item x="492"/>
        <item x="289"/>
        <item x="503"/>
        <item x="716"/>
        <item x="86"/>
        <item x="681"/>
        <item x="710"/>
        <item x="666"/>
        <item x="539"/>
        <item x="678"/>
        <item x="19"/>
        <item x="487"/>
        <item x="120"/>
        <item x="300"/>
        <item x="449"/>
        <item x="121"/>
        <item x="331"/>
        <item x="474"/>
        <item x="35"/>
        <item x="630"/>
        <item x="612"/>
        <item x="13"/>
        <item x="384"/>
        <item x="283"/>
        <item x="277"/>
        <item x="352"/>
        <item x="589"/>
        <item x="407"/>
        <item x="360"/>
        <item x="594"/>
        <item x="405"/>
        <item x="362"/>
        <item x="318"/>
        <item x="293"/>
        <item x="614"/>
        <item x="380"/>
        <item x="257"/>
        <item x="117"/>
        <item x="105"/>
        <item x="141"/>
        <item x="260"/>
        <item x="340"/>
        <item x="429"/>
        <item x="346"/>
        <item x="23"/>
        <item x="667"/>
        <item x="225"/>
        <item x="702"/>
        <item x="450"/>
        <item x="10"/>
        <item x="715"/>
        <item x="321"/>
        <item x="353"/>
        <item x="273"/>
        <item x="311"/>
        <item x="574"/>
        <item x="314"/>
        <item x="597"/>
        <item x="663"/>
        <item x="199"/>
        <item x="286"/>
        <item x="401"/>
        <item x="382"/>
        <item x="392"/>
        <item x="4"/>
        <item x="745"/>
        <item x="718"/>
        <item x="408"/>
        <item x="415"/>
        <item x="459"/>
        <item x="400"/>
        <item x="732"/>
        <item x="499"/>
        <item x="479"/>
        <item x="451"/>
        <item x="97"/>
        <item x="516"/>
        <item x="317"/>
        <item x="244"/>
        <item x="509"/>
        <item x="752"/>
        <item x="248"/>
        <item x="738"/>
        <item x="433"/>
        <item x="27"/>
        <item x="297"/>
        <item x="41"/>
        <item x="642"/>
        <item x="25"/>
        <item x="498"/>
        <item x="442"/>
        <item x="572"/>
        <item x="274"/>
        <item x="654"/>
        <item x="568"/>
        <item x="531"/>
        <item x="98"/>
        <item x="420"/>
        <item x="186"/>
        <item x="40"/>
        <item x="124"/>
        <item x="351"/>
        <item x="88"/>
        <item x="619"/>
        <item x="92"/>
        <item x="38"/>
        <item x="1"/>
        <item x="282"/>
        <item x="556"/>
        <item x="112"/>
        <item x="669"/>
        <item x="603"/>
        <item x="181"/>
        <item x="370"/>
        <item x="558"/>
        <item x="641"/>
        <item x="296"/>
        <item x="504"/>
        <item x="334"/>
        <item x="157"/>
        <item x="637"/>
        <item x="583"/>
        <item x="421"/>
        <item x="333"/>
        <item x="721"/>
        <item x="22"/>
        <item x="250"/>
        <item x="526"/>
        <item x="305"/>
        <item x="132"/>
        <item x="222"/>
        <item x="254"/>
        <item x="153"/>
        <item x="267"/>
        <item x="99"/>
        <item x="192"/>
        <item x="723"/>
        <item x="525"/>
        <item x="326"/>
        <item x="496"/>
        <item x="288"/>
        <item x="640"/>
        <item x="713"/>
        <item x="426"/>
        <item x="549"/>
        <item x="611"/>
        <item x="486"/>
        <item x="369"/>
        <item x="106"/>
        <item x="161"/>
        <item x="20"/>
        <item x="502"/>
        <item x="62"/>
        <item x="95"/>
        <item x="76"/>
        <item x="164"/>
        <item x="276"/>
        <item x="649"/>
        <item x="78"/>
        <item x="294"/>
        <item x="146"/>
        <item x="15"/>
        <item x="670"/>
        <item x="8"/>
        <item x="316"/>
        <item x="490"/>
        <item x="284"/>
        <item x="685"/>
        <item x="63"/>
        <item x="523"/>
        <item x="201"/>
        <item x="147"/>
        <item x="505"/>
        <item x="617"/>
        <item x="367"/>
        <item x="687"/>
        <item x="440"/>
        <item x="51"/>
        <item x="733"/>
        <item x="357"/>
        <item x="403"/>
        <item x="374"/>
        <item x="579"/>
        <item x="441"/>
        <item x="176"/>
        <item x="652"/>
        <item x="737"/>
        <item x="466"/>
        <item x="303"/>
        <item x="47"/>
        <item x="518"/>
        <item x="204"/>
        <item x="90"/>
        <item x="239"/>
        <item x="736"/>
        <item x="730"/>
        <item x="682"/>
        <item x="740"/>
        <item x="363"/>
        <item x="607"/>
        <item x="414"/>
        <item x="660"/>
        <item x="472"/>
        <item x="126"/>
        <item x="67"/>
        <item x="330"/>
        <item x="636"/>
        <item x="638"/>
        <item x="545"/>
        <item x="193"/>
        <item x="633"/>
        <item x="7"/>
        <item x="75"/>
        <item x="620"/>
        <item x="588"/>
        <item x="354"/>
        <item x="693"/>
        <item x="39"/>
        <item x="212"/>
        <item x="371"/>
        <item x="3"/>
        <item x="684"/>
        <item x="600"/>
        <item x="688"/>
        <item x="53"/>
        <item x="261"/>
        <item x="706"/>
        <item x="169"/>
        <item x="189"/>
        <item x="618"/>
        <item x="332"/>
        <item x="567"/>
        <item x="497"/>
        <item x="178"/>
        <item x="379"/>
        <item x="632"/>
        <item x="699"/>
        <item x="236"/>
        <item x="235"/>
        <item x="725"/>
        <item x="734"/>
        <item x="674"/>
        <item x="417"/>
        <item x="302"/>
        <item x="18"/>
        <item x="255"/>
        <item x="216"/>
        <item x="691"/>
        <item x="679"/>
        <item x="464"/>
        <item x="386"/>
        <item x="743"/>
        <item x="609"/>
        <item x="263"/>
        <item x="626"/>
        <item x="443"/>
        <item x="49"/>
        <item x="295"/>
        <item x="69"/>
        <item x="231"/>
        <item x="44"/>
        <item x="24"/>
        <item x="598"/>
        <item x="714"/>
        <item x="746"/>
        <item x="56"/>
        <item x="690"/>
        <item x="252"/>
        <item x="319"/>
        <item x="409"/>
        <item x="308"/>
        <item x="398"/>
        <item x="741"/>
        <item x="185"/>
        <item x="493"/>
        <item x="270"/>
        <item x="680"/>
        <item x="412"/>
        <item x="21"/>
        <item x="544"/>
        <item x="66"/>
        <item x="675"/>
        <item x="521"/>
        <item x="500"/>
        <item x="735"/>
        <item x="613"/>
        <item x="127"/>
        <item x="557"/>
        <item x="381"/>
        <item x="200"/>
        <item x="272"/>
        <item x="535"/>
        <item x="228"/>
        <item x="385"/>
        <item x="131"/>
        <item x="599"/>
        <item x="634"/>
        <item x="323"/>
        <item x="110"/>
        <item x="45"/>
        <item x="46"/>
        <item x="480"/>
        <item x="52"/>
        <item x="85"/>
        <item x="606"/>
        <item x="624"/>
        <item x="635"/>
        <item x="287"/>
        <item x="304"/>
        <item x="393"/>
        <item x="133"/>
        <item x="692"/>
        <item x="662"/>
        <item x="298"/>
        <item x="262"/>
        <item x="650"/>
        <item x="152"/>
        <item x="160"/>
        <item x="520"/>
        <item x="167"/>
        <item x="100"/>
        <item x="495"/>
        <item x="70"/>
        <item x="416"/>
        <item x="436"/>
        <item x="183"/>
        <item x="686"/>
        <item x="280"/>
        <item x="510"/>
        <item x="461"/>
        <item x="349"/>
        <item x="482"/>
        <item x="601"/>
        <item x="158"/>
        <item x="491"/>
        <item x="513"/>
        <item x="108"/>
        <item x="240"/>
        <item x="115"/>
        <item x="467"/>
        <item x="578"/>
        <item x="171"/>
        <item x="372"/>
        <item x="149"/>
        <item x="646"/>
        <item x="438"/>
        <item x="623"/>
        <item x="565"/>
        <item x="639"/>
        <item x="728"/>
        <item x="593"/>
        <item x="672"/>
        <item x="368"/>
        <item x="656"/>
        <item x="665"/>
        <item x="707"/>
        <item x="651"/>
        <item x="220"/>
        <item x="445"/>
        <item x="753"/>
        <item x="291"/>
        <item x="328"/>
        <item x="577"/>
        <item x="116"/>
        <item x="724"/>
        <item x="17"/>
        <item x="30"/>
        <item x="536"/>
        <item x="424"/>
        <item x="130"/>
        <item x="165"/>
        <item x="168"/>
        <item x="517"/>
        <item x="470"/>
        <item x="198"/>
        <item x="43"/>
        <item x="209"/>
        <item x="233"/>
        <item x="0"/>
        <item x="446"/>
        <item x="320"/>
        <item x="202"/>
        <item x="175"/>
        <item x="242"/>
        <item x="336"/>
        <item x="553"/>
        <item x="96"/>
        <item x="389"/>
        <item x="219"/>
        <item x="540"/>
        <item x="581"/>
        <item x="489"/>
        <item x="218"/>
        <item x="522"/>
        <item x="463"/>
        <item x="306"/>
        <item x="327"/>
        <item x="72"/>
        <item x="628"/>
        <item x="195"/>
        <item x="322"/>
        <item x="122"/>
        <item x="26"/>
        <item x="602"/>
        <item x="266"/>
        <item x="747"/>
        <item x="224"/>
        <item x="338"/>
        <item x="488"/>
        <item x="246"/>
        <item x="468"/>
        <item x="34"/>
        <item x="247"/>
        <item x="469"/>
        <item x="610"/>
        <item x="643"/>
        <item x="683"/>
        <item x="428"/>
        <item x="711"/>
        <item x="36"/>
        <item x="383"/>
        <item x="508"/>
        <item x="586"/>
        <item x="166"/>
        <item x="527"/>
        <item x="50"/>
        <item x="391"/>
        <item x="647"/>
        <item x="410"/>
        <item x="299"/>
        <item x="744"/>
        <item x="271"/>
        <item x="547"/>
        <item x="221"/>
        <item x="125"/>
        <item x="570"/>
        <item x="615"/>
        <item x="575"/>
        <item x="135"/>
        <item x="275"/>
        <item x="537"/>
        <item x="484"/>
        <item x="404"/>
        <item x="292"/>
        <item x="245"/>
        <item x="238"/>
        <item x="378"/>
        <item x="347"/>
        <item x="585"/>
        <item x="394"/>
        <item x="494"/>
        <item x="694"/>
        <item x="483"/>
        <item x="68"/>
        <item x="453"/>
        <item x="377"/>
        <item x="507"/>
        <item x="529"/>
        <item x="396"/>
        <item x="655"/>
        <item x="435"/>
        <item x="268"/>
        <item x="29"/>
        <item x="87"/>
        <item x="700"/>
        <item x="437"/>
        <item x="16"/>
        <item x="515"/>
        <item x="376"/>
        <item x="83"/>
        <item x="344"/>
        <item x="5"/>
        <item x="648"/>
        <item x="697"/>
        <item x="375"/>
        <item x="356"/>
        <item x="709"/>
        <item x="554"/>
        <item x="485"/>
        <item x="259"/>
        <item x="54"/>
        <item x="145"/>
        <item x="576"/>
        <item x="704"/>
        <item x="249"/>
        <item x="705"/>
        <item x="533"/>
        <item x="580"/>
        <item x="210"/>
        <item x="119"/>
        <item x="729"/>
        <item x="65"/>
        <item x="170"/>
        <item x="560"/>
        <item x="12"/>
        <item x="676"/>
        <item x="206"/>
        <item x="329"/>
        <item x="528"/>
        <item x="591"/>
        <item x="325"/>
        <item x="190"/>
        <item x="350"/>
        <item x="281"/>
        <item x="566"/>
        <item x="538"/>
        <item x="107"/>
        <item x="727"/>
        <item x="524"/>
        <item x="592"/>
        <item x="345"/>
        <item x="608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8" baseField="0" baseItem="0"/>
    <dataField name="Sum of Discount" fld="19" baseField="0" baseItem="0"/>
    <dataField name="Sum of Sales 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3" name="PivotTable2"/>
    <pivotTable tabId="6" name="PivotTable3"/>
    <pivotTable tabId="8" name="PivotTable1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3" name="PivotTable2"/>
    <pivotTable tabId="6" name="PivotTable3"/>
    <pivotTable tabId="8" name="PivotTable1"/>
  </pivotTables>
  <data>
    <tabular pivotCacheId="1">
      <items count="17">
        <i x="12" s="1"/>
        <i x="6" s="1"/>
        <i x="8" s="1"/>
        <i x="5" s="1"/>
        <i x="0" s="1"/>
        <i x="9" s="1"/>
        <i x="16" s="1"/>
        <i x="11" s="1"/>
        <i x="13" s="1"/>
        <i x="3" s="1"/>
        <i x="1" s="1"/>
        <i x="14" s="1"/>
        <i x="4" s="1"/>
        <i x="10" s="1"/>
        <i x="7" s="1"/>
        <i x="15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style="SlicerStyleLight2" rowHeight="225425"/>
  <slicer name="Sub-Category" cache="Slicer_Sub_Category" caption="Sub-Category" style="SlicerStyleLight2" rowHeight="225425"/>
</slicers>
</file>

<file path=xl/tables/table1.xml><?xml version="1.0" encoding="utf-8"?>
<table xmlns="http://schemas.openxmlformats.org/spreadsheetml/2006/main" id="1" name="Table1" displayName="Table1" ref="A1:U794" totalsRowShown="0">
  <autoFilter xmlns:etc="http://www.wps.cn/officeDocument/2017/etCustomData" ref="A1:U794" etc:filterBottomFollowUsedRange="0"/>
  <tableColumns count="21">
    <tableColumn id="1" name="Row ID" dataDxfId="0"/>
    <tableColumn id="2" name="State"/>
    <tableColumn id="3" name="Order Date" dataDxfId="1"/>
    <tableColumn id="4" name="Ship Date" dataDxfId="2"/>
    <tableColumn id="5" name="Ship Mode"/>
    <tableColumn id="6" name="Customer ID" dataDxfId="3"/>
    <tableColumn id="7" name="Customer Name"/>
    <tableColumn id="8" name="Segment"/>
    <tableColumn id="9" name="Country"/>
    <tableColumn id="10" name="City"/>
    <tableColumn id="11" name="State2"/>
    <tableColumn id="12" name="Postal Code" dataDxfId="4"/>
    <tableColumn id="13" name="Region"/>
    <tableColumn id="14" name="Product ID" dataDxfId="5"/>
    <tableColumn id="15" name="Category"/>
    <tableColumn id="16" name="Sub-Category"/>
    <tableColumn id="17" name="Product Name"/>
    <tableColumn id="18" name="Sales " dataDxfId="6"/>
    <tableColumn id="19" name="Quantity" dataDxfId="7"/>
    <tableColumn id="20" name="Discount" dataDxfId="8"/>
    <tableColumn id="21" name="Profit" dataDxfId="9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F14"/>
  <sheetViews>
    <sheetView topLeftCell="A2" workbookViewId="0">
      <selection activeCell="G13" sqref="G13"/>
    </sheetView>
  </sheetViews>
  <sheetFormatPr defaultColWidth="8.88888888888889" defaultRowHeight="14.4" outlineLevelCol="5"/>
  <cols>
    <col min="1" max="1" width="11.6666666666667"/>
    <col min="2" max="8" width="16.1111111111111"/>
    <col min="9" max="13" width="16.5555555555556"/>
    <col min="14" max="14" width="17.8888888888889"/>
    <col min="15" max="15" width="21.4444444444444"/>
    <col min="16" max="16" width="21.7777777777778"/>
    <col min="17" max="17" width="20.6666666666667"/>
    <col min="18" max="18" width="17.8888888888889"/>
    <col min="19" max="19" width="21.4444444444444"/>
    <col min="20" max="20" width="21.7777777777778"/>
    <col min="21" max="21" width="20.6666666666667"/>
  </cols>
  <sheetData>
    <row r="7" spans="1:2">
      <c r="A7" t="s">
        <v>0</v>
      </c>
      <c r="B7" t="s">
        <v>1</v>
      </c>
    </row>
    <row r="9" spans="1:6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</row>
    <row r="10" spans="1:6">
      <c r="A10" t="s">
        <v>8</v>
      </c>
      <c r="B10">
        <v>40825.4388</v>
      </c>
      <c r="C10">
        <v>41.82</v>
      </c>
      <c r="D10">
        <v>2647.1558</v>
      </c>
      <c r="E10">
        <v>221.877384782609</v>
      </c>
      <c r="F10">
        <v>715</v>
      </c>
    </row>
    <row r="11" spans="1:6">
      <c r="A11" t="s">
        <v>9</v>
      </c>
      <c r="B11">
        <v>50894.336</v>
      </c>
      <c r="C11">
        <v>32.1</v>
      </c>
      <c r="D11">
        <v>6235.8894</v>
      </c>
      <c r="E11">
        <v>231.337890909091</v>
      </c>
      <c r="F11">
        <v>781</v>
      </c>
    </row>
    <row r="12" spans="1:6">
      <c r="A12" t="s">
        <v>10</v>
      </c>
      <c r="B12">
        <v>34507.072</v>
      </c>
      <c r="C12">
        <v>20.2</v>
      </c>
      <c r="D12">
        <v>388.9234</v>
      </c>
      <c r="E12">
        <v>257.515462686567</v>
      </c>
      <c r="F12">
        <v>480</v>
      </c>
    </row>
    <row r="13" spans="1:6">
      <c r="A13" t="s">
        <v>11</v>
      </c>
      <c r="B13">
        <v>42225.007</v>
      </c>
      <c r="C13">
        <v>30.1499999999999</v>
      </c>
      <c r="D13">
        <v>5362.767</v>
      </c>
      <c r="E13">
        <v>165.588262745098</v>
      </c>
      <c r="F13">
        <v>901</v>
      </c>
    </row>
    <row r="14" spans="1:6">
      <c r="A14" t="s">
        <v>12</v>
      </c>
      <c r="B14">
        <v>168451.8538</v>
      </c>
      <c r="C14">
        <v>124.27</v>
      </c>
      <c r="D14">
        <v>14634.7356</v>
      </c>
      <c r="E14">
        <v>212.423523076923</v>
      </c>
      <c r="F14">
        <v>2877</v>
      </c>
    </row>
  </sheetData>
  <pageMargins left="0.75" right="0.75" top="1" bottom="1" header="0.5" footer="0.5"/>
  <pageSetup paperSize="1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9" sqref="B9"/>
    </sheetView>
  </sheetViews>
  <sheetFormatPr defaultColWidth="8.88888888888889" defaultRowHeight="14.4" outlineLevelCol="1"/>
  <cols>
    <col min="1" max="1" width="12.2222222222222"/>
    <col min="2" max="4" width="15.8888888888889"/>
    <col min="5" max="6" width="11.4444444444444"/>
    <col min="7" max="7" width="18.4444444444444"/>
    <col min="8" max="8" width="23.6666666666667"/>
    <col min="9" max="9" width="20.6666666666667"/>
  </cols>
  <sheetData>
    <row r="3" spans="1:2">
      <c r="A3" t="s">
        <v>2</v>
      </c>
      <c r="B3" t="s">
        <v>1</v>
      </c>
    </row>
    <row r="4" spans="1:2">
      <c r="A4" t="s">
        <v>13</v>
      </c>
      <c r="B4" t="s">
        <v>1</v>
      </c>
    </row>
    <row r="6" spans="1:2">
      <c r="A6" t="s">
        <v>14</v>
      </c>
      <c r="B6" t="s">
        <v>15</v>
      </c>
    </row>
    <row r="7" spans="1:2">
      <c r="A7" t="s">
        <v>16</v>
      </c>
      <c r="B7">
        <v>409</v>
      </c>
    </row>
    <row r="8" spans="1:2">
      <c r="A8" t="s">
        <v>17</v>
      </c>
      <c r="B8">
        <v>236</v>
      </c>
    </row>
    <row r="9" spans="1:2">
      <c r="A9" t="s">
        <v>18</v>
      </c>
      <c r="B9">
        <v>148</v>
      </c>
    </row>
    <row r="10" spans="1:2">
      <c r="A10" t="s">
        <v>12</v>
      </c>
      <c r="B10">
        <v>793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E19" sqref="E19"/>
    </sheetView>
  </sheetViews>
  <sheetFormatPr defaultColWidth="8.88888888888889" defaultRowHeight="14.4" outlineLevelRow="6" outlineLevelCol="3"/>
  <cols>
    <col min="1" max="1" width="14.1111111111111"/>
    <col min="2" max="4" width="15.5555555555556"/>
  </cols>
  <sheetData>
    <row r="3" spans="1:4">
      <c r="A3" t="s">
        <v>19</v>
      </c>
      <c r="B3" t="s">
        <v>7</v>
      </c>
      <c r="C3" t="s">
        <v>4</v>
      </c>
      <c r="D3" t="s">
        <v>3</v>
      </c>
    </row>
    <row r="4" spans="1:4">
      <c r="A4" t="s">
        <v>20</v>
      </c>
      <c r="B4">
        <v>636</v>
      </c>
      <c r="C4">
        <v>27.77</v>
      </c>
      <c r="D4">
        <v>53148.0978</v>
      </c>
    </row>
    <row r="5" spans="1:4">
      <c r="A5" t="s">
        <v>21</v>
      </c>
      <c r="B5">
        <v>1749</v>
      </c>
      <c r="C5">
        <v>78.5000000000003</v>
      </c>
      <c r="D5">
        <v>45556.807</v>
      </c>
    </row>
    <row r="6" spans="1:4">
      <c r="A6" t="s">
        <v>22</v>
      </c>
      <c r="B6">
        <v>492</v>
      </c>
      <c r="C6">
        <v>18</v>
      </c>
      <c r="D6">
        <v>69746.949</v>
      </c>
    </row>
    <row r="7" spans="1:4">
      <c r="A7" t="s">
        <v>12</v>
      </c>
      <c r="B7">
        <v>2877</v>
      </c>
      <c r="C7">
        <v>124.27</v>
      </c>
      <c r="D7">
        <v>168451.8538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pane ySplit="1" topLeftCell="A2" activePane="bottomLeft" state="frozen"/>
      <selection/>
      <selection pane="bottomLeft" activeCell="B771" sqref="B771"/>
    </sheetView>
  </sheetViews>
  <sheetFormatPr defaultColWidth="10" defaultRowHeight="14.4"/>
  <cols>
    <col min="1" max="1" width="7.55555555555556" style="31" customWidth="1"/>
    <col min="2" max="2" width="15.8888888888889" customWidth="1"/>
    <col min="3" max="4" width="11.1111111111111" style="32" customWidth="1"/>
    <col min="5" max="5" width="13.8888888888889" customWidth="1"/>
    <col min="6" max="6" width="12" style="33" customWidth="1"/>
    <col min="7" max="7" width="22.2222222222222" customWidth="1"/>
    <col min="8" max="8" width="12.2222222222222" customWidth="1"/>
    <col min="9" max="9" width="12.8888888888889" customWidth="1"/>
    <col min="10" max="11" width="18.7777777777778" customWidth="1"/>
    <col min="12" max="12" width="11.5555555555556" style="31" customWidth="1"/>
    <col min="13" max="13" width="7.55555555555556" customWidth="1"/>
    <col min="14" max="14" width="17.7777777777778" style="33" customWidth="1"/>
    <col min="15" max="15" width="14.1111111111111" customWidth="1"/>
    <col min="16" max="16" width="12.8888888888889" customWidth="1"/>
    <col min="17" max="17" width="119" customWidth="1"/>
    <col min="18" max="18" width="10.6666666666667" style="34" customWidth="1"/>
    <col min="19" max="19" width="8.66666666666667" style="31" customWidth="1"/>
    <col min="20" max="20" width="8.77777777777778" style="35" customWidth="1"/>
    <col min="21" max="21" width="11.7777777777778" style="31" customWidth="1"/>
  </cols>
  <sheetData>
    <row r="1" spans="1:21">
      <c r="A1" s="31" t="s">
        <v>23</v>
      </c>
      <c r="B1" t="s">
        <v>24</v>
      </c>
      <c r="C1" s="32" t="s">
        <v>25</v>
      </c>
      <c r="D1" s="32" t="s">
        <v>26</v>
      </c>
      <c r="E1" t="s">
        <v>27</v>
      </c>
      <c r="F1" s="33" t="s">
        <v>28</v>
      </c>
      <c r="G1" t="s">
        <v>29</v>
      </c>
      <c r="H1" t="s">
        <v>14</v>
      </c>
      <c r="I1" t="s">
        <v>30</v>
      </c>
      <c r="J1" t="s">
        <v>31</v>
      </c>
      <c r="K1" t="s">
        <v>0</v>
      </c>
      <c r="L1" s="31" t="s">
        <v>13</v>
      </c>
      <c r="M1" t="s">
        <v>2</v>
      </c>
      <c r="N1" s="33" t="s">
        <v>32</v>
      </c>
      <c r="O1" t="s">
        <v>19</v>
      </c>
      <c r="P1" t="s">
        <v>33</v>
      </c>
      <c r="Q1" t="s">
        <v>34</v>
      </c>
      <c r="R1" s="34" t="s">
        <v>35</v>
      </c>
      <c r="S1" s="31" t="s">
        <v>36</v>
      </c>
      <c r="T1" s="35" t="s">
        <v>37</v>
      </c>
      <c r="U1" s="31" t="s">
        <v>38</v>
      </c>
    </row>
    <row r="2" spans="1:21">
      <c r="A2" s="31">
        <v>1</v>
      </c>
      <c r="B2" t="s">
        <v>39</v>
      </c>
      <c r="C2" s="32">
        <v>42682</v>
      </c>
      <c r="D2" s="32">
        <v>42685</v>
      </c>
      <c r="E2" t="s">
        <v>40</v>
      </c>
      <c r="F2" s="33" t="s">
        <v>41</v>
      </c>
      <c r="G2" t="s">
        <v>42</v>
      </c>
      <c r="H2" t="s">
        <v>16</v>
      </c>
      <c r="I2" t="s">
        <v>43</v>
      </c>
      <c r="J2" t="s">
        <v>44</v>
      </c>
      <c r="K2" t="s">
        <v>45</v>
      </c>
      <c r="L2" s="31">
        <v>42420</v>
      </c>
      <c r="M2" t="s">
        <v>10</v>
      </c>
      <c r="N2" s="33" t="s">
        <v>46</v>
      </c>
      <c r="O2" t="s">
        <v>20</v>
      </c>
      <c r="P2" t="s">
        <v>47</v>
      </c>
      <c r="Q2" t="s">
        <v>48</v>
      </c>
      <c r="R2" s="34">
        <v>261.96</v>
      </c>
      <c r="S2" s="31">
        <v>2</v>
      </c>
      <c r="T2" s="35">
        <v>0</v>
      </c>
      <c r="U2" s="31">
        <v>41.9136</v>
      </c>
    </row>
    <row r="3" spans="1:21">
      <c r="A3" s="31">
        <v>2</v>
      </c>
      <c r="B3" t="s">
        <v>39</v>
      </c>
      <c r="C3" s="32">
        <v>42533</v>
      </c>
      <c r="D3" s="32">
        <v>42537</v>
      </c>
      <c r="E3" t="s">
        <v>40</v>
      </c>
      <c r="F3" s="33" t="s">
        <v>49</v>
      </c>
      <c r="G3" t="s">
        <v>50</v>
      </c>
      <c r="H3" t="s">
        <v>17</v>
      </c>
      <c r="I3" t="s">
        <v>43</v>
      </c>
      <c r="J3" t="s">
        <v>51</v>
      </c>
      <c r="K3" t="s">
        <v>52</v>
      </c>
      <c r="L3" s="31">
        <v>90036</v>
      </c>
      <c r="M3" t="s">
        <v>11</v>
      </c>
      <c r="N3" s="33" t="s">
        <v>53</v>
      </c>
      <c r="O3" t="s">
        <v>21</v>
      </c>
      <c r="P3" t="s">
        <v>54</v>
      </c>
      <c r="Q3" t="s">
        <v>55</v>
      </c>
      <c r="R3" s="34">
        <v>14.62</v>
      </c>
      <c r="S3" s="31">
        <v>2</v>
      </c>
      <c r="T3" s="35">
        <v>0</v>
      </c>
      <c r="U3" s="31">
        <v>6.8714</v>
      </c>
    </row>
    <row r="4" spans="1:21">
      <c r="A4" s="31">
        <v>3</v>
      </c>
      <c r="B4" t="s">
        <v>56</v>
      </c>
      <c r="C4" s="32">
        <v>42288</v>
      </c>
      <c r="D4" s="32">
        <v>42295</v>
      </c>
      <c r="E4" t="s">
        <v>57</v>
      </c>
      <c r="F4" s="33" t="s">
        <v>58</v>
      </c>
      <c r="G4" t="s">
        <v>59</v>
      </c>
      <c r="H4" t="s">
        <v>16</v>
      </c>
      <c r="I4" t="s">
        <v>43</v>
      </c>
      <c r="J4" t="s">
        <v>60</v>
      </c>
      <c r="K4" t="s">
        <v>61</v>
      </c>
      <c r="L4" s="31">
        <v>33311</v>
      </c>
      <c r="M4" t="s">
        <v>10</v>
      </c>
      <c r="N4" s="33" t="s">
        <v>62</v>
      </c>
      <c r="O4" t="s">
        <v>20</v>
      </c>
      <c r="P4" t="s">
        <v>63</v>
      </c>
      <c r="Q4" t="s">
        <v>64</v>
      </c>
      <c r="R4" s="34">
        <v>957.5775</v>
      </c>
      <c r="S4" s="31">
        <v>5</v>
      </c>
      <c r="T4" s="35">
        <v>0.45</v>
      </c>
      <c r="U4" s="31">
        <v>-383.031</v>
      </c>
    </row>
    <row r="5" spans="1:21">
      <c r="A5" s="31">
        <v>4</v>
      </c>
      <c r="B5" t="s">
        <v>39</v>
      </c>
      <c r="C5" s="32">
        <v>41799</v>
      </c>
      <c r="D5" s="32">
        <v>41804</v>
      </c>
      <c r="E5" t="s">
        <v>57</v>
      </c>
      <c r="F5" s="33" t="s">
        <v>65</v>
      </c>
      <c r="G5" t="s">
        <v>66</v>
      </c>
      <c r="H5" t="s">
        <v>16</v>
      </c>
      <c r="I5" t="s">
        <v>43</v>
      </c>
      <c r="J5" t="s">
        <v>51</v>
      </c>
      <c r="K5" t="s">
        <v>52</v>
      </c>
      <c r="L5" s="31">
        <v>90032</v>
      </c>
      <c r="M5" t="s">
        <v>11</v>
      </c>
      <c r="N5" s="33" t="s">
        <v>67</v>
      </c>
      <c r="O5" t="s">
        <v>20</v>
      </c>
      <c r="P5" t="s">
        <v>68</v>
      </c>
      <c r="Q5" t="s">
        <v>69</v>
      </c>
      <c r="R5" s="34">
        <v>48.86</v>
      </c>
      <c r="S5" s="31">
        <v>7</v>
      </c>
      <c r="T5" s="35">
        <v>0</v>
      </c>
      <c r="U5" s="31">
        <v>14.1694</v>
      </c>
    </row>
    <row r="6" spans="1:21">
      <c r="A6" s="31">
        <v>5</v>
      </c>
      <c r="B6" t="s">
        <v>39</v>
      </c>
      <c r="C6" s="32">
        <v>42840</v>
      </c>
      <c r="D6" s="32">
        <v>42845</v>
      </c>
      <c r="E6" t="s">
        <v>57</v>
      </c>
      <c r="F6" s="33" t="s">
        <v>70</v>
      </c>
      <c r="G6" t="s">
        <v>71</v>
      </c>
      <c r="H6" t="s">
        <v>16</v>
      </c>
      <c r="I6" t="s">
        <v>43</v>
      </c>
      <c r="J6" t="s">
        <v>72</v>
      </c>
      <c r="K6" t="s">
        <v>73</v>
      </c>
      <c r="L6" s="31">
        <v>28027</v>
      </c>
      <c r="M6" t="s">
        <v>10</v>
      </c>
      <c r="N6" s="33" t="s">
        <v>74</v>
      </c>
      <c r="O6" t="s">
        <v>21</v>
      </c>
      <c r="P6" t="s">
        <v>75</v>
      </c>
      <c r="Q6" t="s">
        <v>76</v>
      </c>
      <c r="R6" s="34">
        <v>15.552</v>
      </c>
      <c r="S6" s="31">
        <v>3</v>
      </c>
      <c r="T6" s="35">
        <v>0.2</v>
      </c>
      <c r="U6" s="31">
        <v>5.4432</v>
      </c>
    </row>
    <row r="7" spans="1:21">
      <c r="A7" s="31">
        <v>6</v>
      </c>
      <c r="B7" t="s">
        <v>39</v>
      </c>
      <c r="C7" s="32">
        <v>42709</v>
      </c>
      <c r="D7" s="32">
        <v>42714</v>
      </c>
      <c r="E7" t="s">
        <v>57</v>
      </c>
      <c r="F7" s="33" t="s">
        <v>77</v>
      </c>
      <c r="G7" t="s">
        <v>78</v>
      </c>
      <c r="H7" t="s">
        <v>16</v>
      </c>
      <c r="I7" t="s">
        <v>43</v>
      </c>
      <c r="J7" t="s">
        <v>79</v>
      </c>
      <c r="K7" t="s">
        <v>80</v>
      </c>
      <c r="L7" s="31">
        <v>98103</v>
      </c>
      <c r="M7" t="s">
        <v>11</v>
      </c>
      <c r="N7" s="33" t="s">
        <v>81</v>
      </c>
      <c r="O7" t="s">
        <v>21</v>
      </c>
      <c r="P7" t="s">
        <v>82</v>
      </c>
      <c r="Q7" t="s">
        <v>83</v>
      </c>
      <c r="R7" s="34">
        <v>407.976</v>
      </c>
      <c r="S7" s="31">
        <v>3</v>
      </c>
      <c r="T7" s="35">
        <v>0.2</v>
      </c>
      <c r="U7" s="31">
        <v>132.5922</v>
      </c>
    </row>
    <row r="8" spans="1:21">
      <c r="A8" s="31">
        <v>7</v>
      </c>
      <c r="B8" t="s">
        <v>56</v>
      </c>
      <c r="C8" s="32">
        <v>42330</v>
      </c>
      <c r="D8" s="32">
        <v>42334</v>
      </c>
      <c r="E8" t="s">
        <v>57</v>
      </c>
      <c r="F8" s="33" t="s">
        <v>84</v>
      </c>
      <c r="G8" t="s">
        <v>85</v>
      </c>
      <c r="H8" t="s">
        <v>18</v>
      </c>
      <c r="I8" t="s">
        <v>43</v>
      </c>
      <c r="J8" t="s">
        <v>86</v>
      </c>
      <c r="K8" t="s">
        <v>87</v>
      </c>
      <c r="L8" s="31">
        <v>76106</v>
      </c>
      <c r="M8" t="s">
        <v>8</v>
      </c>
      <c r="N8" s="33" t="s">
        <v>88</v>
      </c>
      <c r="O8" t="s">
        <v>21</v>
      </c>
      <c r="P8" t="s">
        <v>89</v>
      </c>
      <c r="Q8" t="s">
        <v>90</v>
      </c>
      <c r="R8" s="34">
        <v>68.81</v>
      </c>
      <c r="S8" s="31">
        <v>5</v>
      </c>
      <c r="T8" s="35">
        <v>0.8</v>
      </c>
      <c r="U8" s="31">
        <v>-123.858</v>
      </c>
    </row>
    <row r="9" spans="1:21">
      <c r="A9" s="31">
        <v>8</v>
      </c>
      <c r="B9" t="s">
        <v>39</v>
      </c>
      <c r="C9" s="32">
        <v>41954</v>
      </c>
      <c r="D9" s="32">
        <v>41961</v>
      </c>
      <c r="E9" t="s">
        <v>57</v>
      </c>
      <c r="F9" s="33" t="s">
        <v>91</v>
      </c>
      <c r="G9" t="s">
        <v>92</v>
      </c>
      <c r="H9" t="s">
        <v>16</v>
      </c>
      <c r="I9" t="s">
        <v>43</v>
      </c>
      <c r="J9" t="s">
        <v>93</v>
      </c>
      <c r="K9" t="s">
        <v>94</v>
      </c>
      <c r="L9" s="31">
        <v>53711</v>
      </c>
      <c r="M9" t="s">
        <v>8</v>
      </c>
      <c r="N9" s="33" t="s">
        <v>95</v>
      </c>
      <c r="O9" t="s">
        <v>21</v>
      </c>
      <c r="P9" t="s">
        <v>96</v>
      </c>
      <c r="Q9" t="s">
        <v>97</v>
      </c>
      <c r="R9" s="34">
        <v>665.88</v>
      </c>
      <c r="S9" s="31">
        <v>6</v>
      </c>
      <c r="T9" s="35">
        <v>0</v>
      </c>
      <c r="U9" s="31">
        <v>13.3176</v>
      </c>
    </row>
    <row r="10" spans="1:21">
      <c r="A10" s="31">
        <v>9</v>
      </c>
      <c r="B10" t="s">
        <v>39</v>
      </c>
      <c r="C10" s="32">
        <v>41772</v>
      </c>
      <c r="D10" s="32">
        <v>41774</v>
      </c>
      <c r="E10" t="s">
        <v>40</v>
      </c>
      <c r="F10" s="33" t="s">
        <v>98</v>
      </c>
      <c r="G10" t="s">
        <v>99</v>
      </c>
      <c r="H10" t="s">
        <v>16</v>
      </c>
      <c r="I10" t="s">
        <v>43</v>
      </c>
      <c r="J10" t="s">
        <v>100</v>
      </c>
      <c r="K10" t="s">
        <v>101</v>
      </c>
      <c r="L10" s="31">
        <v>84084</v>
      </c>
      <c r="M10" t="s">
        <v>11</v>
      </c>
      <c r="N10" s="33" t="s">
        <v>102</v>
      </c>
      <c r="O10" t="s">
        <v>21</v>
      </c>
      <c r="P10" t="s">
        <v>96</v>
      </c>
      <c r="Q10" t="s">
        <v>103</v>
      </c>
      <c r="R10" s="34">
        <v>55.5</v>
      </c>
      <c r="S10" s="31">
        <v>2</v>
      </c>
      <c r="T10" s="35">
        <v>0</v>
      </c>
      <c r="U10" s="31">
        <v>9.99</v>
      </c>
    </row>
    <row r="11" spans="1:21">
      <c r="A11" s="31">
        <v>10</v>
      </c>
      <c r="B11" t="s">
        <v>39</v>
      </c>
      <c r="C11" s="32">
        <v>41878</v>
      </c>
      <c r="D11" s="32">
        <v>41883</v>
      </c>
      <c r="E11" t="s">
        <v>40</v>
      </c>
      <c r="F11" s="33" t="s">
        <v>104</v>
      </c>
      <c r="G11" t="s">
        <v>105</v>
      </c>
      <c r="H11" t="s">
        <v>16</v>
      </c>
      <c r="I11" t="s">
        <v>43</v>
      </c>
      <c r="J11" t="s">
        <v>106</v>
      </c>
      <c r="K11" t="s">
        <v>52</v>
      </c>
      <c r="L11" s="31">
        <v>94109</v>
      </c>
      <c r="M11" t="s">
        <v>11</v>
      </c>
      <c r="N11" s="33" t="s">
        <v>107</v>
      </c>
      <c r="O11" t="s">
        <v>21</v>
      </c>
      <c r="P11" t="s">
        <v>108</v>
      </c>
      <c r="Q11" t="s">
        <v>109</v>
      </c>
      <c r="R11" s="34">
        <v>8.56</v>
      </c>
      <c r="S11" s="31">
        <v>2</v>
      </c>
      <c r="T11" s="35">
        <v>0</v>
      </c>
      <c r="U11" s="31">
        <v>2.4824</v>
      </c>
    </row>
    <row r="12" spans="1:21">
      <c r="A12" s="31">
        <v>11</v>
      </c>
      <c r="B12" t="s">
        <v>39</v>
      </c>
      <c r="C12" s="32">
        <v>42713</v>
      </c>
      <c r="D12" s="32">
        <v>42717</v>
      </c>
      <c r="E12" t="s">
        <v>57</v>
      </c>
      <c r="F12" s="33" t="s">
        <v>110</v>
      </c>
      <c r="G12" t="s">
        <v>111</v>
      </c>
      <c r="H12" t="s">
        <v>17</v>
      </c>
      <c r="I12" t="s">
        <v>43</v>
      </c>
      <c r="J12" t="s">
        <v>112</v>
      </c>
      <c r="K12" t="s">
        <v>113</v>
      </c>
      <c r="L12" s="31">
        <v>68025</v>
      </c>
      <c r="M12" t="s">
        <v>8</v>
      </c>
      <c r="N12" s="33" t="s">
        <v>114</v>
      </c>
      <c r="O12" t="s">
        <v>21</v>
      </c>
      <c r="P12" t="s">
        <v>108</v>
      </c>
      <c r="Q12" t="s">
        <v>115</v>
      </c>
      <c r="R12" s="34">
        <v>19.46</v>
      </c>
      <c r="S12" s="31">
        <v>7</v>
      </c>
      <c r="T12" s="35">
        <v>0</v>
      </c>
      <c r="U12" s="31">
        <v>5.0596</v>
      </c>
    </row>
    <row r="13" spans="1:21">
      <c r="A13" s="31">
        <v>12</v>
      </c>
      <c r="B13" t="s">
        <v>56</v>
      </c>
      <c r="C13" s="32">
        <v>42932</v>
      </c>
      <c r="D13" s="32">
        <v>42934</v>
      </c>
      <c r="E13" t="s">
        <v>40</v>
      </c>
      <c r="F13" s="33" t="s">
        <v>116</v>
      </c>
      <c r="G13" t="s">
        <v>117</v>
      </c>
      <c r="H13" t="s">
        <v>16</v>
      </c>
      <c r="I13" t="s">
        <v>43</v>
      </c>
      <c r="J13" t="s">
        <v>118</v>
      </c>
      <c r="K13" t="s">
        <v>119</v>
      </c>
      <c r="L13" s="31">
        <v>19140</v>
      </c>
      <c r="M13" t="s">
        <v>9</v>
      </c>
      <c r="N13" s="33" t="s">
        <v>120</v>
      </c>
      <c r="O13" t="s">
        <v>20</v>
      </c>
      <c r="P13" t="s">
        <v>121</v>
      </c>
      <c r="Q13" t="s">
        <v>122</v>
      </c>
      <c r="R13" s="34">
        <v>71.372</v>
      </c>
      <c r="S13" s="31">
        <v>2</v>
      </c>
      <c r="T13" s="35">
        <v>0.3</v>
      </c>
      <c r="U13" s="31">
        <v>-1.0196</v>
      </c>
    </row>
    <row r="14" spans="1:21">
      <c r="A14" s="31">
        <v>13</v>
      </c>
      <c r="B14" t="s">
        <v>39</v>
      </c>
      <c r="C14" s="32">
        <v>42272</v>
      </c>
      <c r="D14" s="32">
        <v>42277</v>
      </c>
      <c r="E14" t="s">
        <v>57</v>
      </c>
      <c r="F14" s="33" t="s">
        <v>123</v>
      </c>
      <c r="G14" t="s">
        <v>124</v>
      </c>
      <c r="H14" t="s">
        <v>16</v>
      </c>
      <c r="I14" t="s">
        <v>43</v>
      </c>
      <c r="J14" t="s">
        <v>125</v>
      </c>
      <c r="K14" t="s">
        <v>101</v>
      </c>
      <c r="L14" s="31">
        <v>84057</v>
      </c>
      <c r="M14" t="s">
        <v>11</v>
      </c>
      <c r="N14" s="33" t="s">
        <v>62</v>
      </c>
      <c r="O14" t="s">
        <v>20</v>
      </c>
      <c r="P14" t="s">
        <v>63</v>
      </c>
      <c r="Q14" t="s">
        <v>64</v>
      </c>
      <c r="R14" s="34">
        <v>1044.63</v>
      </c>
      <c r="S14" s="31">
        <v>3</v>
      </c>
      <c r="T14" s="35">
        <v>0</v>
      </c>
      <c r="U14" s="31">
        <v>240.2649</v>
      </c>
    </row>
    <row r="15" spans="1:21">
      <c r="A15" s="31">
        <v>14</v>
      </c>
      <c r="B15" t="s">
        <v>39</v>
      </c>
      <c r="C15" s="32">
        <v>42385</v>
      </c>
      <c r="D15" s="32">
        <v>42389</v>
      </c>
      <c r="E15" t="s">
        <v>40</v>
      </c>
      <c r="F15" s="33" t="s">
        <v>126</v>
      </c>
      <c r="G15" t="s">
        <v>127</v>
      </c>
      <c r="H15" t="s">
        <v>16</v>
      </c>
      <c r="I15" t="s">
        <v>43</v>
      </c>
      <c r="J15" t="s">
        <v>51</v>
      </c>
      <c r="K15" t="s">
        <v>52</v>
      </c>
      <c r="L15" s="31">
        <v>90049</v>
      </c>
      <c r="M15" t="s">
        <v>11</v>
      </c>
      <c r="N15" s="33" t="s">
        <v>128</v>
      </c>
      <c r="O15" t="s">
        <v>21</v>
      </c>
      <c r="P15" t="s">
        <v>82</v>
      </c>
      <c r="Q15" t="s">
        <v>129</v>
      </c>
      <c r="R15" s="34">
        <v>11.648</v>
      </c>
      <c r="S15" s="31">
        <v>2</v>
      </c>
      <c r="T15" s="35">
        <v>0.2</v>
      </c>
      <c r="U15" s="31">
        <v>4.2224</v>
      </c>
    </row>
    <row r="16" spans="1:21">
      <c r="A16" s="31">
        <v>15</v>
      </c>
      <c r="B16" t="s">
        <v>56</v>
      </c>
      <c r="C16" s="32">
        <v>42264</v>
      </c>
      <c r="D16" s="32">
        <v>42268</v>
      </c>
      <c r="E16" t="s">
        <v>57</v>
      </c>
      <c r="F16" s="33" t="s">
        <v>130</v>
      </c>
      <c r="G16" t="s">
        <v>131</v>
      </c>
      <c r="H16" t="s">
        <v>16</v>
      </c>
      <c r="I16" t="s">
        <v>43</v>
      </c>
      <c r="J16" t="s">
        <v>118</v>
      </c>
      <c r="K16" t="s">
        <v>119</v>
      </c>
      <c r="L16" s="31">
        <v>19140</v>
      </c>
      <c r="M16" t="s">
        <v>9</v>
      </c>
      <c r="N16" s="33" t="s">
        <v>132</v>
      </c>
      <c r="O16" t="s">
        <v>20</v>
      </c>
      <c r="P16" t="s">
        <v>47</v>
      </c>
      <c r="Q16" t="s">
        <v>133</v>
      </c>
      <c r="R16" s="34">
        <v>3083.43</v>
      </c>
      <c r="S16" s="31">
        <v>7</v>
      </c>
      <c r="T16" s="35">
        <v>0.5</v>
      </c>
      <c r="U16" s="31">
        <v>-1665.0522</v>
      </c>
    </row>
    <row r="17" spans="1:21">
      <c r="A17" s="31">
        <v>16</v>
      </c>
      <c r="B17" t="s">
        <v>39</v>
      </c>
      <c r="C17" s="32">
        <v>43027</v>
      </c>
      <c r="D17" s="32">
        <v>43031</v>
      </c>
      <c r="E17" t="s">
        <v>40</v>
      </c>
      <c r="F17" s="33" t="s">
        <v>134</v>
      </c>
      <c r="G17" t="s">
        <v>135</v>
      </c>
      <c r="H17" t="s">
        <v>18</v>
      </c>
      <c r="I17" t="s">
        <v>43</v>
      </c>
      <c r="J17" t="s">
        <v>136</v>
      </c>
      <c r="K17" t="s">
        <v>87</v>
      </c>
      <c r="L17" s="31">
        <v>77095</v>
      </c>
      <c r="M17" t="s">
        <v>8</v>
      </c>
      <c r="N17" s="33" t="s">
        <v>137</v>
      </c>
      <c r="O17" t="s">
        <v>21</v>
      </c>
      <c r="P17" t="s">
        <v>75</v>
      </c>
      <c r="Q17" t="s">
        <v>138</v>
      </c>
      <c r="R17" s="34">
        <v>29.472</v>
      </c>
      <c r="S17" s="31">
        <v>3</v>
      </c>
      <c r="T17" s="35">
        <v>0.2</v>
      </c>
      <c r="U17" s="31">
        <v>9.9468</v>
      </c>
    </row>
    <row r="18" spans="1:21">
      <c r="A18" s="31">
        <v>17</v>
      </c>
      <c r="B18" t="s">
        <v>39</v>
      </c>
      <c r="C18" s="32">
        <v>42712</v>
      </c>
      <c r="D18" s="32">
        <v>42714</v>
      </c>
      <c r="E18" t="s">
        <v>139</v>
      </c>
      <c r="F18" s="33" t="s">
        <v>140</v>
      </c>
      <c r="G18" t="s">
        <v>141</v>
      </c>
      <c r="H18" t="s">
        <v>17</v>
      </c>
      <c r="I18" t="s">
        <v>43</v>
      </c>
      <c r="J18" t="s">
        <v>142</v>
      </c>
      <c r="K18" t="s">
        <v>87</v>
      </c>
      <c r="L18" s="31">
        <v>75080</v>
      </c>
      <c r="M18" t="s">
        <v>8</v>
      </c>
      <c r="N18" s="33" t="s">
        <v>143</v>
      </c>
      <c r="O18" t="s">
        <v>22</v>
      </c>
      <c r="P18" t="s">
        <v>144</v>
      </c>
      <c r="Q18" t="s">
        <v>145</v>
      </c>
      <c r="R18" s="34">
        <v>1097.544</v>
      </c>
      <c r="S18" s="31">
        <v>7</v>
      </c>
      <c r="T18" s="35">
        <v>0.2</v>
      </c>
      <c r="U18" s="31">
        <v>123.4737</v>
      </c>
    </row>
    <row r="19" spans="1:21">
      <c r="A19" s="31">
        <v>18</v>
      </c>
      <c r="B19" t="s">
        <v>39</v>
      </c>
      <c r="C19" s="32">
        <v>42365</v>
      </c>
      <c r="D19" s="32">
        <v>42369</v>
      </c>
      <c r="E19" t="s">
        <v>57</v>
      </c>
      <c r="F19" s="33" t="s">
        <v>146</v>
      </c>
      <c r="G19" t="s">
        <v>147</v>
      </c>
      <c r="H19" t="s">
        <v>18</v>
      </c>
      <c r="I19" t="s">
        <v>43</v>
      </c>
      <c r="J19" t="s">
        <v>136</v>
      </c>
      <c r="K19" t="s">
        <v>87</v>
      </c>
      <c r="L19" s="31">
        <v>77041</v>
      </c>
      <c r="M19" t="s">
        <v>8</v>
      </c>
      <c r="N19" s="33" t="s">
        <v>148</v>
      </c>
      <c r="O19" t="s">
        <v>21</v>
      </c>
      <c r="P19" t="s">
        <v>149</v>
      </c>
      <c r="Q19" t="s">
        <v>150</v>
      </c>
      <c r="R19" s="34">
        <v>113.328</v>
      </c>
      <c r="S19" s="31">
        <v>9</v>
      </c>
      <c r="T19" s="35">
        <v>0.2</v>
      </c>
      <c r="U19" s="31">
        <v>35.415</v>
      </c>
    </row>
    <row r="20" spans="1:21">
      <c r="A20" s="31">
        <v>19</v>
      </c>
      <c r="B20" t="s">
        <v>39</v>
      </c>
      <c r="C20" s="32">
        <v>42988</v>
      </c>
      <c r="D20" s="32">
        <v>42993</v>
      </c>
      <c r="E20" t="s">
        <v>57</v>
      </c>
      <c r="F20" s="33" t="s">
        <v>151</v>
      </c>
      <c r="G20" t="s">
        <v>152</v>
      </c>
      <c r="H20" t="s">
        <v>17</v>
      </c>
      <c r="I20" t="s">
        <v>43</v>
      </c>
      <c r="J20" t="s">
        <v>153</v>
      </c>
      <c r="K20" t="s">
        <v>154</v>
      </c>
      <c r="L20" s="31">
        <v>60540</v>
      </c>
      <c r="M20" t="s">
        <v>8</v>
      </c>
      <c r="N20" s="33" t="s">
        <v>155</v>
      </c>
      <c r="O20" t="s">
        <v>22</v>
      </c>
      <c r="P20" t="s">
        <v>144</v>
      </c>
      <c r="Q20" t="s">
        <v>156</v>
      </c>
      <c r="R20" s="34">
        <v>147.168</v>
      </c>
      <c r="S20" s="31">
        <v>4</v>
      </c>
      <c r="T20" s="35">
        <v>0.2</v>
      </c>
      <c r="U20" s="31">
        <v>16.5564</v>
      </c>
    </row>
    <row r="21" spans="1:21">
      <c r="A21" s="31">
        <v>20</v>
      </c>
      <c r="B21" t="s">
        <v>39</v>
      </c>
      <c r="C21" s="32">
        <v>42568</v>
      </c>
      <c r="D21" s="32">
        <v>42573</v>
      </c>
      <c r="E21" t="s">
        <v>57</v>
      </c>
      <c r="F21" s="33" t="s">
        <v>157</v>
      </c>
      <c r="G21" t="s">
        <v>158</v>
      </c>
      <c r="H21" t="s">
        <v>17</v>
      </c>
      <c r="I21" t="s">
        <v>43</v>
      </c>
      <c r="J21" t="s">
        <v>51</v>
      </c>
      <c r="K21" t="s">
        <v>52</v>
      </c>
      <c r="L21" s="31">
        <v>90049</v>
      </c>
      <c r="M21" t="s">
        <v>11</v>
      </c>
      <c r="N21" s="33" t="s">
        <v>159</v>
      </c>
      <c r="O21" t="s">
        <v>21</v>
      </c>
      <c r="P21" t="s">
        <v>96</v>
      </c>
      <c r="Q21" t="s">
        <v>160</v>
      </c>
      <c r="R21" s="34">
        <v>77.88</v>
      </c>
      <c r="S21" s="31">
        <v>2</v>
      </c>
      <c r="T21" s="35">
        <v>0</v>
      </c>
      <c r="U21" s="31">
        <v>3.894</v>
      </c>
    </row>
    <row r="22" spans="1:21">
      <c r="A22" s="31">
        <v>21</v>
      </c>
      <c r="B22" t="s">
        <v>39</v>
      </c>
      <c r="C22" s="32">
        <v>42997</v>
      </c>
      <c r="D22" s="32">
        <v>43001</v>
      </c>
      <c r="E22" t="s">
        <v>57</v>
      </c>
      <c r="F22" s="33" t="s">
        <v>161</v>
      </c>
      <c r="G22" t="s">
        <v>162</v>
      </c>
      <c r="H22" t="s">
        <v>17</v>
      </c>
      <c r="I22" t="s">
        <v>43</v>
      </c>
      <c r="J22" t="s">
        <v>163</v>
      </c>
      <c r="K22" t="s">
        <v>61</v>
      </c>
      <c r="L22" s="31">
        <v>32935</v>
      </c>
      <c r="M22" t="s">
        <v>10</v>
      </c>
      <c r="N22" s="33" t="s">
        <v>164</v>
      </c>
      <c r="O22" t="s">
        <v>21</v>
      </c>
      <c r="P22" t="s">
        <v>96</v>
      </c>
      <c r="Q22" t="s">
        <v>165</v>
      </c>
      <c r="R22" s="34">
        <v>95.616</v>
      </c>
      <c r="S22" s="31">
        <v>2</v>
      </c>
      <c r="T22" s="35">
        <v>0.2</v>
      </c>
      <c r="U22" s="31">
        <v>9.5616</v>
      </c>
    </row>
    <row r="23" spans="1:21">
      <c r="A23" s="31">
        <v>22</v>
      </c>
      <c r="B23" t="s">
        <v>39</v>
      </c>
      <c r="C23" s="32">
        <v>42440</v>
      </c>
      <c r="D23" s="32">
        <v>42442</v>
      </c>
      <c r="E23" t="s">
        <v>139</v>
      </c>
      <c r="F23" s="33" t="s">
        <v>166</v>
      </c>
      <c r="G23" t="s">
        <v>167</v>
      </c>
      <c r="H23" t="s">
        <v>17</v>
      </c>
      <c r="I23" t="s">
        <v>43</v>
      </c>
      <c r="J23" t="s">
        <v>168</v>
      </c>
      <c r="K23" t="s">
        <v>169</v>
      </c>
      <c r="L23" s="31">
        <v>55122</v>
      </c>
      <c r="M23" t="s">
        <v>8</v>
      </c>
      <c r="N23" s="33" t="s">
        <v>170</v>
      </c>
      <c r="O23" t="s">
        <v>22</v>
      </c>
      <c r="P23" t="s">
        <v>171</v>
      </c>
      <c r="Q23" t="s">
        <v>172</v>
      </c>
      <c r="R23" s="34">
        <v>45.98</v>
      </c>
      <c r="S23" s="31">
        <v>2</v>
      </c>
      <c r="T23" s="35">
        <v>0</v>
      </c>
      <c r="U23" s="31">
        <v>19.7714</v>
      </c>
    </row>
    <row r="24" spans="1:21">
      <c r="A24" s="31">
        <v>23</v>
      </c>
      <c r="B24" t="s">
        <v>39</v>
      </c>
      <c r="C24" s="32">
        <v>41932</v>
      </c>
      <c r="D24" s="32">
        <v>41937</v>
      </c>
      <c r="E24" t="s">
        <v>40</v>
      </c>
      <c r="F24" s="33" t="s">
        <v>173</v>
      </c>
      <c r="G24" t="s">
        <v>174</v>
      </c>
      <c r="H24" t="s">
        <v>16</v>
      </c>
      <c r="I24" t="s">
        <v>43</v>
      </c>
      <c r="J24" t="s">
        <v>175</v>
      </c>
      <c r="K24" t="s">
        <v>176</v>
      </c>
      <c r="L24" s="31">
        <v>48185</v>
      </c>
      <c r="M24" t="s">
        <v>8</v>
      </c>
      <c r="N24" s="33" t="s">
        <v>177</v>
      </c>
      <c r="O24" t="s">
        <v>21</v>
      </c>
      <c r="P24" t="s">
        <v>96</v>
      </c>
      <c r="Q24" t="s">
        <v>178</v>
      </c>
      <c r="R24" s="34">
        <v>211.96</v>
      </c>
      <c r="S24" s="31">
        <v>4</v>
      </c>
      <c r="T24" s="35">
        <v>0</v>
      </c>
      <c r="U24" s="31">
        <v>8.4784</v>
      </c>
    </row>
    <row r="25" spans="1:21">
      <c r="A25" s="31">
        <v>24</v>
      </c>
      <c r="B25" t="s">
        <v>39</v>
      </c>
      <c r="C25" s="32">
        <v>42541</v>
      </c>
      <c r="D25" s="32">
        <v>42546</v>
      </c>
      <c r="E25" t="s">
        <v>57</v>
      </c>
      <c r="F25" s="33" t="s">
        <v>179</v>
      </c>
      <c r="G25" t="s">
        <v>180</v>
      </c>
      <c r="H25" t="s">
        <v>16</v>
      </c>
      <c r="I25" t="s">
        <v>43</v>
      </c>
      <c r="J25" t="s">
        <v>181</v>
      </c>
      <c r="K25" t="s">
        <v>182</v>
      </c>
      <c r="L25" s="31">
        <v>19901</v>
      </c>
      <c r="M25" t="s">
        <v>9</v>
      </c>
      <c r="N25" s="33" t="s">
        <v>183</v>
      </c>
      <c r="O25" t="s">
        <v>22</v>
      </c>
      <c r="P25" t="s">
        <v>171</v>
      </c>
      <c r="Q25" t="s">
        <v>184</v>
      </c>
      <c r="R25" s="34">
        <v>45</v>
      </c>
      <c r="S25" s="31">
        <v>3</v>
      </c>
      <c r="T25" s="35">
        <v>0</v>
      </c>
      <c r="U25" s="31">
        <v>4.95</v>
      </c>
    </row>
    <row r="26" spans="1:21">
      <c r="A26" s="31">
        <v>25</v>
      </c>
      <c r="B26" t="s">
        <v>39</v>
      </c>
      <c r="C26" s="32">
        <v>42112</v>
      </c>
      <c r="D26" s="32">
        <v>42116</v>
      </c>
      <c r="E26" t="s">
        <v>57</v>
      </c>
      <c r="F26" s="33" t="s">
        <v>185</v>
      </c>
      <c r="G26" t="s">
        <v>186</v>
      </c>
      <c r="H26" t="s">
        <v>16</v>
      </c>
      <c r="I26" t="s">
        <v>43</v>
      </c>
      <c r="J26" t="s">
        <v>187</v>
      </c>
      <c r="K26" t="s">
        <v>188</v>
      </c>
      <c r="L26" s="31">
        <v>47150</v>
      </c>
      <c r="M26" t="s">
        <v>8</v>
      </c>
      <c r="N26" s="33" t="s">
        <v>189</v>
      </c>
      <c r="O26" t="s">
        <v>21</v>
      </c>
      <c r="P26" t="s">
        <v>82</v>
      </c>
      <c r="Q26" t="s">
        <v>190</v>
      </c>
      <c r="R26" s="34">
        <v>38.22</v>
      </c>
      <c r="S26" s="31">
        <v>6</v>
      </c>
      <c r="T26" s="35">
        <v>0</v>
      </c>
      <c r="U26" s="31">
        <v>17.9634</v>
      </c>
    </row>
    <row r="27" spans="1:21">
      <c r="A27" s="31">
        <v>26</v>
      </c>
      <c r="B27" t="s">
        <v>39</v>
      </c>
      <c r="C27" s="32">
        <v>42715</v>
      </c>
      <c r="D27" s="32">
        <v>42721</v>
      </c>
      <c r="E27" t="s">
        <v>57</v>
      </c>
      <c r="F27" s="33" t="s">
        <v>191</v>
      </c>
      <c r="G27" t="s">
        <v>192</v>
      </c>
      <c r="H27" t="s">
        <v>17</v>
      </c>
      <c r="I27" t="s">
        <v>43</v>
      </c>
      <c r="J27" t="s">
        <v>193</v>
      </c>
      <c r="K27" t="s">
        <v>194</v>
      </c>
      <c r="L27" s="31">
        <v>10024</v>
      </c>
      <c r="M27" t="s">
        <v>9</v>
      </c>
      <c r="N27" s="33" t="s">
        <v>195</v>
      </c>
      <c r="O27" t="s">
        <v>21</v>
      </c>
      <c r="P27" t="s">
        <v>196</v>
      </c>
      <c r="Q27" t="s">
        <v>197</v>
      </c>
      <c r="R27" s="34">
        <v>15.26</v>
      </c>
      <c r="S27" s="31">
        <v>7</v>
      </c>
      <c r="T27" s="35">
        <v>0</v>
      </c>
      <c r="U27" s="31">
        <v>6.2566</v>
      </c>
    </row>
    <row r="28" spans="1:21">
      <c r="A28" s="31">
        <v>27</v>
      </c>
      <c r="B28" t="s">
        <v>39</v>
      </c>
      <c r="C28" s="32">
        <v>42538</v>
      </c>
      <c r="D28" s="32">
        <v>42539</v>
      </c>
      <c r="E28" t="s">
        <v>139</v>
      </c>
      <c r="F28" s="33" t="s">
        <v>198</v>
      </c>
      <c r="G28" t="s">
        <v>199</v>
      </c>
      <c r="H28" t="s">
        <v>16</v>
      </c>
      <c r="I28" t="s">
        <v>43</v>
      </c>
      <c r="J28" t="s">
        <v>200</v>
      </c>
      <c r="K28" t="s">
        <v>194</v>
      </c>
      <c r="L28" s="31">
        <v>12180</v>
      </c>
      <c r="M28" t="s">
        <v>9</v>
      </c>
      <c r="N28" s="33" t="s">
        <v>201</v>
      </c>
      <c r="O28" t="s">
        <v>21</v>
      </c>
      <c r="P28" t="s">
        <v>96</v>
      </c>
      <c r="Q28" t="s">
        <v>202</v>
      </c>
      <c r="R28" s="34">
        <v>208.56</v>
      </c>
      <c r="S28" s="31">
        <v>6</v>
      </c>
      <c r="T28" s="35">
        <v>0</v>
      </c>
      <c r="U28" s="31">
        <v>52.14</v>
      </c>
    </row>
    <row r="29" spans="1:21">
      <c r="A29" s="31">
        <v>28</v>
      </c>
      <c r="B29" t="s">
        <v>39</v>
      </c>
      <c r="C29" s="32">
        <v>42332</v>
      </c>
      <c r="D29" s="32">
        <v>42338</v>
      </c>
      <c r="E29" t="s">
        <v>57</v>
      </c>
      <c r="F29" s="33" t="s">
        <v>203</v>
      </c>
      <c r="G29" t="s">
        <v>204</v>
      </c>
      <c r="H29" t="s">
        <v>16</v>
      </c>
      <c r="I29" t="s">
        <v>43</v>
      </c>
      <c r="J29" t="s">
        <v>51</v>
      </c>
      <c r="K29" t="s">
        <v>52</v>
      </c>
      <c r="L29" s="31">
        <v>90004</v>
      </c>
      <c r="M29" t="s">
        <v>11</v>
      </c>
      <c r="N29" s="33" t="s">
        <v>205</v>
      </c>
      <c r="O29" t="s">
        <v>22</v>
      </c>
      <c r="P29" t="s">
        <v>171</v>
      </c>
      <c r="Q29" t="s">
        <v>206</v>
      </c>
      <c r="R29" s="34">
        <v>13.98</v>
      </c>
      <c r="S29" s="31">
        <v>2</v>
      </c>
      <c r="T29" s="35">
        <v>0</v>
      </c>
      <c r="U29" s="31">
        <v>6.1512</v>
      </c>
    </row>
    <row r="30" spans="1:21">
      <c r="A30" s="31">
        <v>29</v>
      </c>
      <c r="B30" t="s">
        <v>56</v>
      </c>
      <c r="C30" s="32">
        <v>42124</v>
      </c>
      <c r="D30" s="32">
        <v>42129</v>
      </c>
      <c r="E30" t="s">
        <v>57</v>
      </c>
      <c r="F30" s="33" t="s">
        <v>207</v>
      </c>
      <c r="G30" t="s">
        <v>208</v>
      </c>
      <c r="H30" t="s">
        <v>18</v>
      </c>
      <c r="I30" t="s">
        <v>43</v>
      </c>
      <c r="J30" t="s">
        <v>209</v>
      </c>
      <c r="K30" t="s">
        <v>154</v>
      </c>
      <c r="L30" s="31">
        <v>60610</v>
      </c>
      <c r="M30" t="s">
        <v>8</v>
      </c>
      <c r="N30" s="33" t="s">
        <v>210</v>
      </c>
      <c r="O30" t="s">
        <v>20</v>
      </c>
      <c r="P30" t="s">
        <v>121</v>
      </c>
      <c r="Q30" t="s">
        <v>211</v>
      </c>
      <c r="R30" s="34">
        <v>213.115</v>
      </c>
      <c r="S30" s="31">
        <v>5</v>
      </c>
      <c r="T30" s="35">
        <v>0.3</v>
      </c>
      <c r="U30" s="31">
        <v>-15.2225</v>
      </c>
    </row>
    <row r="31" spans="1:21">
      <c r="A31" s="31">
        <v>30</v>
      </c>
      <c r="B31" t="s">
        <v>39</v>
      </c>
      <c r="C31" s="32">
        <v>41978</v>
      </c>
      <c r="D31" s="32">
        <v>41983</v>
      </c>
      <c r="E31" t="s">
        <v>57</v>
      </c>
      <c r="F31" s="33" t="s">
        <v>212</v>
      </c>
      <c r="G31" t="s">
        <v>213</v>
      </c>
      <c r="H31" t="s">
        <v>17</v>
      </c>
      <c r="I31" t="s">
        <v>43</v>
      </c>
      <c r="J31" t="s">
        <v>214</v>
      </c>
      <c r="K31" t="s">
        <v>215</v>
      </c>
      <c r="L31" s="31">
        <v>85234</v>
      </c>
      <c r="M31" t="s">
        <v>11</v>
      </c>
      <c r="N31" s="33" t="s">
        <v>216</v>
      </c>
      <c r="O31" t="s">
        <v>21</v>
      </c>
      <c r="P31" t="s">
        <v>108</v>
      </c>
      <c r="Q31" t="s">
        <v>217</v>
      </c>
      <c r="R31" s="34">
        <v>1113.024</v>
      </c>
      <c r="S31" s="31">
        <v>8</v>
      </c>
      <c r="T31" s="35">
        <v>0.2</v>
      </c>
      <c r="U31" s="31">
        <v>111.3024</v>
      </c>
    </row>
    <row r="32" spans="1:21">
      <c r="A32" s="31">
        <v>31</v>
      </c>
      <c r="B32" t="s">
        <v>39</v>
      </c>
      <c r="C32" s="32">
        <v>42525</v>
      </c>
      <c r="D32" s="32">
        <v>42527</v>
      </c>
      <c r="E32" t="s">
        <v>139</v>
      </c>
      <c r="F32" s="33" t="s">
        <v>218</v>
      </c>
      <c r="G32" t="s">
        <v>219</v>
      </c>
      <c r="H32" t="s">
        <v>16</v>
      </c>
      <c r="I32" t="s">
        <v>43</v>
      </c>
      <c r="J32" t="s">
        <v>220</v>
      </c>
      <c r="K32" t="s">
        <v>221</v>
      </c>
      <c r="L32" s="31">
        <v>22153</v>
      </c>
      <c r="M32" t="s">
        <v>10</v>
      </c>
      <c r="N32" s="33" t="s">
        <v>222</v>
      </c>
      <c r="O32" t="s">
        <v>21</v>
      </c>
      <c r="P32" t="s">
        <v>75</v>
      </c>
      <c r="Q32" t="s">
        <v>223</v>
      </c>
      <c r="R32" s="34">
        <v>75.88</v>
      </c>
      <c r="S32" s="31">
        <v>2</v>
      </c>
      <c r="T32" s="35">
        <v>0</v>
      </c>
      <c r="U32" s="31">
        <v>35.6636</v>
      </c>
    </row>
    <row r="33" spans="1:21">
      <c r="A33" s="31">
        <v>32</v>
      </c>
      <c r="B33" t="s">
        <v>39</v>
      </c>
      <c r="C33" s="32">
        <v>42631</v>
      </c>
      <c r="D33" s="32">
        <v>42636</v>
      </c>
      <c r="E33" t="s">
        <v>57</v>
      </c>
      <c r="F33" s="33" t="s">
        <v>224</v>
      </c>
      <c r="G33" t="s">
        <v>225</v>
      </c>
      <c r="H33" t="s">
        <v>16</v>
      </c>
      <c r="I33" t="s">
        <v>43</v>
      </c>
      <c r="J33" t="s">
        <v>193</v>
      </c>
      <c r="K33" t="s">
        <v>194</v>
      </c>
      <c r="L33" s="31">
        <v>10009</v>
      </c>
      <c r="M33" t="s">
        <v>9</v>
      </c>
      <c r="N33" s="33" t="s">
        <v>226</v>
      </c>
      <c r="O33" t="s">
        <v>21</v>
      </c>
      <c r="P33" t="s">
        <v>82</v>
      </c>
      <c r="Q33" t="s">
        <v>227</v>
      </c>
      <c r="R33" s="34">
        <v>4.616</v>
      </c>
      <c r="S33" s="31">
        <v>1</v>
      </c>
      <c r="T33" s="35">
        <v>0.2</v>
      </c>
      <c r="U33" s="31">
        <v>1.731</v>
      </c>
    </row>
    <row r="34" spans="1:21">
      <c r="A34" s="31">
        <v>33</v>
      </c>
      <c r="B34" t="s">
        <v>56</v>
      </c>
      <c r="C34" s="32">
        <v>42120</v>
      </c>
      <c r="D34" s="32">
        <v>42126</v>
      </c>
      <c r="E34" t="s">
        <v>57</v>
      </c>
      <c r="F34" s="33" t="s">
        <v>228</v>
      </c>
      <c r="G34" t="s">
        <v>229</v>
      </c>
      <c r="H34" t="s">
        <v>16</v>
      </c>
      <c r="I34" t="s">
        <v>43</v>
      </c>
      <c r="J34" t="s">
        <v>230</v>
      </c>
      <c r="K34" t="s">
        <v>231</v>
      </c>
      <c r="L34" s="31">
        <v>38109</v>
      </c>
      <c r="M34" t="s">
        <v>10</v>
      </c>
      <c r="N34" s="33" t="s">
        <v>232</v>
      </c>
      <c r="O34" t="s">
        <v>20</v>
      </c>
      <c r="P34" t="s">
        <v>121</v>
      </c>
      <c r="Q34" t="s">
        <v>233</v>
      </c>
      <c r="R34" s="34">
        <v>831.936</v>
      </c>
      <c r="S34" s="31">
        <v>8</v>
      </c>
      <c r="T34" s="35">
        <v>0.2</v>
      </c>
      <c r="U34" s="31">
        <v>-114.3912</v>
      </c>
    </row>
    <row r="35" spans="1:21">
      <c r="A35" s="31">
        <v>34</v>
      </c>
      <c r="B35" t="s">
        <v>56</v>
      </c>
      <c r="C35" s="32">
        <v>43078</v>
      </c>
      <c r="D35" s="32">
        <v>43080</v>
      </c>
      <c r="E35" t="s">
        <v>139</v>
      </c>
      <c r="F35" s="33" t="s">
        <v>234</v>
      </c>
      <c r="G35" t="s">
        <v>235</v>
      </c>
      <c r="H35" t="s">
        <v>17</v>
      </c>
      <c r="I35" t="s">
        <v>43</v>
      </c>
      <c r="J35" t="s">
        <v>136</v>
      </c>
      <c r="K35" t="s">
        <v>87</v>
      </c>
      <c r="L35" s="31">
        <v>77041</v>
      </c>
      <c r="M35" t="s">
        <v>8</v>
      </c>
      <c r="N35" s="33" t="s">
        <v>236</v>
      </c>
      <c r="O35" t="s">
        <v>21</v>
      </c>
      <c r="P35" t="s">
        <v>82</v>
      </c>
      <c r="Q35" t="s">
        <v>237</v>
      </c>
      <c r="R35" s="34">
        <v>1.248</v>
      </c>
      <c r="S35" s="31">
        <v>3</v>
      </c>
      <c r="T35" s="35">
        <v>0.8</v>
      </c>
      <c r="U35" s="31">
        <v>-1.9344</v>
      </c>
    </row>
    <row r="36" spans="1:21">
      <c r="A36" s="31">
        <v>35</v>
      </c>
      <c r="B36" t="s">
        <v>39</v>
      </c>
      <c r="C36" s="32">
        <v>42533</v>
      </c>
      <c r="D36" s="32">
        <v>42536</v>
      </c>
      <c r="E36" t="s">
        <v>139</v>
      </c>
      <c r="F36" s="33" t="s">
        <v>238</v>
      </c>
      <c r="G36" t="s">
        <v>239</v>
      </c>
      <c r="H36" t="s">
        <v>17</v>
      </c>
      <c r="I36" t="s">
        <v>43</v>
      </c>
      <c r="J36" t="s">
        <v>240</v>
      </c>
      <c r="K36" t="s">
        <v>241</v>
      </c>
      <c r="L36" s="31">
        <v>35601</v>
      </c>
      <c r="M36" t="s">
        <v>10</v>
      </c>
      <c r="N36" s="33" t="s">
        <v>242</v>
      </c>
      <c r="O36" t="s">
        <v>21</v>
      </c>
      <c r="P36" t="s">
        <v>89</v>
      </c>
      <c r="Q36" t="s">
        <v>243</v>
      </c>
      <c r="R36" s="34">
        <v>208.16</v>
      </c>
      <c r="S36" s="31">
        <v>1</v>
      </c>
      <c r="T36" s="35">
        <v>0</v>
      </c>
      <c r="U36" s="31">
        <v>56.2032</v>
      </c>
    </row>
    <row r="37" spans="1:21">
      <c r="A37" s="31">
        <v>36</v>
      </c>
      <c r="B37" t="s">
        <v>39</v>
      </c>
      <c r="C37" s="32">
        <v>41924</v>
      </c>
      <c r="D37" s="32">
        <v>41928</v>
      </c>
      <c r="E37" t="s">
        <v>57</v>
      </c>
      <c r="F37" s="33" t="s">
        <v>244</v>
      </c>
      <c r="G37" t="s">
        <v>245</v>
      </c>
      <c r="H37" t="s">
        <v>16</v>
      </c>
      <c r="I37" t="s">
        <v>43</v>
      </c>
      <c r="J37" t="s">
        <v>106</v>
      </c>
      <c r="K37" t="s">
        <v>52</v>
      </c>
      <c r="L37" s="31">
        <v>94122</v>
      </c>
      <c r="M37" t="s">
        <v>11</v>
      </c>
      <c r="N37" s="33" t="s">
        <v>246</v>
      </c>
      <c r="O37" t="s">
        <v>21</v>
      </c>
      <c r="P37" t="s">
        <v>108</v>
      </c>
      <c r="Q37" t="s">
        <v>247</v>
      </c>
      <c r="R37" s="34">
        <v>14.9</v>
      </c>
      <c r="S37" s="31">
        <v>5</v>
      </c>
      <c r="T37" s="35">
        <v>0</v>
      </c>
      <c r="U37" s="31">
        <v>4.172</v>
      </c>
    </row>
    <row r="38" spans="1:21">
      <c r="A38" s="31">
        <v>37</v>
      </c>
      <c r="B38" t="s">
        <v>39</v>
      </c>
      <c r="C38" s="32">
        <v>42250</v>
      </c>
      <c r="D38" s="32">
        <v>42255</v>
      </c>
      <c r="E38" t="s">
        <v>57</v>
      </c>
      <c r="F38" s="33" t="s">
        <v>248</v>
      </c>
      <c r="G38" t="s">
        <v>249</v>
      </c>
      <c r="H38" t="s">
        <v>17</v>
      </c>
      <c r="I38" t="s">
        <v>43</v>
      </c>
      <c r="J38" t="s">
        <v>250</v>
      </c>
      <c r="K38" t="s">
        <v>73</v>
      </c>
      <c r="L38" s="31">
        <v>27707</v>
      </c>
      <c r="M38" t="s">
        <v>10</v>
      </c>
      <c r="N38" s="33" t="s">
        <v>251</v>
      </c>
      <c r="O38" t="s">
        <v>21</v>
      </c>
      <c r="P38" t="s">
        <v>149</v>
      </c>
      <c r="Q38" t="s">
        <v>252</v>
      </c>
      <c r="R38" s="34">
        <v>200.984</v>
      </c>
      <c r="S38" s="31">
        <v>7</v>
      </c>
      <c r="T38" s="35">
        <v>0.2</v>
      </c>
      <c r="U38" s="31">
        <v>62.8075</v>
      </c>
    </row>
    <row r="39" spans="1:21">
      <c r="A39" s="31">
        <v>38</v>
      </c>
      <c r="B39" t="s">
        <v>56</v>
      </c>
      <c r="C39" s="32">
        <v>43052</v>
      </c>
      <c r="D39" s="32">
        <v>43055</v>
      </c>
      <c r="E39" t="s">
        <v>139</v>
      </c>
      <c r="F39" s="33" t="s">
        <v>253</v>
      </c>
      <c r="G39" t="s">
        <v>254</v>
      </c>
      <c r="H39" t="s">
        <v>18</v>
      </c>
      <c r="I39" t="s">
        <v>43</v>
      </c>
      <c r="J39" t="s">
        <v>209</v>
      </c>
      <c r="K39" t="s">
        <v>154</v>
      </c>
      <c r="L39" s="31">
        <v>60623</v>
      </c>
      <c r="M39" t="s">
        <v>8</v>
      </c>
      <c r="N39" s="33" t="s">
        <v>255</v>
      </c>
      <c r="O39" t="s">
        <v>21</v>
      </c>
      <c r="P39" t="s">
        <v>96</v>
      </c>
      <c r="Q39" t="s">
        <v>256</v>
      </c>
      <c r="R39" s="34">
        <v>230.376</v>
      </c>
      <c r="S39" s="31">
        <v>3</v>
      </c>
      <c r="T39" s="35">
        <v>0.2</v>
      </c>
      <c r="U39" s="31">
        <v>-48.9549</v>
      </c>
    </row>
    <row r="40" spans="1:21">
      <c r="A40" s="31">
        <v>39</v>
      </c>
      <c r="B40" t="s">
        <v>39</v>
      </c>
      <c r="C40" s="32">
        <v>43034</v>
      </c>
      <c r="D40" s="32">
        <v>43041</v>
      </c>
      <c r="E40" t="s">
        <v>57</v>
      </c>
      <c r="F40" s="33" t="s">
        <v>257</v>
      </c>
      <c r="G40" t="s">
        <v>258</v>
      </c>
      <c r="H40" t="s">
        <v>16</v>
      </c>
      <c r="I40" t="s">
        <v>43</v>
      </c>
      <c r="J40" t="s">
        <v>259</v>
      </c>
      <c r="K40" t="s">
        <v>169</v>
      </c>
      <c r="L40" s="31">
        <v>55901</v>
      </c>
      <c r="M40" t="s">
        <v>8</v>
      </c>
      <c r="N40" s="33" t="s">
        <v>260</v>
      </c>
      <c r="O40" t="s">
        <v>22</v>
      </c>
      <c r="P40" t="s">
        <v>171</v>
      </c>
      <c r="Q40" t="s">
        <v>261</v>
      </c>
      <c r="R40" s="34">
        <v>19.99</v>
      </c>
      <c r="S40" s="31">
        <v>1</v>
      </c>
      <c r="T40" s="35">
        <v>0</v>
      </c>
      <c r="U40" s="31">
        <v>6.7966</v>
      </c>
    </row>
    <row r="41" spans="1:21">
      <c r="A41" s="31">
        <v>40</v>
      </c>
      <c r="B41" t="s">
        <v>39</v>
      </c>
      <c r="C41" s="32">
        <v>42465</v>
      </c>
      <c r="D41" s="32">
        <v>42470</v>
      </c>
      <c r="E41" t="s">
        <v>40</v>
      </c>
      <c r="F41" s="33" t="s">
        <v>262</v>
      </c>
      <c r="G41" t="s">
        <v>263</v>
      </c>
      <c r="H41" t="s">
        <v>18</v>
      </c>
      <c r="I41" t="s">
        <v>43</v>
      </c>
      <c r="J41" t="s">
        <v>136</v>
      </c>
      <c r="K41" t="s">
        <v>87</v>
      </c>
      <c r="L41" s="31">
        <v>77095</v>
      </c>
      <c r="M41" t="s">
        <v>8</v>
      </c>
      <c r="N41" s="33" t="s">
        <v>264</v>
      </c>
      <c r="O41" t="s">
        <v>21</v>
      </c>
      <c r="P41" t="s">
        <v>96</v>
      </c>
      <c r="Q41" t="s">
        <v>265</v>
      </c>
      <c r="R41" s="34">
        <v>158.368</v>
      </c>
      <c r="S41" s="31">
        <v>7</v>
      </c>
      <c r="T41" s="35">
        <v>0.2</v>
      </c>
      <c r="U41" s="31">
        <v>13.8572</v>
      </c>
    </row>
    <row r="42" spans="1:21">
      <c r="A42" s="31">
        <v>41</v>
      </c>
      <c r="B42" t="s">
        <v>39</v>
      </c>
      <c r="C42" s="32">
        <v>42630</v>
      </c>
      <c r="D42" s="32">
        <v>42635</v>
      </c>
      <c r="E42" t="s">
        <v>57</v>
      </c>
      <c r="F42" s="33" t="s">
        <v>266</v>
      </c>
      <c r="G42" t="s">
        <v>267</v>
      </c>
      <c r="H42" t="s">
        <v>17</v>
      </c>
      <c r="I42" t="s">
        <v>43</v>
      </c>
      <c r="J42" t="s">
        <v>51</v>
      </c>
      <c r="K42" t="s">
        <v>52</v>
      </c>
      <c r="L42" s="31">
        <v>90036</v>
      </c>
      <c r="M42" t="s">
        <v>11</v>
      </c>
      <c r="N42" s="33" t="s">
        <v>268</v>
      </c>
      <c r="O42" t="s">
        <v>21</v>
      </c>
      <c r="P42" t="s">
        <v>108</v>
      </c>
      <c r="Q42" t="s">
        <v>269</v>
      </c>
      <c r="R42" s="34">
        <v>20.1</v>
      </c>
      <c r="S42" s="31">
        <v>3</v>
      </c>
      <c r="T42" s="35">
        <v>0</v>
      </c>
      <c r="U42" s="31">
        <v>6.633</v>
      </c>
    </row>
    <row r="43" spans="1:21">
      <c r="A43" s="31">
        <v>42</v>
      </c>
      <c r="B43" t="s">
        <v>39</v>
      </c>
      <c r="C43" s="32">
        <v>42035</v>
      </c>
      <c r="D43" s="32">
        <v>42040</v>
      </c>
      <c r="E43" t="s">
        <v>40</v>
      </c>
      <c r="F43" s="33" t="s">
        <v>270</v>
      </c>
      <c r="G43" t="s">
        <v>271</v>
      </c>
      <c r="H43" t="s">
        <v>16</v>
      </c>
      <c r="I43" t="s">
        <v>43</v>
      </c>
      <c r="J43" t="s">
        <v>272</v>
      </c>
      <c r="K43" t="s">
        <v>169</v>
      </c>
      <c r="L43" s="31">
        <v>55407</v>
      </c>
      <c r="M43" t="s">
        <v>8</v>
      </c>
      <c r="N43" s="33" t="s">
        <v>273</v>
      </c>
      <c r="O43" t="s">
        <v>21</v>
      </c>
      <c r="P43" t="s">
        <v>75</v>
      </c>
      <c r="Q43" t="s">
        <v>274</v>
      </c>
      <c r="R43" s="34">
        <v>12.96</v>
      </c>
      <c r="S43" s="31">
        <v>2</v>
      </c>
      <c r="T43" s="35">
        <v>0</v>
      </c>
      <c r="U43" s="31">
        <v>6.2208</v>
      </c>
    </row>
    <row r="44" spans="1:21">
      <c r="A44" s="31">
        <v>43</v>
      </c>
      <c r="B44" t="s">
        <v>56</v>
      </c>
      <c r="C44" s="32">
        <v>43045</v>
      </c>
      <c r="D44" s="32">
        <v>43051</v>
      </c>
      <c r="E44" t="s">
        <v>57</v>
      </c>
      <c r="F44" s="33" t="s">
        <v>275</v>
      </c>
      <c r="G44" t="s">
        <v>276</v>
      </c>
      <c r="H44" t="s">
        <v>18</v>
      </c>
      <c r="I44" t="s">
        <v>43</v>
      </c>
      <c r="J44" t="s">
        <v>277</v>
      </c>
      <c r="K44" t="s">
        <v>278</v>
      </c>
      <c r="L44" s="31">
        <v>97206</v>
      </c>
      <c r="M44" t="s">
        <v>11</v>
      </c>
      <c r="N44" s="33" t="s">
        <v>279</v>
      </c>
      <c r="O44" t="s">
        <v>21</v>
      </c>
      <c r="P44" t="s">
        <v>82</v>
      </c>
      <c r="Q44" t="s">
        <v>280</v>
      </c>
      <c r="R44" s="34">
        <v>5.682</v>
      </c>
      <c r="S44" s="31">
        <v>1</v>
      </c>
      <c r="T44" s="35">
        <v>0.7</v>
      </c>
      <c r="U44" s="31">
        <v>-3.788</v>
      </c>
    </row>
    <row r="45" spans="1:21">
      <c r="A45" s="31">
        <v>44</v>
      </c>
      <c r="B45" t="s">
        <v>39</v>
      </c>
      <c r="C45" s="32">
        <v>43048</v>
      </c>
      <c r="D45" s="32">
        <v>43050</v>
      </c>
      <c r="E45" t="s">
        <v>40</v>
      </c>
      <c r="F45" s="33" t="s">
        <v>281</v>
      </c>
      <c r="G45" t="s">
        <v>282</v>
      </c>
      <c r="H45" t="s">
        <v>18</v>
      </c>
      <c r="I45" t="s">
        <v>43</v>
      </c>
      <c r="J45" t="s">
        <v>193</v>
      </c>
      <c r="K45" t="s">
        <v>194</v>
      </c>
      <c r="L45" s="31">
        <v>10009</v>
      </c>
      <c r="M45" t="s">
        <v>9</v>
      </c>
      <c r="N45" s="33" t="s">
        <v>283</v>
      </c>
      <c r="O45" t="s">
        <v>20</v>
      </c>
      <c r="P45" t="s">
        <v>68</v>
      </c>
      <c r="Q45" t="s">
        <v>284</v>
      </c>
      <c r="R45" s="34">
        <v>96.53</v>
      </c>
      <c r="S45" s="31">
        <v>7</v>
      </c>
      <c r="T45" s="35">
        <v>0</v>
      </c>
      <c r="U45" s="31">
        <v>40.5426</v>
      </c>
    </row>
    <row r="46" spans="1:21">
      <c r="A46" s="31">
        <v>45</v>
      </c>
      <c r="B46" t="s">
        <v>39</v>
      </c>
      <c r="C46" s="32">
        <v>42903</v>
      </c>
      <c r="D46" s="32">
        <v>42906</v>
      </c>
      <c r="E46" t="s">
        <v>139</v>
      </c>
      <c r="F46" s="33" t="s">
        <v>285</v>
      </c>
      <c r="G46" t="s">
        <v>286</v>
      </c>
      <c r="H46" t="s">
        <v>16</v>
      </c>
      <c r="I46" t="s">
        <v>43</v>
      </c>
      <c r="J46" t="s">
        <v>106</v>
      </c>
      <c r="K46" t="s">
        <v>52</v>
      </c>
      <c r="L46" s="31">
        <v>94122</v>
      </c>
      <c r="M46" t="s">
        <v>11</v>
      </c>
      <c r="N46" s="33" t="s">
        <v>287</v>
      </c>
      <c r="O46" t="s">
        <v>21</v>
      </c>
      <c r="P46" t="s">
        <v>82</v>
      </c>
      <c r="Q46" t="s">
        <v>288</v>
      </c>
      <c r="R46" s="34">
        <v>51.312</v>
      </c>
      <c r="S46" s="31">
        <v>3</v>
      </c>
      <c r="T46" s="35">
        <v>0.2</v>
      </c>
      <c r="U46" s="31">
        <v>17.9592</v>
      </c>
    </row>
    <row r="47" spans="1:21">
      <c r="A47" s="31">
        <v>46</v>
      </c>
      <c r="B47" t="s">
        <v>39</v>
      </c>
      <c r="C47" s="32">
        <v>42619</v>
      </c>
      <c r="D47" s="32">
        <v>42624</v>
      </c>
      <c r="E47" t="s">
        <v>57</v>
      </c>
      <c r="F47" s="33" t="s">
        <v>289</v>
      </c>
      <c r="G47" t="s">
        <v>290</v>
      </c>
      <c r="H47" t="s">
        <v>17</v>
      </c>
      <c r="I47" t="s">
        <v>43</v>
      </c>
      <c r="J47" t="s">
        <v>291</v>
      </c>
      <c r="K47" t="s">
        <v>169</v>
      </c>
      <c r="L47" s="31">
        <v>55106</v>
      </c>
      <c r="M47" t="s">
        <v>8</v>
      </c>
      <c r="N47" s="33" t="s">
        <v>292</v>
      </c>
      <c r="O47" t="s">
        <v>21</v>
      </c>
      <c r="P47" t="s">
        <v>89</v>
      </c>
      <c r="Q47" t="s">
        <v>293</v>
      </c>
      <c r="R47" s="34">
        <v>77.88</v>
      </c>
      <c r="S47" s="31">
        <v>6</v>
      </c>
      <c r="T47" s="35">
        <v>0</v>
      </c>
      <c r="U47" s="31">
        <v>22.5852</v>
      </c>
    </row>
    <row r="48" spans="1:21">
      <c r="A48" s="31">
        <v>47</v>
      </c>
      <c r="B48" t="s">
        <v>39</v>
      </c>
      <c r="C48" s="32">
        <v>42611</v>
      </c>
      <c r="D48" s="32">
        <v>42615</v>
      </c>
      <c r="E48" t="s">
        <v>57</v>
      </c>
      <c r="F48" s="33" t="s">
        <v>294</v>
      </c>
      <c r="G48" t="s">
        <v>295</v>
      </c>
      <c r="H48" t="s">
        <v>18</v>
      </c>
      <c r="I48" t="s">
        <v>43</v>
      </c>
      <c r="J48" t="s">
        <v>209</v>
      </c>
      <c r="K48" t="s">
        <v>154</v>
      </c>
      <c r="L48" s="31">
        <v>60610</v>
      </c>
      <c r="M48" t="s">
        <v>8</v>
      </c>
      <c r="N48" s="33" t="s">
        <v>296</v>
      </c>
      <c r="O48" t="s">
        <v>21</v>
      </c>
      <c r="P48" t="s">
        <v>75</v>
      </c>
      <c r="Q48" t="s">
        <v>297</v>
      </c>
      <c r="R48" s="34">
        <v>64.624</v>
      </c>
      <c r="S48" s="31">
        <v>7</v>
      </c>
      <c r="T48" s="35">
        <v>0.2</v>
      </c>
      <c r="U48" s="31">
        <v>22.6184</v>
      </c>
    </row>
    <row r="49" spans="1:21">
      <c r="A49" s="31">
        <v>48</v>
      </c>
      <c r="B49" t="s">
        <v>39</v>
      </c>
      <c r="C49" s="32">
        <v>42705</v>
      </c>
      <c r="D49" s="32">
        <v>42708</v>
      </c>
      <c r="E49" t="s">
        <v>40</v>
      </c>
      <c r="F49" s="33" t="s">
        <v>298</v>
      </c>
      <c r="G49" t="s">
        <v>299</v>
      </c>
      <c r="H49" t="s">
        <v>16</v>
      </c>
      <c r="I49" t="s">
        <v>43</v>
      </c>
      <c r="J49" t="s">
        <v>259</v>
      </c>
      <c r="K49" t="s">
        <v>169</v>
      </c>
      <c r="L49" s="31">
        <v>55901</v>
      </c>
      <c r="M49" t="s">
        <v>8</v>
      </c>
      <c r="N49" s="33" t="s">
        <v>300</v>
      </c>
      <c r="O49" t="s">
        <v>21</v>
      </c>
      <c r="P49" t="s">
        <v>75</v>
      </c>
      <c r="Q49" t="s">
        <v>301</v>
      </c>
      <c r="R49" s="34">
        <v>23.92</v>
      </c>
      <c r="S49" s="31">
        <v>4</v>
      </c>
      <c r="T49" s="35">
        <v>0</v>
      </c>
      <c r="U49" s="31">
        <v>11.7208</v>
      </c>
    </row>
    <row r="50" spans="1:21">
      <c r="A50" s="31">
        <v>49</v>
      </c>
      <c r="B50" t="s">
        <v>56</v>
      </c>
      <c r="C50" s="32">
        <v>42321</v>
      </c>
      <c r="D50" s="32">
        <v>42325</v>
      </c>
      <c r="E50" t="s">
        <v>57</v>
      </c>
      <c r="F50" s="33" t="s">
        <v>302</v>
      </c>
      <c r="G50" t="s">
        <v>303</v>
      </c>
      <c r="H50" t="s">
        <v>16</v>
      </c>
      <c r="I50" t="s">
        <v>43</v>
      </c>
      <c r="J50" t="s">
        <v>304</v>
      </c>
      <c r="K50" t="s">
        <v>305</v>
      </c>
      <c r="L50" s="31">
        <v>80013</v>
      </c>
      <c r="M50" t="s">
        <v>11</v>
      </c>
      <c r="N50" s="33" t="s">
        <v>306</v>
      </c>
      <c r="O50" t="s">
        <v>22</v>
      </c>
      <c r="P50" t="s">
        <v>171</v>
      </c>
      <c r="Q50" t="s">
        <v>307</v>
      </c>
      <c r="R50" s="34">
        <v>238.896</v>
      </c>
      <c r="S50" s="31">
        <v>6</v>
      </c>
      <c r="T50" s="35">
        <v>0.2</v>
      </c>
      <c r="U50" s="31">
        <v>-26.8758</v>
      </c>
    </row>
    <row r="51" spans="1:21">
      <c r="A51" s="31">
        <v>50</v>
      </c>
      <c r="B51" t="s">
        <v>39</v>
      </c>
      <c r="C51" s="32">
        <v>43062</v>
      </c>
      <c r="D51" s="32">
        <v>43067</v>
      </c>
      <c r="E51" t="s">
        <v>57</v>
      </c>
      <c r="F51" s="33" t="s">
        <v>308</v>
      </c>
      <c r="G51" t="s">
        <v>309</v>
      </c>
      <c r="H51" t="s">
        <v>16</v>
      </c>
      <c r="I51" t="s">
        <v>43</v>
      </c>
      <c r="J51" t="s">
        <v>310</v>
      </c>
      <c r="K51" t="s">
        <v>73</v>
      </c>
      <c r="L51" s="31">
        <v>28205</v>
      </c>
      <c r="M51" t="s">
        <v>10</v>
      </c>
      <c r="N51" s="33" t="s">
        <v>311</v>
      </c>
      <c r="O51" t="s">
        <v>22</v>
      </c>
      <c r="P51" t="s">
        <v>171</v>
      </c>
      <c r="Q51" t="s">
        <v>312</v>
      </c>
      <c r="R51" s="34">
        <v>74.112</v>
      </c>
      <c r="S51" s="31">
        <v>8</v>
      </c>
      <c r="T51" s="35">
        <v>0.2</v>
      </c>
      <c r="U51" s="31">
        <v>17.6016</v>
      </c>
    </row>
    <row r="52" spans="1:21">
      <c r="A52" s="31">
        <v>51</v>
      </c>
      <c r="B52" t="s">
        <v>39</v>
      </c>
      <c r="C52" s="32">
        <v>42292</v>
      </c>
      <c r="D52" s="32">
        <v>42297</v>
      </c>
      <c r="E52" t="s">
        <v>57</v>
      </c>
      <c r="F52" s="33" t="s">
        <v>313</v>
      </c>
      <c r="G52" t="s">
        <v>314</v>
      </c>
      <c r="H52" t="s">
        <v>18</v>
      </c>
      <c r="I52" t="s">
        <v>43</v>
      </c>
      <c r="J52" t="s">
        <v>315</v>
      </c>
      <c r="K52" t="s">
        <v>154</v>
      </c>
      <c r="L52" s="31">
        <v>60462</v>
      </c>
      <c r="M52" t="s">
        <v>8</v>
      </c>
      <c r="N52" s="33" t="s">
        <v>316</v>
      </c>
      <c r="O52" t="s">
        <v>22</v>
      </c>
      <c r="P52" t="s">
        <v>171</v>
      </c>
      <c r="Q52" t="s">
        <v>317</v>
      </c>
      <c r="R52" s="34">
        <v>339.96</v>
      </c>
      <c r="S52" s="31">
        <v>5</v>
      </c>
      <c r="T52" s="35">
        <v>0.2</v>
      </c>
      <c r="U52" s="31">
        <v>67.992</v>
      </c>
    </row>
    <row r="53" spans="1:21">
      <c r="A53" s="31">
        <v>52</v>
      </c>
      <c r="B53" t="s">
        <v>39</v>
      </c>
      <c r="C53" s="32">
        <v>43094</v>
      </c>
      <c r="D53" s="32">
        <v>43099</v>
      </c>
      <c r="E53" t="s">
        <v>57</v>
      </c>
      <c r="F53" s="33" t="s">
        <v>318</v>
      </c>
      <c r="G53" t="s">
        <v>319</v>
      </c>
      <c r="H53" t="s">
        <v>17</v>
      </c>
      <c r="I53" t="s">
        <v>43</v>
      </c>
      <c r="J53" t="s">
        <v>193</v>
      </c>
      <c r="K53" t="s">
        <v>194</v>
      </c>
      <c r="L53" s="31">
        <v>10035</v>
      </c>
      <c r="M53" t="s">
        <v>9</v>
      </c>
      <c r="N53" s="33" t="s">
        <v>320</v>
      </c>
      <c r="O53" t="s">
        <v>20</v>
      </c>
      <c r="P53" t="s">
        <v>68</v>
      </c>
      <c r="Q53" t="s">
        <v>321</v>
      </c>
      <c r="R53" s="34">
        <v>41.96</v>
      </c>
      <c r="S53" s="31">
        <v>2</v>
      </c>
      <c r="T53" s="35">
        <v>0</v>
      </c>
      <c r="U53" s="31">
        <v>10.9096</v>
      </c>
    </row>
    <row r="54" spans="1:21">
      <c r="A54" s="31">
        <v>53</v>
      </c>
      <c r="B54" t="s">
        <v>39</v>
      </c>
      <c r="C54" s="32">
        <v>42677</v>
      </c>
      <c r="D54" s="32">
        <v>42684</v>
      </c>
      <c r="E54" t="s">
        <v>57</v>
      </c>
      <c r="F54" s="33" t="s">
        <v>322</v>
      </c>
      <c r="G54" t="s">
        <v>323</v>
      </c>
      <c r="H54" t="s">
        <v>16</v>
      </c>
      <c r="I54" t="s">
        <v>43</v>
      </c>
      <c r="J54" t="s">
        <v>324</v>
      </c>
      <c r="K54" t="s">
        <v>325</v>
      </c>
      <c r="L54" s="31">
        <v>50322</v>
      </c>
      <c r="M54" t="s">
        <v>8</v>
      </c>
      <c r="N54" s="33" t="s">
        <v>326</v>
      </c>
      <c r="O54" t="s">
        <v>21</v>
      </c>
      <c r="P54" t="s">
        <v>108</v>
      </c>
      <c r="Q54" t="s">
        <v>327</v>
      </c>
      <c r="R54" s="34">
        <v>75.96</v>
      </c>
      <c r="S54" s="31">
        <v>2</v>
      </c>
      <c r="T54" s="35">
        <v>0</v>
      </c>
      <c r="U54" s="31">
        <v>22.788</v>
      </c>
    </row>
    <row r="55" spans="1:21">
      <c r="A55" s="31">
        <v>54</v>
      </c>
      <c r="B55" t="s">
        <v>39</v>
      </c>
      <c r="C55" s="32">
        <v>41876</v>
      </c>
      <c r="D55" s="32">
        <v>41878</v>
      </c>
      <c r="E55" t="s">
        <v>40</v>
      </c>
      <c r="F55" s="33" t="s">
        <v>328</v>
      </c>
      <c r="G55" t="s">
        <v>329</v>
      </c>
      <c r="H55" t="s">
        <v>16</v>
      </c>
      <c r="I55" t="s">
        <v>43</v>
      </c>
      <c r="J55" t="s">
        <v>330</v>
      </c>
      <c r="K55" t="s">
        <v>331</v>
      </c>
      <c r="L55" s="31">
        <v>43229</v>
      </c>
      <c r="M55" t="s">
        <v>9</v>
      </c>
      <c r="N55" s="33" t="s">
        <v>332</v>
      </c>
      <c r="O55" t="s">
        <v>21</v>
      </c>
      <c r="P55" t="s">
        <v>196</v>
      </c>
      <c r="Q55" t="s">
        <v>333</v>
      </c>
      <c r="R55" s="34">
        <v>40.096</v>
      </c>
      <c r="S55" s="31">
        <v>14</v>
      </c>
      <c r="T55" s="35">
        <v>0.2</v>
      </c>
      <c r="U55" s="31">
        <v>14.5348</v>
      </c>
    </row>
    <row r="56" spans="1:21">
      <c r="A56" s="31">
        <v>55</v>
      </c>
      <c r="B56" t="s">
        <v>39</v>
      </c>
      <c r="C56" s="32">
        <v>42065</v>
      </c>
      <c r="D56" s="32">
        <v>42069</v>
      </c>
      <c r="E56" t="s">
        <v>57</v>
      </c>
      <c r="F56" s="33" t="s">
        <v>334</v>
      </c>
      <c r="G56" t="s">
        <v>335</v>
      </c>
      <c r="H56" t="s">
        <v>16</v>
      </c>
      <c r="I56" t="s">
        <v>43</v>
      </c>
      <c r="J56" t="s">
        <v>79</v>
      </c>
      <c r="K56" t="s">
        <v>80</v>
      </c>
      <c r="L56" s="31">
        <v>98103</v>
      </c>
      <c r="M56" t="s">
        <v>11</v>
      </c>
      <c r="N56" s="33" t="s">
        <v>336</v>
      </c>
      <c r="O56" t="s">
        <v>20</v>
      </c>
      <c r="P56" t="s">
        <v>63</v>
      </c>
      <c r="Q56" t="s">
        <v>337</v>
      </c>
      <c r="R56" s="34">
        <v>787.53</v>
      </c>
      <c r="S56" s="31">
        <v>3</v>
      </c>
      <c r="T56" s="35">
        <v>0</v>
      </c>
      <c r="U56" s="31">
        <v>165.3813</v>
      </c>
    </row>
    <row r="57" spans="1:21">
      <c r="A57" s="31">
        <v>56</v>
      </c>
      <c r="B57" t="s">
        <v>56</v>
      </c>
      <c r="C57" s="32">
        <v>42099</v>
      </c>
      <c r="D57" s="32">
        <v>42104</v>
      </c>
      <c r="E57" t="s">
        <v>57</v>
      </c>
      <c r="F57" s="33" t="s">
        <v>338</v>
      </c>
      <c r="G57" t="s">
        <v>339</v>
      </c>
      <c r="H57" t="s">
        <v>17</v>
      </c>
      <c r="I57" t="s">
        <v>43</v>
      </c>
      <c r="J57" t="s">
        <v>340</v>
      </c>
      <c r="K57" t="s">
        <v>231</v>
      </c>
      <c r="L57" s="31">
        <v>37620</v>
      </c>
      <c r="M57" t="s">
        <v>10</v>
      </c>
      <c r="N57" s="33" t="s">
        <v>341</v>
      </c>
      <c r="O57" t="s">
        <v>21</v>
      </c>
      <c r="P57" t="s">
        <v>82</v>
      </c>
      <c r="Q57" t="s">
        <v>342</v>
      </c>
      <c r="R57" s="34">
        <v>157.794</v>
      </c>
      <c r="S57" s="31">
        <v>1</v>
      </c>
      <c r="T57" s="35">
        <v>0.7</v>
      </c>
      <c r="U57" s="31">
        <v>-115.7156</v>
      </c>
    </row>
    <row r="58" spans="1:21">
      <c r="A58" s="31">
        <v>57</v>
      </c>
      <c r="B58" t="s">
        <v>39</v>
      </c>
      <c r="C58" s="32">
        <v>42533</v>
      </c>
      <c r="D58" s="32">
        <v>42536</v>
      </c>
      <c r="E58" t="s">
        <v>139</v>
      </c>
      <c r="F58" s="33" t="s">
        <v>343</v>
      </c>
      <c r="G58" t="s">
        <v>344</v>
      </c>
      <c r="H58" t="s">
        <v>16</v>
      </c>
      <c r="I58" t="s">
        <v>43</v>
      </c>
      <c r="J58" t="s">
        <v>345</v>
      </c>
      <c r="K58" t="s">
        <v>182</v>
      </c>
      <c r="L58" s="31">
        <v>19805</v>
      </c>
      <c r="M58" t="s">
        <v>9</v>
      </c>
      <c r="N58" s="33" t="s">
        <v>346</v>
      </c>
      <c r="O58" t="s">
        <v>20</v>
      </c>
      <c r="P58" t="s">
        <v>68</v>
      </c>
      <c r="Q58" t="s">
        <v>347</v>
      </c>
      <c r="R58" s="34">
        <v>47.04</v>
      </c>
      <c r="S58" s="31">
        <v>3</v>
      </c>
      <c r="T58" s="35">
        <v>0</v>
      </c>
      <c r="U58" s="31">
        <v>18.3456</v>
      </c>
    </row>
    <row r="59" spans="1:21">
      <c r="A59" s="31">
        <v>58</v>
      </c>
      <c r="B59" t="s">
        <v>56</v>
      </c>
      <c r="C59" s="32">
        <v>41999</v>
      </c>
      <c r="D59" s="32">
        <v>42001</v>
      </c>
      <c r="E59" t="s">
        <v>40</v>
      </c>
      <c r="F59" s="33" t="s">
        <v>348</v>
      </c>
      <c r="G59" t="s">
        <v>349</v>
      </c>
      <c r="H59" t="s">
        <v>18</v>
      </c>
      <c r="I59" t="s">
        <v>43</v>
      </c>
      <c r="J59" t="s">
        <v>136</v>
      </c>
      <c r="K59" t="s">
        <v>87</v>
      </c>
      <c r="L59" s="31">
        <v>77041</v>
      </c>
      <c r="M59" t="s">
        <v>8</v>
      </c>
      <c r="N59" s="33" t="s">
        <v>350</v>
      </c>
      <c r="O59" t="s">
        <v>20</v>
      </c>
      <c r="P59" t="s">
        <v>121</v>
      </c>
      <c r="Q59" t="s">
        <v>351</v>
      </c>
      <c r="R59" s="34">
        <v>600.558</v>
      </c>
      <c r="S59" s="31">
        <v>3</v>
      </c>
      <c r="T59" s="35">
        <v>0.3</v>
      </c>
      <c r="U59" s="31">
        <v>-8.5794</v>
      </c>
    </row>
    <row r="60" spans="1:21">
      <c r="A60" s="31">
        <v>59</v>
      </c>
      <c r="B60" t="s">
        <v>56</v>
      </c>
      <c r="C60" s="32">
        <v>41902</v>
      </c>
      <c r="D60" s="32">
        <v>41907</v>
      </c>
      <c r="E60" t="s">
        <v>57</v>
      </c>
      <c r="F60" s="33" t="s">
        <v>352</v>
      </c>
      <c r="G60" t="s">
        <v>353</v>
      </c>
      <c r="H60" t="s">
        <v>16</v>
      </c>
      <c r="I60" t="s">
        <v>43</v>
      </c>
      <c r="J60" t="s">
        <v>354</v>
      </c>
      <c r="K60" t="s">
        <v>154</v>
      </c>
      <c r="L60" s="31">
        <v>61701</v>
      </c>
      <c r="M60" t="s">
        <v>8</v>
      </c>
      <c r="N60" s="33" t="s">
        <v>355</v>
      </c>
      <c r="O60" t="s">
        <v>20</v>
      </c>
      <c r="P60" t="s">
        <v>63</v>
      </c>
      <c r="Q60" t="s">
        <v>356</v>
      </c>
      <c r="R60" s="34">
        <v>617.7</v>
      </c>
      <c r="S60" s="31">
        <v>6</v>
      </c>
      <c r="T60" s="35">
        <v>0.5</v>
      </c>
      <c r="U60" s="31">
        <v>-407.682</v>
      </c>
    </row>
    <row r="61" spans="1:21">
      <c r="A61" s="31">
        <v>60</v>
      </c>
      <c r="B61" t="s">
        <v>56</v>
      </c>
      <c r="C61" s="32">
        <v>43044</v>
      </c>
      <c r="D61" s="32">
        <v>43051</v>
      </c>
      <c r="E61" t="s">
        <v>57</v>
      </c>
      <c r="F61" s="33" t="s">
        <v>357</v>
      </c>
      <c r="G61" t="s">
        <v>358</v>
      </c>
      <c r="H61" t="s">
        <v>16</v>
      </c>
      <c r="I61" t="s">
        <v>43</v>
      </c>
      <c r="J61" t="s">
        <v>359</v>
      </c>
      <c r="K61" t="s">
        <v>215</v>
      </c>
      <c r="L61" s="31">
        <v>85023</v>
      </c>
      <c r="M61" t="s">
        <v>11</v>
      </c>
      <c r="N61" s="33" t="s">
        <v>360</v>
      </c>
      <c r="O61" t="s">
        <v>21</v>
      </c>
      <c r="P61" t="s">
        <v>82</v>
      </c>
      <c r="Q61" t="s">
        <v>361</v>
      </c>
      <c r="R61" s="34">
        <v>2.388</v>
      </c>
      <c r="S61" s="31">
        <v>2</v>
      </c>
      <c r="T61" s="35">
        <v>0.7</v>
      </c>
      <c r="U61" s="31">
        <v>-1.8308</v>
      </c>
    </row>
    <row r="62" spans="1:21">
      <c r="A62" s="31">
        <v>61</v>
      </c>
      <c r="B62" t="s">
        <v>56</v>
      </c>
      <c r="C62" s="32">
        <v>42680</v>
      </c>
      <c r="D62" s="32">
        <v>42684</v>
      </c>
      <c r="E62" t="s">
        <v>40</v>
      </c>
      <c r="F62" s="33" t="s">
        <v>362</v>
      </c>
      <c r="G62" t="s">
        <v>363</v>
      </c>
      <c r="H62" t="s">
        <v>18</v>
      </c>
      <c r="I62" t="s">
        <v>43</v>
      </c>
      <c r="J62" t="s">
        <v>51</v>
      </c>
      <c r="K62" t="s">
        <v>52</v>
      </c>
      <c r="L62" s="31">
        <v>90004</v>
      </c>
      <c r="M62" t="s">
        <v>11</v>
      </c>
      <c r="N62" s="33" t="s">
        <v>210</v>
      </c>
      <c r="O62" t="s">
        <v>20</v>
      </c>
      <c r="P62" t="s">
        <v>121</v>
      </c>
      <c r="Q62" t="s">
        <v>364</v>
      </c>
      <c r="R62" s="34">
        <v>81.424</v>
      </c>
      <c r="S62" s="31">
        <v>2</v>
      </c>
      <c r="T62" s="35">
        <v>0.2</v>
      </c>
      <c r="U62" s="31">
        <v>-9.1602</v>
      </c>
    </row>
    <row r="63" spans="1:21">
      <c r="A63" s="31">
        <v>62</v>
      </c>
      <c r="B63" t="s">
        <v>56</v>
      </c>
      <c r="C63" s="32">
        <v>42768</v>
      </c>
      <c r="D63" s="32">
        <v>42771</v>
      </c>
      <c r="E63" t="s">
        <v>139</v>
      </c>
      <c r="F63" s="33" t="s">
        <v>365</v>
      </c>
      <c r="G63" t="s">
        <v>366</v>
      </c>
      <c r="H63" t="s">
        <v>17</v>
      </c>
      <c r="I63" t="s">
        <v>43</v>
      </c>
      <c r="J63" t="s">
        <v>330</v>
      </c>
      <c r="K63" t="s">
        <v>331</v>
      </c>
      <c r="L63" s="31">
        <v>43229</v>
      </c>
      <c r="M63" t="s">
        <v>9</v>
      </c>
      <c r="N63" s="33" t="s">
        <v>367</v>
      </c>
      <c r="O63" t="s">
        <v>22</v>
      </c>
      <c r="P63" t="s">
        <v>144</v>
      </c>
      <c r="Q63" t="s">
        <v>368</v>
      </c>
      <c r="R63" s="34">
        <v>59.97</v>
      </c>
      <c r="S63" s="31">
        <v>5</v>
      </c>
      <c r="T63" s="35">
        <v>0.4</v>
      </c>
      <c r="U63" s="31">
        <v>-11.994</v>
      </c>
    </row>
    <row r="64" spans="1:21">
      <c r="A64" s="31">
        <v>63</v>
      </c>
      <c r="B64" t="s">
        <v>39</v>
      </c>
      <c r="C64" s="32">
        <v>42656</v>
      </c>
      <c r="D64" s="32">
        <v>42662</v>
      </c>
      <c r="E64" t="s">
        <v>57</v>
      </c>
      <c r="F64" s="33" t="s">
        <v>369</v>
      </c>
      <c r="G64" t="s">
        <v>370</v>
      </c>
      <c r="H64" t="s">
        <v>16</v>
      </c>
      <c r="I64" t="s">
        <v>43</v>
      </c>
      <c r="J64" t="s">
        <v>371</v>
      </c>
      <c r="K64" t="s">
        <v>52</v>
      </c>
      <c r="L64" s="31">
        <v>95661</v>
      </c>
      <c r="M64" t="s">
        <v>11</v>
      </c>
      <c r="N64" s="33" t="s">
        <v>372</v>
      </c>
      <c r="O64" t="s">
        <v>21</v>
      </c>
      <c r="P64" t="s">
        <v>75</v>
      </c>
      <c r="Q64" t="s">
        <v>373</v>
      </c>
      <c r="R64" s="34">
        <v>20.04</v>
      </c>
      <c r="S64" s="31">
        <v>3</v>
      </c>
      <c r="T64" s="35">
        <v>0</v>
      </c>
      <c r="U64" s="31">
        <v>9.6192</v>
      </c>
    </row>
    <row r="65" spans="1:21">
      <c r="A65" s="31">
        <v>64</v>
      </c>
      <c r="B65" t="s">
        <v>39</v>
      </c>
      <c r="C65" s="32">
        <v>42618</v>
      </c>
      <c r="D65" s="32">
        <v>42620</v>
      </c>
      <c r="E65" t="s">
        <v>40</v>
      </c>
      <c r="F65" s="33" t="s">
        <v>374</v>
      </c>
      <c r="G65" t="s">
        <v>375</v>
      </c>
      <c r="H65" t="s">
        <v>17</v>
      </c>
      <c r="I65" t="s">
        <v>43</v>
      </c>
      <c r="J65" t="s">
        <v>118</v>
      </c>
      <c r="K65" t="s">
        <v>119</v>
      </c>
      <c r="L65" s="31">
        <v>19140</v>
      </c>
      <c r="M65" t="s">
        <v>9</v>
      </c>
      <c r="N65" s="33" t="s">
        <v>376</v>
      </c>
      <c r="O65" t="s">
        <v>20</v>
      </c>
      <c r="P65" t="s">
        <v>68</v>
      </c>
      <c r="Q65" t="s">
        <v>377</v>
      </c>
      <c r="R65" s="34">
        <v>82.8</v>
      </c>
      <c r="S65" s="31">
        <v>2</v>
      </c>
      <c r="T65" s="35">
        <v>0.2</v>
      </c>
      <c r="U65" s="31">
        <v>10.35</v>
      </c>
    </row>
    <row r="66" spans="1:21">
      <c r="A66" s="31">
        <v>65</v>
      </c>
      <c r="B66" t="s">
        <v>39</v>
      </c>
      <c r="C66" s="32">
        <v>42996</v>
      </c>
      <c r="D66" s="32">
        <v>43001</v>
      </c>
      <c r="E66" t="s">
        <v>57</v>
      </c>
      <c r="F66" s="33" t="s">
        <v>378</v>
      </c>
      <c r="G66" t="s">
        <v>379</v>
      </c>
      <c r="H66" t="s">
        <v>17</v>
      </c>
      <c r="I66" t="s">
        <v>43</v>
      </c>
      <c r="J66" t="s">
        <v>106</v>
      </c>
      <c r="K66" t="s">
        <v>52</v>
      </c>
      <c r="L66" s="31">
        <v>94122</v>
      </c>
      <c r="M66" t="s">
        <v>11</v>
      </c>
      <c r="N66" s="33" t="s">
        <v>380</v>
      </c>
      <c r="O66" t="s">
        <v>21</v>
      </c>
      <c r="P66" t="s">
        <v>108</v>
      </c>
      <c r="Q66" t="s">
        <v>381</v>
      </c>
      <c r="R66" s="34">
        <v>8.82</v>
      </c>
      <c r="S66" s="31">
        <v>3</v>
      </c>
      <c r="T66" s="35">
        <v>0</v>
      </c>
      <c r="U66" s="31">
        <v>2.3814</v>
      </c>
    </row>
    <row r="67" spans="1:21">
      <c r="A67" s="31">
        <v>66</v>
      </c>
      <c r="B67" t="s">
        <v>39</v>
      </c>
      <c r="C67" s="32">
        <v>43091</v>
      </c>
      <c r="D67" s="32">
        <v>43096</v>
      </c>
      <c r="E67" t="s">
        <v>57</v>
      </c>
      <c r="F67" s="33" t="s">
        <v>382</v>
      </c>
      <c r="G67" t="s">
        <v>383</v>
      </c>
      <c r="H67" t="s">
        <v>16</v>
      </c>
      <c r="I67" t="s">
        <v>43</v>
      </c>
      <c r="J67" t="s">
        <v>384</v>
      </c>
      <c r="K67" t="s">
        <v>385</v>
      </c>
      <c r="L67" s="31">
        <v>64055</v>
      </c>
      <c r="M67" t="s">
        <v>8</v>
      </c>
      <c r="N67" s="33" t="s">
        <v>386</v>
      </c>
      <c r="O67" t="s">
        <v>21</v>
      </c>
      <c r="P67" t="s">
        <v>89</v>
      </c>
      <c r="Q67" t="s">
        <v>387</v>
      </c>
      <c r="R67" s="34">
        <v>839.43</v>
      </c>
      <c r="S67" s="31">
        <v>3</v>
      </c>
      <c r="T67" s="35">
        <v>0</v>
      </c>
      <c r="U67" s="31">
        <v>218.2518</v>
      </c>
    </row>
    <row r="68" spans="1:21">
      <c r="A68" s="31">
        <v>67</v>
      </c>
      <c r="B68" t="s">
        <v>39</v>
      </c>
      <c r="C68" s="32">
        <v>42254</v>
      </c>
      <c r="D68" s="32">
        <v>42259</v>
      </c>
      <c r="E68" t="s">
        <v>57</v>
      </c>
      <c r="F68" s="33" t="s">
        <v>388</v>
      </c>
      <c r="G68" t="s">
        <v>389</v>
      </c>
      <c r="H68" t="s">
        <v>16</v>
      </c>
      <c r="I68" t="s">
        <v>43</v>
      </c>
      <c r="J68" t="s">
        <v>390</v>
      </c>
      <c r="K68" t="s">
        <v>52</v>
      </c>
      <c r="L68" s="31">
        <v>91104</v>
      </c>
      <c r="M68" t="s">
        <v>11</v>
      </c>
      <c r="N68" s="33" t="s">
        <v>255</v>
      </c>
      <c r="O68" t="s">
        <v>21</v>
      </c>
      <c r="P68" t="s">
        <v>96</v>
      </c>
      <c r="Q68" t="s">
        <v>256</v>
      </c>
      <c r="R68" s="34">
        <v>671.93</v>
      </c>
      <c r="S68" s="31">
        <v>7</v>
      </c>
      <c r="T68" s="35">
        <v>0</v>
      </c>
      <c r="U68" s="31">
        <v>20.1579</v>
      </c>
    </row>
    <row r="69" spans="1:21">
      <c r="A69" s="31">
        <v>68</v>
      </c>
      <c r="B69" t="s">
        <v>39</v>
      </c>
      <c r="C69" s="32">
        <v>41934</v>
      </c>
      <c r="D69" s="32">
        <v>41940</v>
      </c>
      <c r="E69" t="s">
        <v>57</v>
      </c>
      <c r="F69" s="33" t="s">
        <v>391</v>
      </c>
      <c r="G69" t="s">
        <v>392</v>
      </c>
      <c r="H69" t="s">
        <v>18</v>
      </c>
      <c r="I69" t="s">
        <v>43</v>
      </c>
      <c r="J69" t="s">
        <v>393</v>
      </c>
      <c r="K69" t="s">
        <v>331</v>
      </c>
      <c r="L69" s="31">
        <v>43055</v>
      </c>
      <c r="M69" t="s">
        <v>9</v>
      </c>
      <c r="N69" s="33" t="s">
        <v>394</v>
      </c>
      <c r="O69" t="s">
        <v>20</v>
      </c>
      <c r="P69" t="s">
        <v>68</v>
      </c>
      <c r="Q69" t="s">
        <v>395</v>
      </c>
      <c r="R69" s="34">
        <v>93.888</v>
      </c>
      <c r="S69" s="31">
        <v>4</v>
      </c>
      <c r="T69" s="35">
        <v>0.2</v>
      </c>
      <c r="U69" s="31">
        <v>12.9096</v>
      </c>
    </row>
    <row r="70" spans="1:21">
      <c r="A70" s="31">
        <v>69</v>
      </c>
      <c r="B70" t="s">
        <v>39</v>
      </c>
      <c r="C70" s="32">
        <v>42709</v>
      </c>
      <c r="D70" s="32">
        <v>42713</v>
      </c>
      <c r="E70" t="s">
        <v>57</v>
      </c>
      <c r="F70" s="33" t="s">
        <v>396</v>
      </c>
      <c r="G70" t="s">
        <v>397</v>
      </c>
      <c r="H70" t="s">
        <v>17</v>
      </c>
      <c r="I70" t="s">
        <v>43</v>
      </c>
      <c r="J70" t="s">
        <v>398</v>
      </c>
      <c r="K70" t="s">
        <v>94</v>
      </c>
      <c r="L70" s="31">
        <v>53132</v>
      </c>
      <c r="M70" t="s">
        <v>8</v>
      </c>
      <c r="N70" s="33" t="s">
        <v>399</v>
      </c>
      <c r="O70" t="s">
        <v>22</v>
      </c>
      <c r="P70" t="s">
        <v>144</v>
      </c>
      <c r="Q70" t="s">
        <v>400</v>
      </c>
      <c r="R70" s="34">
        <v>384.45</v>
      </c>
      <c r="S70" s="31">
        <v>11</v>
      </c>
      <c r="T70" s="35">
        <v>0</v>
      </c>
      <c r="U70" s="31">
        <v>103.8015</v>
      </c>
    </row>
    <row r="71" spans="1:21">
      <c r="A71" s="31">
        <v>70</v>
      </c>
      <c r="B71" t="s">
        <v>39</v>
      </c>
      <c r="C71" s="32">
        <v>42442</v>
      </c>
      <c r="D71" s="32">
        <v>42445</v>
      </c>
      <c r="E71" t="s">
        <v>139</v>
      </c>
      <c r="F71" s="33" t="s">
        <v>401</v>
      </c>
      <c r="G71" t="s">
        <v>402</v>
      </c>
      <c r="H71" t="s">
        <v>18</v>
      </c>
      <c r="I71" t="s">
        <v>43</v>
      </c>
      <c r="J71" t="s">
        <v>403</v>
      </c>
      <c r="K71" t="s">
        <v>215</v>
      </c>
      <c r="L71" s="31">
        <v>85254</v>
      </c>
      <c r="M71" t="s">
        <v>11</v>
      </c>
      <c r="N71" s="33" t="s">
        <v>404</v>
      </c>
      <c r="O71" t="s">
        <v>21</v>
      </c>
      <c r="P71" t="s">
        <v>89</v>
      </c>
      <c r="Q71" t="s">
        <v>405</v>
      </c>
      <c r="R71" s="34">
        <v>157.92</v>
      </c>
      <c r="S71" s="31">
        <v>5</v>
      </c>
      <c r="T71" s="35">
        <v>0.2</v>
      </c>
      <c r="U71" s="31">
        <v>17.766</v>
      </c>
    </row>
    <row r="72" spans="1:21">
      <c r="A72" s="31">
        <v>71</v>
      </c>
      <c r="B72" t="s">
        <v>39</v>
      </c>
      <c r="C72" s="32">
        <v>42155</v>
      </c>
      <c r="D72" s="32">
        <v>42157</v>
      </c>
      <c r="E72" t="s">
        <v>139</v>
      </c>
      <c r="F72" s="33" t="s">
        <v>406</v>
      </c>
      <c r="G72" t="s">
        <v>407</v>
      </c>
      <c r="H72" t="s">
        <v>17</v>
      </c>
      <c r="I72" t="s">
        <v>43</v>
      </c>
      <c r="J72" t="s">
        <v>408</v>
      </c>
      <c r="K72" t="s">
        <v>52</v>
      </c>
      <c r="L72" s="31">
        <v>95123</v>
      </c>
      <c r="M72" t="s">
        <v>11</v>
      </c>
      <c r="N72" s="33" t="s">
        <v>409</v>
      </c>
      <c r="O72" t="s">
        <v>21</v>
      </c>
      <c r="P72" t="s">
        <v>75</v>
      </c>
      <c r="Q72" t="s">
        <v>410</v>
      </c>
      <c r="R72" s="34">
        <v>58.38</v>
      </c>
      <c r="S72" s="31">
        <v>7</v>
      </c>
      <c r="T72" s="35">
        <v>0</v>
      </c>
      <c r="U72" s="31">
        <v>26.271</v>
      </c>
    </row>
    <row r="73" spans="1:21">
      <c r="A73" s="31">
        <v>72</v>
      </c>
      <c r="B73" t="s">
        <v>39</v>
      </c>
      <c r="C73" s="32">
        <v>42152</v>
      </c>
      <c r="D73" s="32">
        <v>42158</v>
      </c>
      <c r="E73" t="s">
        <v>57</v>
      </c>
      <c r="F73" s="33" t="s">
        <v>411</v>
      </c>
      <c r="G73" t="s">
        <v>412</v>
      </c>
      <c r="H73" t="s">
        <v>18</v>
      </c>
      <c r="I73" t="s">
        <v>43</v>
      </c>
      <c r="J73" t="s">
        <v>79</v>
      </c>
      <c r="K73" t="s">
        <v>80</v>
      </c>
      <c r="L73" s="31">
        <v>98105</v>
      </c>
      <c r="M73" t="s">
        <v>11</v>
      </c>
      <c r="N73" s="33" t="s">
        <v>413</v>
      </c>
      <c r="O73" t="s">
        <v>21</v>
      </c>
      <c r="P73" t="s">
        <v>108</v>
      </c>
      <c r="Q73" t="s">
        <v>414</v>
      </c>
      <c r="R73" s="34">
        <v>6.63</v>
      </c>
      <c r="S73" s="31">
        <v>3</v>
      </c>
      <c r="T73" s="35">
        <v>0</v>
      </c>
      <c r="U73" s="31">
        <v>1.7901</v>
      </c>
    </row>
    <row r="74" spans="1:21">
      <c r="A74" s="31">
        <v>73</v>
      </c>
      <c r="B74" t="s">
        <v>39</v>
      </c>
      <c r="C74" s="32">
        <v>41699</v>
      </c>
      <c r="D74" s="32">
        <v>41704</v>
      </c>
      <c r="E74" t="s">
        <v>40</v>
      </c>
      <c r="F74" s="33" t="s">
        <v>415</v>
      </c>
      <c r="G74" t="s">
        <v>416</v>
      </c>
      <c r="H74" t="s">
        <v>16</v>
      </c>
      <c r="I74" t="s">
        <v>43</v>
      </c>
      <c r="J74" t="s">
        <v>79</v>
      </c>
      <c r="K74" t="s">
        <v>80</v>
      </c>
      <c r="L74" s="31">
        <v>98115</v>
      </c>
      <c r="M74" t="s">
        <v>11</v>
      </c>
      <c r="N74" s="33" t="s">
        <v>350</v>
      </c>
      <c r="O74" t="s">
        <v>20</v>
      </c>
      <c r="P74" t="s">
        <v>121</v>
      </c>
      <c r="Q74" t="s">
        <v>351</v>
      </c>
      <c r="R74" s="34">
        <v>457.568</v>
      </c>
      <c r="S74" s="31">
        <v>2</v>
      </c>
      <c r="T74" s="35">
        <v>0.2</v>
      </c>
      <c r="U74" s="31">
        <v>51.4764</v>
      </c>
    </row>
    <row r="75" spans="1:21">
      <c r="A75" s="31">
        <v>74</v>
      </c>
      <c r="B75" t="s">
        <v>39</v>
      </c>
      <c r="C75" s="32">
        <v>42694</v>
      </c>
      <c r="D75" s="32">
        <v>42698</v>
      </c>
      <c r="E75" t="s">
        <v>57</v>
      </c>
      <c r="F75" s="33" t="s">
        <v>417</v>
      </c>
      <c r="G75" t="s">
        <v>418</v>
      </c>
      <c r="H75" t="s">
        <v>16</v>
      </c>
      <c r="I75" t="s">
        <v>43</v>
      </c>
      <c r="J75" t="s">
        <v>419</v>
      </c>
      <c r="K75" t="s">
        <v>420</v>
      </c>
      <c r="L75" s="31">
        <v>73034</v>
      </c>
      <c r="M75" t="s">
        <v>8</v>
      </c>
      <c r="N75" s="33" t="s">
        <v>421</v>
      </c>
      <c r="O75" t="s">
        <v>21</v>
      </c>
      <c r="P75" t="s">
        <v>54</v>
      </c>
      <c r="Q75" t="s">
        <v>422</v>
      </c>
      <c r="R75" s="34">
        <v>14.62</v>
      </c>
      <c r="S75" s="31">
        <v>2</v>
      </c>
      <c r="T75" s="35">
        <v>0</v>
      </c>
      <c r="U75" s="31">
        <v>6.8714</v>
      </c>
    </row>
    <row r="76" spans="1:21">
      <c r="A76" s="31">
        <v>75</v>
      </c>
      <c r="B76" t="s">
        <v>39</v>
      </c>
      <c r="C76" s="32">
        <v>42501</v>
      </c>
      <c r="D76" s="32">
        <v>42502</v>
      </c>
      <c r="E76" t="s">
        <v>139</v>
      </c>
      <c r="F76" s="33" t="s">
        <v>423</v>
      </c>
      <c r="G76" t="s">
        <v>424</v>
      </c>
      <c r="H76" t="s">
        <v>16</v>
      </c>
      <c r="I76" t="s">
        <v>43</v>
      </c>
      <c r="J76" t="s">
        <v>51</v>
      </c>
      <c r="K76" t="s">
        <v>52</v>
      </c>
      <c r="L76" s="31">
        <v>90045</v>
      </c>
      <c r="M76" t="s">
        <v>11</v>
      </c>
      <c r="N76" s="33" t="s">
        <v>425</v>
      </c>
      <c r="O76" t="s">
        <v>21</v>
      </c>
      <c r="P76" t="s">
        <v>75</v>
      </c>
      <c r="Q76" t="s">
        <v>426</v>
      </c>
      <c r="R76" s="34">
        <v>5.98</v>
      </c>
      <c r="S76" s="31">
        <v>1</v>
      </c>
      <c r="T76" s="35">
        <v>0</v>
      </c>
      <c r="U76" s="31">
        <v>2.691</v>
      </c>
    </row>
    <row r="77" spans="1:21">
      <c r="A77" s="31">
        <v>76</v>
      </c>
      <c r="B77" t="s">
        <v>39</v>
      </c>
      <c r="C77" s="32">
        <v>42366</v>
      </c>
      <c r="D77" s="32">
        <v>42369</v>
      </c>
      <c r="E77" t="s">
        <v>40</v>
      </c>
      <c r="F77" s="33" t="s">
        <v>427</v>
      </c>
      <c r="G77" t="s">
        <v>428</v>
      </c>
      <c r="H77" t="s">
        <v>16</v>
      </c>
      <c r="I77" t="s">
        <v>43</v>
      </c>
      <c r="J77" t="s">
        <v>118</v>
      </c>
      <c r="K77" t="s">
        <v>119</v>
      </c>
      <c r="L77" s="31">
        <v>19134</v>
      </c>
      <c r="M77" t="s">
        <v>9</v>
      </c>
      <c r="N77" s="33" t="s">
        <v>429</v>
      </c>
      <c r="O77" t="s">
        <v>22</v>
      </c>
      <c r="P77" t="s">
        <v>171</v>
      </c>
      <c r="Q77" t="s">
        <v>430</v>
      </c>
      <c r="R77" s="34">
        <v>54.384</v>
      </c>
      <c r="S77" s="31">
        <v>2</v>
      </c>
      <c r="T77" s="35">
        <v>0.2</v>
      </c>
      <c r="U77" s="31">
        <v>1.3596</v>
      </c>
    </row>
    <row r="78" spans="1:21">
      <c r="A78" s="31">
        <v>77</v>
      </c>
      <c r="B78" t="s">
        <v>39</v>
      </c>
      <c r="C78" s="32">
        <v>42690</v>
      </c>
      <c r="D78" s="32">
        <v>42694</v>
      </c>
      <c r="E78" t="s">
        <v>57</v>
      </c>
      <c r="F78" s="33" t="s">
        <v>431</v>
      </c>
      <c r="G78" t="s">
        <v>432</v>
      </c>
      <c r="H78" t="s">
        <v>16</v>
      </c>
      <c r="I78" t="s">
        <v>43</v>
      </c>
      <c r="J78" t="s">
        <v>433</v>
      </c>
      <c r="K78" t="s">
        <v>434</v>
      </c>
      <c r="L78" s="31">
        <v>88220</v>
      </c>
      <c r="M78" t="s">
        <v>11</v>
      </c>
      <c r="N78" s="33" t="s">
        <v>435</v>
      </c>
      <c r="O78" t="s">
        <v>21</v>
      </c>
      <c r="P78" t="s">
        <v>149</v>
      </c>
      <c r="Q78" t="s">
        <v>436</v>
      </c>
      <c r="R78" s="34">
        <v>28.4</v>
      </c>
      <c r="S78" s="31">
        <v>5</v>
      </c>
      <c r="T78" s="35">
        <v>0</v>
      </c>
      <c r="U78" s="31">
        <v>13.348</v>
      </c>
    </row>
    <row r="79" spans="1:21">
      <c r="A79" s="31">
        <v>78</v>
      </c>
      <c r="B79" t="s">
        <v>39</v>
      </c>
      <c r="C79" s="32">
        <v>42681</v>
      </c>
      <c r="D79" s="32">
        <v>42685</v>
      </c>
      <c r="E79" t="s">
        <v>57</v>
      </c>
      <c r="F79" s="33" t="s">
        <v>437</v>
      </c>
      <c r="G79" t="s">
        <v>438</v>
      </c>
      <c r="H79" t="s">
        <v>16</v>
      </c>
      <c r="I79" t="s">
        <v>43</v>
      </c>
      <c r="J79" t="s">
        <v>79</v>
      </c>
      <c r="K79" t="s">
        <v>80</v>
      </c>
      <c r="L79" s="31">
        <v>98115</v>
      </c>
      <c r="M79" t="s">
        <v>11</v>
      </c>
      <c r="N79" s="33" t="s">
        <v>439</v>
      </c>
      <c r="O79" t="s">
        <v>21</v>
      </c>
      <c r="P79" t="s">
        <v>82</v>
      </c>
      <c r="Q79" t="s">
        <v>440</v>
      </c>
      <c r="R79" s="34">
        <v>27.68</v>
      </c>
      <c r="S79" s="31">
        <v>2</v>
      </c>
      <c r="T79" s="35">
        <v>0.2</v>
      </c>
      <c r="U79" s="31">
        <v>9.688</v>
      </c>
    </row>
    <row r="80" spans="1:21">
      <c r="A80" s="31">
        <v>79</v>
      </c>
      <c r="B80" t="s">
        <v>39</v>
      </c>
      <c r="C80" s="32">
        <v>41890</v>
      </c>
      <c r="D80" s="32">
        <v>41894</v>
      </c>
      <c r="E80" t="s">
        <v>57</v>
      </c>
      <c r="F80" s="33" t="s">
        <v>441</v>
      </c>
      <c r="G80" t="s">
        <v>442</v>
      </c>
      <c r="H80" t="s">
        <v>16</v>
      </c>
      <c r="I80" t="s">
        <v>43</v>
      </c>
      <c r="J80" t="s">
        <v>443</v>
      </c>
      <c r="K80" t="s">
        <v>87</v>
      </c>
      <c r="L80" s="31">
        <v>78207</v>
      </c>
      <c r="M80" t="s">
        <v>8</v>
      </c>
      <c r="N80" s="33" t="s">
        <v>444</v>
      </c>
      <c r="O80" t="s">
        <v>21</v>
      </c>
      <c r="P80" t="s">
        <v>108</v>
      </c>
      <c r="Q80" t="s">
        <v>445</v>
      </c>
      <c r="R80" s="34">
        <v>9.936</v>
      </c>
      <c r="S80" s="31">
        <v>3</v>
      </c>
      <c r="T80" s="35">
        <v>0.2</v>
      </c>
      <c r="U80" s="31">
        <v>2.7324</v>
      </c>
    </row>
    <row r="81" spans="1:21">
      <c r="A81" s="31">
        <v>80</v>
      </c>
      <c r="B81" t="s">
        <v>39</v>
      </c>
      <c r="C81" s="32">
        <v>41856</v>
      </c>
      <c r="D81" s="32">
        <v>41860</v>
      </c>
      <c r="E81" t="s">
        <v>57</v>
      </c>
      <c r="F81" s="33" t="s">
        <v>446</v>
      </c>
      <c r="G81" t="s">
        <v>447</v>
      </c>
      <c r="H81" t="s">
        <v>16</v>
      </c>
      <c r="I81" t="s">
        <v>43</v>
      </c>
      <c r="J81" t="s">
        <v>51</v>
      </c>
      <c r="K81" t="s">
        <v>52</v>
      </c>
      <c r="L81" s="31">
        <v>90004</v>
      </c>
      <c r="M81" t="s">
        <v>11</v>
      </c>
      <c r="N81" s="33" t="s">
        <v>448</v>
      </c>
      <c r="O81" t="s">
        <v>21</v>
      </c>
      <c r="P81" t="s">
        <v>75</v>
      </c>
      <c r="Q81" t="s">
        <v>449</v>
      </c>
      <c r="R81" s="34">
        <v>20.94</v>
      </c>
      <c r="S81" s="31">
        <v>3</v>
      </c>
      <c r="T81" s="35">
        <v>0</v>
      </c>
      <c r="U81" s="31">
        <v>9.8418</v>
      </c>
    </row>
    <row r="82" spans="1:21">
      <c r="A82" s="31">
        <v>81</v>
      </c>
      <c r="B82" t="s">
        <v>56</v>
      </c>
      <c r="C82" s="32">
        <v>41896</v>
      </c>
      <c r="D82" s="32">
        <v>41901</v>
      </c>
      <c r="E82" t="s">
        <v>57</v>
      </c>
      <c r="F82" s="33" t="s">
        <v>450</v>
      </c>
      <c r="G82" t="s">
        <v>451</v>
      </c>
      <c r="H82" t="s">
        <v>17</v>
      </c>
      <c r="I82" t="s">
        <v>43</v>
      </c>
      <c r="J82" t="s">
        <v>209</v>
      </c>
      <c r="K82" t="s">
        <v>154</v>
      </c>
      <c r="L82" s="31">
        <v>60623</v>
      </c>
      <c r="M82" t="s">
        <v>8</v>
      </c>
      <c r="N82" s="33" t="s">
        <v>452</v>
      </c>
      <c r="O82" t="s">
        <v>21</v>
      </c>
      <c r="P82" t="s">
        <v>89</v>
      </c>
      <c r="Q82" t="s">
        <v>453</v>
      </c>
      <c r="R82" s="34">
        <v>52.448</v>
      </c>
      <c r="S82" s="31">
        <v>2</v>
      </c>
      <c r="T82" s="35">
        <v>0.8</v>
      </c>
      <c r="U82" s="31">
        <v>-131.12</v>
      </c>
    </row>
    <row r="83" spans="1:21">
      <c r="A83" s="31">
        <v>82</v>
      </c>
      <c r="B83" t="s">
        <v>56</v>
      </c>
      <c r="C83" s="32">
        <v>42846</v>
      </c>
      <c r="D83" s="32">
        <v>42850</v>
      </c>
      <c r="E83" t="s">
        <v>40</v>
      </c>
      <c r="F83" s="33" t="s">
        <v>454</v>
      </c>
      <c r="G83" t="s">
        <v>455</v>
      </c>
      <c r="H83" t="s">
        <v>16</v>
      </c>
      <c r="I83" t="s">
        <v>43</v>
      </c>
      <c r="J83" t="s">
        <v>136</v>
      </c>
      <c r="K83" t="s">
        <v>87</v>
      </c>
      <c r="L83" s="31">
        <v>77036</v>
      </c>
      <c r="M83" t="s">
        <v>8</v>
      </c>
      <c r="N83" s="33" t="s">
        <v>456</v>
      </c>
      <c r="O83" t="s">
        <v>21</v>
      </c>
      <c r="P83" t="s">
        <v>89</v>
      </c>
      <c r="Q83" t="s">
        <v>457</v>
      </c>
      <c r="R83" s="34">
        <v>97.264</v>
      </c>
      <c r="S83" s="31">
        <v>4</v>
      </c>
      <c r="T83" s="35">
        <v>0.8</v>
      </c>
      <c r="U83" s="31">
        <v>-243.16</v>
      </c>
    </row>
    <row r="84" spans="1:21">
      <c r="A84" s="31">
        <v>83</v>
      </c>
      <c r="B84" t="s">
        <v>39</v>
      </c>
      <c r="C84" s="32">
        <v>42353</v>
      </c>
      <c r="D84" s="32">
        <v>42357</v>
      </c>
      <c r="E84" t="s">
        <v>57</v>
      </c>
      <c r="F84" s="33" t="s">
        <v>458</v>
      </c>
      <c r="G84" t="s">
        <v>459</v>
      </c>
      <c r="H84" t="s">
        <v>18</v>
      </c>
      <c r="I84" t="s">
        <v>43</v>
      </c>
      <c r="J84" t="s">
        <v>193</v>
      </c>
      <c r="K84" t="s">
        <v>194</v>
      </c>
      <c r="L84" s="31">
        <v>10009</v>
      </c>
      <c r="M84" t="s">
        <v>9</v>
      </c>
      <c r="N84" s="33" t="s">
        <v>460</v>
      </c>
      <c r="O84" t="s">
        <v>21</v>
      </c>
      <c r="P84" t="s">
        <v>108</v>
      </c>
      <c r="Q84" t="s">
        <v>461</v>
      </c>
      <c r="R84" s="34">
        <v>3.28</v>
      </c>
      <c r="S84" s="31">
        <v>1</v>
      </c>
      <c r="T84" s="35">
        <v>0</v>
      </c>
      <c r="U84" s="31">
        <v>1.4104</v>
      </c>
    </row>
    <row r="85" spans="1:21">
      <c r="A85" s="31">
        <v>84</v>
      </c>
      <c r="B85" t="s">
        <v>39</v>
      </c>
      <c r="C85" s="32">
        <v>41978</v>
      </c>
      <c r="D85" s="32">
        <v>41982</v>
      </c>
      <c r="E85" t="s">
        <v>40</v>
      </c>
      <c r="F85" s="33" t="s">
        <v>462</v>
      </c>
      <c r="G85" t="s">
        <v>463</v>
      </c>
      <c r="H85" t="s">
        <v>17</v>
      </c>
      <c r="I85" t="s">
        <v>43</v>
      </c>
      <c r="J85" t="s">
        <v>240</v>
      </c>
      <c r="K85" t="s">
        <v>154</v>
      </c>
      <c r="L85" s="31">
        <v>62521</v>
      </c>
      <c r="M85" t="s">
        <v>8</v>
      </c>
      <c r="N85" s="33" t="s">
        <v>464</v>
      </c>
      <c r="O85" t="s">
        <v>21</v>
      </c>
      <c r="P85" t="s">
        <v>96</v>
      </c>
      <c r="Q85" t="s">
        <v>465</v>
      </c>
      <c r="R85" s="34">
        <v>24.816</v>
      </c>
      <c r="S85" s="31">
        <v>2</v>
      </c>
      <c r="T85" s="35">
        <v>0.2</v>
      </c>
      <c r="U85" s="31">
        <v>1.8612</v>
      </c>
    </row>
    <row r="86" spans="1:21">
      <c r="A86" s="31">
        <v>85</v>
      </c>
      <c r="B86" t="s">
        <v>39</v>
      </c>
      <c r="C86" s="32">
        <v>41962</v>
      </c>
      <c r="D86" s="32">
        <v>41967</v>
      </c>
      <c r="E86" t="s">
        <v>40</v>
      </c>
      <c r="F86" s="33" t="s">
        <v>466</v>
      </c>
      <c r="G86" t="s">
        <v>467</v>
      </c>
      <c r="H86" t="s">
        <v>18</v>
      </c>
      <c r="I86" t="s">
        <v>43</v>
      </c>
      <c r="J86" t="s">
        <v>468</v>
      </c>
      <c r="K86" t="s">
        <v>469</v>
      </c>
      <c r="L86" s="31">
        <v>71203</v>
      </c>
      <c r="M86" t="s">
        <v>10</v>
      </c>
      <c r="N86" s="33" t="s">
        <v>470</v>
      </c>
      <c r="O86" t="s">
        <v>22</v>
      </c>
      <c r="P86" t="s">
        <v>144</v>
      </c>
      <c r="Q86" t="s">
        <v>471</v>
      </c>
      <c r="R86" s="34">
        <v>503.96</v>
      </c>
      <c r="S86" s="31">
        <v>4</v>
      </c>
      <c r="T86" s="35">
        <v>0</v>
      </c>
      <c r="U86" s="31">
        <v>131.0296</v>
      </c>
    </row>
    <row r="87" spans="1:21">
      <c r="A87" s="31">
        <v>86</v>
      </c>
      <c r="B87" t="s">
        <v>39</v>
      </c>
      <c r="C87" s="32">
        <v>42702</v>
      </c>
      <c r="D87" s="32">
        <v>42706</v>
      </c>
      <c r="E87" t="s">
        <v>57</v>
      </c>
      <c r="F87" s="33" t="s">
        <v>472</v>
      </c>
      <c r="G87" t="s">
        <v>473</v>
      </c>
      <c r="H87" t="s">
        <v>16</v>
      </c>
      <c r="I87" t="s">
        <v>43</v>
      </c>
      <c r="J87" t="s">
        <v>474</v>
      </c>
      <c r="K87" t="s">
        <v>475</v>
      </c>
      <c r="L87" s="31">
        <v>6824</v>
      </c>
      <c r="M87" t="s">
        <v>9</v>
      </c>
      <c r="N87" s="33" t="s">
        <v>476</v>
      </c>
      <c r="O87" t="s">
        <v>21</v>
      </c>
      <c r="P87" t="s">
        <v>82</v>
      </c>
      <c r="Q87" t="s">
        <v>477</v>
      </c>
      <c r="R87" s="34">
        <v>7.16</v>
      </c>
      <c r="S87" s="31">
        <v>2</v>
      </c>
      <c r="T87" s="35">
        <v>0</v>
      </c>
      <c r="U87" s="31">
        <v>3.4368</v>
      </c>
    </row>
    <row r="88" spans="1:21">
      <c r="A88" s="31">
        <v>87</v>
      </c>
      <c r="B88" t="s">
        <v>39</v>
      </c>
      <c r="C88" s="32">
        <v>41877</v>
      </c>
      <c r="D88" s="32">
        <v>41881</v>
      </c>
      <c r="E88" t="s">
        <v>57</v>
      </c>
      <c r="F88" s="33" t="s">
        <v>478</v>
      </c>
      <c r="G88" t="s">
        <v>479</v>
      </c>
      <c r="H88" t="s">
        <v>18</v>
      </c>
      <c r="I88" t="s">
        <v>43</v>
      </c>
      <c r="J88" t="s">
        <v>51</v>
      </c>
      <c r="K88" t="s">
        <v>52</v>
      </c>
      <c r="L88" s="31">
        <v>90032</v>
      </c>
      <c r="M88" t="s">
        <v>11</v>
      </c>
      <c r="N88" s="33" t="s">
        <v>480</v>
      </c>
      <c r="O88" t="s">
        <v>22</v>
      </c>
      <c r="P88" t="s">
        <v>171</v>
      </c>
      <c r="Q88" t="s">
        <v>481</v>
      </c>
      <c r="R88" s="34">
        <v>176.8</v>
      </c>
      <c r="S88" s="31">
        <v>8</v>
      </c>
      <c r="T88" s="35">
        <v>0</v>
      </c>
      <c r="U88" s="31">
        <v>22.984</v>
      </c>
    </row>
    <row r="89" spans="1:21">
      <c r="A89" s="31">
        <v>88</v>
      </c>
      <c r="B89" t="s">
        <v>39</v>
      </c>
      <c r="C89" s="32">
        <v>42567</v>
      </c>
      <c r="D89" s="32">
        <v>42573</v>
      </c>
      <c r="E89" t="s">
        <v>57</v>
      </c>
      <c r="F89" s="33" t="s">
        <v>482</v>
      </c>
      <c r="G89" t="s">
        <v>483</v>
      </c>
      <c r="H89" t="s">
        <v>17</v>
      </c>
      <c r="I89" t="s">
        <v>43</v>
      </c>
      <c r="J89" t="s">
        <v>484</v>
      </c>
      <c r="K89" t="s">
        <v>87</v>
      </c>
      <c r="L89" s="31">
        <v>75051</v>
      </c>
      <c r="M89" t="s">
        <v>8</v>
      </c>
      <c r="N89" s="33" t="s">
        <v>485</v>
      </c>
      <c r="O89" t="s">
        <v>21</v>
      </c>
      <c r="P89" t="s">
        <v>96</v>
      </c>
      <c r="Q89" t="s">
        <v>486</v>
      </c>
      <c r="R89" s="34">
        <v>37.224</v>
      </c>
      <c r="S89" s="31">
        <v>3</v>
      </c>
      <c r="T89" s="35">
        <v>0.2</v>
      </c>
      <c r="U89" s="31">
        <v>3.7224</v>
      </c>
    </row>
    <row r="90" spans="1:21">
      <c r="A90" s="31">
        <v>89</v>
      </c>
      <c r="B90" t="s">
        <v>39</v>
      </c>
      <c r="C90" s="32">
        <v>42289</v>
      </c>
      <c r="D90" s="32">
        <v>42291</v>
      </c>
      <c r="E90" t="s">
        <v>139</v>
      </c>
      <c r="F90" s="33" t="s">
        <v>487</v>
      </c>
      <c r="G90" t="s">
        <v>488</v>
      </c>
      <c r="H90" t="s">
        <v>18</v>
      </c>
      <c r="I90" t="s">
        <v>43</v>
      </c>
      <c r="J90" t="s">
        <v>193</v>
      </c>
      <c r="K90" t="s">
        <v>194</v>
      </c>
      <c r="L90" s="31">
        <v>10035</v>
      </c>
      <c r="M90" t="s">
        <v>9</v>
      </c>
      <c r="N90" s="33" t="s">
        <v>489</v>
      </c>
      <c r="O90" t="s">
        <v>20</v>
      </c>
      <c r="P90" t="s">
        <v>47</v>
      </c>
      <c r="Q90" t="s">
        <v>490</v>
      </c>
      <c r="R90" s="34">
        <v>899.136</v>
      </c>
      <c r="S90" s="31">
        <v>4</v>
      </c>
      <c r="T90" s="35">
        <v>0.2</v>
      </c>
      <c r="U90" s="31">
        <v>112.392</v>
      </c>
    </row>
    <row r="91" spans="1:21">
      <c r="A91" s="31">
        <v>90</v>
      </c>
      <c r="B91" t="s">
        <v>39</v>
      </c>
      <c r="C91" s="32">
        <v>42308</v>
      </c>
      <c r="D91" s="32">
        <v>42314</v>
      </c>
      <c r="E91" t="s">
        <v>57</v>
      </c>
      <c r="F91" s="33" t="s">
        <v>491</v>
      </c>
      <c r="G91" t="s">
        <v>492</v>
      </c>
      <c r="H91" t="s">
        <v>17</v>
      </c>
      <c r="I91" t="s">
        <v>43</v>
      </c>
      <c r="J91" t="s">
        <v>493</v>
      </c>
      <c r="K91" t="s">
        <v>52</v>
      </c>
      <c r="L91" s="31">
        <v>92374</v>
      </c>
      <c r="M91" t="s">
        <v>11</v>
      </c>
      <c r="N91" s="33" t="s">
        <v>494</v>
      </c>
      <c r="O91" t="s">
        <v>21</v>
      </c>
      <c r="P91" t="s">
        <v>149</v>
      </c>
      <c r="Q91" t="s">
        <v>495</v>
      </c>
      <c r="R91" s="34">
        <v>14.28</v>
      </c>
      <c r="S91" s="31">
        <v>7</v>
      </c>
      <c r="T91" s="35">
        <v>0</v>
      </c>
      <c r="U91" s="31">
        <v>6.7116</v>
      </c>
    </row>
    <row r="92" spans="1:21">
      <c r="A92" s="31">
        <v>91</v>
      </c>
      <c r="B92" t="s">
        <v>39</v>
      </c>
      <c r="C92" s="32">
        <v>41719</v>
      </c>
      <c r="D92" s="32">
        <v>41723</v>
      </c>
      <c r="E92" t="s">
        <v>57</v>
      </c>
      <c r="F92" s="33" t="s">
        <v>496</v>
      </c>
      <c r="G92" t="s">
        <v>497</v>
      </c>
      <c r="H92" t="s">
        <v>16</v>
      </c>
      <c r="I92" t="s">
        <v>43</v>
      </c>
      <c r="J92" t="s">
        <v>498</v>
      </c>
      <c r="K92" t="s">
        <v>331</v>
      </c>
      <c r="L92" s="31">
        <v>45011</v>
      </c>
      <c r="M92" t="s">
        <v>9</v>
      </c>
      <c r="N92" s="33" t="s">
        <v>499</v>
      </c>
      <c r="O92" t="s">
        <v>21</v>
      </c>
      <c r="P92" t="s">
        <v>108</v>
      </c>
      <c r="Q92" t="s">
        <v>500</v>
      </c>
      <c r="R92" s="34">
        <v>7.408</v>
      </c>
      <c r="S92" s="31">
        <v>2</v>
      </c>
      <c r="T92" s="35">
        <v>0.2</v>
      </c>
      <c r="U92" s="31">
        <v>1.2038</v>
      </c>
    </row>
    <row r="93" spans="1:21">
      <c r="A93" s="31">
        <v>92</v>
      </c>
      <c r="B93" t="s">
        <v>39</v>
      </c>
      <c r="C93" s="32">
        <v>43045</v>
      </c>
      <c r="D93" s="32">
        <v>43052</v>
      </c>
      <c r="E93" t="s">
        <v>57</v>
      </c>
      <c r="F93" s="33" t="s">
        <v>501</v>
      </c>
      <c r="G93" t="s">
        <v>502</v>
      </c>
      <c r="H93" t="s">
        <v>18</v>
      </c>
      <c r="I93" t="s">
        <v>43</v>
      </c>
      <c r="J93" t="s">
        <v>503</v>
      </c>
      <c r="K93" t="s">
        <v>504</v>
      </c>
      <c r="L93" s="31">
        <v>7090</v>
      </c>
      <c r="M93" t="s">
        <v>9</v>
      </c>
      <c r="N93" s="33" t="s">
        <v>505</v>
      </c>
      <c r="O93" t="s">
        <v>21</v>
      </c>
      <c r="P93" t="s">
        <v>96</v>
      </c>
      <c r="Q93" t="s">
        <v>506</v>
      </c>
      <c r="R93" s="34">
        <v>46.26</v>
      </c>
      <c r="S93" s="31">
        <v>3</v>
      </c>
      <c r="T93" s="35">
        <v>0</v>
      </c>
      <c r="U93" s="31">
        <v>12.0276</v>
      </c>
    </row>
    <row r="94" spans="1:21">
      <c r="A94" s="31">
        <v>93</v>
      </c>
      <c r="B94" t="s">
        <v>56</v>
      </c>
      <c r="C94" s="32">
        <v>42922</v>
      </c>
      <c r="D94" s="32">
        <v>42929</v>
      </c>
      <c r="E94" t="s">
        <v>57</v>
      </c>
      <c r="F94" s="33" t="s">
        <v>507</v>
      </c>
      <c r="G94" t="s">
        <v>508</v>
      </c>
      <c r="H94" t="s">
        <v>17</v>
      </c>
      <c r="I94" t="s">
        <v>43</v>
      </c>
      <c r="J94" t="s">
        <v>118</v>
      </c>
      <c r="K94" t="s">
        <v>119</v>
      </c>
      <c r="L94" s="31">
        <v>19120</v>
      </c>
      <c r="M94" t="s">
        <v>9</v>
      </c>
      <c r="N94" s="33" t="s">
        <v>509</v>
      </c>
      <c r="O94" t="s">
        <v>21</v>
      </c>
      <c r="P94" t="s">
        <v>82</v>
      </c>
      <c r="Q94" t="s">
        <v>510</v>
      </c>
      <c r="R94" s="34">
        <v>2.946</v>
      </c>
      <c r="S94" s="31">
        <v>2</v>
      </c>
      <c r="T94" s="35">
        <v>0.7</v>
      </c>
      <c r="U94" s="31">
        <v>-2.2586</v>
      </c>
    </row>
    <row r="95" spans="1:21">
      <c r="A95" s="31">
        <v>94</v>
      </c>
      <c r="B95" t="s">
        <v>39</v>
      </c>
      <c r="C95" s="32">
        <v>42910</v>
      </c>
      <c r="D95" s="32">
        <v>42915</v>
      </c>
      <c r="E95" t="s">
        <v>57</v>
      </c>
      <c r="F95" s="33" t="s">
        <v>511</v>
      </c>
      <c r="G95" t="s">
        <v>512</v>
      </c>
      <c r="H95" t="s">
        <v>16</v>
      </c>
      <c r="I95" t="s">
        <v>43</v>
      </c>
      <c r="J95" t="s">
        <v>513</v>
      </c>
      <c r="K95" t="s">
        <v>331</v>
      </c>
      <c r="L95" s="31">
        <v>44312</v>
      </c>
      <c r="M95" t="s">
        <v>9</v>
      </c>
      <c r="N95" s="33" t="s">
        <v>514</v>
      </c>
      <c r="O95" t="s">
        <v>21</v>
      </c>
      <c r="P95" t="s">
        <v>75</v>
      </c>
      <c r="Q95" t="s">
        <v>515</v>
      </c>
      <c r="R95" s="34">
        <v>21.744</v>
      </c>
      <c r="S95" s="31">
        <v>3</v>
      </c>
      <c r="T95" s="35">
        <v>0.2</v>
      </c>
      <c r="U95" s="31">
        <v>6.795</v>
      </c>
    </row>
    <row r="96" spans="1:21">
      <c r="A96" s="31">
        <v>95</v>
      </c>
      <c r="B96" t="s">
        <v>39</v>
      </c>
      <c r="C96" s="32">
        <v>41854</v>
      </c>
      <c r="D96" s="32">
        <v>41856</v>
      </c>
      <c r="E96" t="s">
        <v>139</v>
      </c>
      <c r="F96" s="33" t="s">
        <v>516</v>
      </c>
      <c r="G96" t="s">
        <v>517</v>
      </c>
      <c r="H96" t="s">
        <v>16</v>
      </c>
      <c r="I96" t="s">
        <v>43</v>
      </c>
      <c r="J96" t="s">
        <v>518</v>
      </c>
      <c r="K96" t="s">
        <v>305</v>
      </c>
      <c r="L96" s="31">
        <v>80219</v>
      </c>
      <c r="M96" t="s">
        <v>11</v>
      </c>
      <c r="N96" s="33" t="s">
        <v>519</v>
      </c>
      <c r="O96" t="s">
        <v>20</v>
      </c>
      <c r="P96" t="s">
        <v>63</v>
      </c>
      <c r="Q96" t="s">
        <v>520</v>
      </c>
      <c r="R96" s="34">
        <v>218.75</v>
      </c>
      <c r="S96" s="31">
        <v>2</v>
      </c>
      <c r="T96" s="35">
        <v>0.5</v>
      </c>
      <c r="U96" s="31">
        <v>-161.875</v>
      </c>
    </row>
    <row r="97" spans="1:21">
      <c r="A97" s="31">
        <v>96</v>
      </c>
      <c r="B97" t="s">
        <v>56</v>
      </c>
      <c r="C97" s="32">
        <v>43086</v>
      </c>
      <c r="D97" s="32">
        <v>43090</v>
      </c>
      <c r="E97" t="s">
        <v>40</v>
      </c>
      <c r="F97" s="33" t="s">
        <v>521</v>
      </c>
      <c r="G97" t="s">
        <v>522</v>
      </c>
      <c r="H97" t="s">
        <v>16</v>
      </c>
      <c r="I97" t="s">
        <v>43</v>
      </c>
      <c r="J97" t="s">
        <v>523</v>
      </c>
      <c r="K97" t="s">
        <v>87</v>
      </c>
      <c r="L97" s="31">
        <v>75220</v>
      </c>
      <c r="M97" t="s">
        <v>8</v>
      </c>
      <c r="N97" s="33" t="s">
        <v>524</v>
      </c>
      <c r="O97" t="s">
        <v>21</v>
      </c>
      <c r="P97" t="s">
        <v>89</v>
      </c>
      <c r="Q97" t="s">
        <v>525</v>
      </c>
      <c r="R97" s="34">
        <v>66.284</v>
      </c>
      <c r="S97" s="31">
        <v>2</v>
      </c>
      <c r="T97" s="35">
        <v>0.8</v>
      </c>
      <c r="U97" s="31">
        <v>-178.9668</v>
      </c>
    </row>
    <row r="98" spans="1:21">
      <c r="A98" s="31">
        <v>97</v>
      </c>
      <c r="B98" t="s">
        <v>39</v>
      </c>
      <c r="C98" s="32">
        <v>42889</v>
      </c>
      <c r="D98" s="32">
        <v>42893</v>
      </c>
      <c r="E98" t="s">
        <v>57</v>
      </c>
      <c r="F98" s="33" t="s">
        <v>526</v>
      </c>
      <c r="G98" t="s">
        <v>527</v>
      </c>
      <c r="H98" t="s">
        <v>17</v>
      </c>
      <c r="I98" t="s">
        <v>43</v>
      </c>
      <c r="J98" t="s">
        <v>398</v>
      </c>
      <c r="K98" t="s">
        <v>231</v>
      </c>
      <c r="L98" s="31">
        <v>37064</v>
      </c>
      <c r="M98" t="s">
        <v>10</v>
      </c>
      <c r="N98" s="33" t="s">
        <v>528</v>
      </c>
      <c r="O98" t="s">
        <v>20</v>
      </c>
      <c r="P98" t="s">
        <v>68</v>
      </c>
      <c r="Q98" t="s">
        <v>529</v>
      </c>
      <c r="R98" s="34">
        <v>35.168</v>
      </c>
      <c r="S98" s="31">
        <v>7</v>
      </c>
      <c r="T98" s="35">
        <v>0.2</v>
      </c>
      <c r="U98" s="31">
        <v>9.6712</v>
      </c>
    </row>
    <row r="99" spans="1:21">
      <c r="A99" s="31">
        <v>98</v>
      </c>
      <c r="B99" t="s">
        <v>39</v>
      </c>
      <c r="C99" s="32">
        <v>43078</v>
      </c>
      <c r="D99" s="32">
        <v>43083</v>
      </c>
      <c r="E99" t="s">
        <v>57</v>
      </c>
      <c r="F99" s="33" t="s">
        <v>530</v>
      </c>
      <c r="G99" t="s">
        <v>531</v>
      </c>
      <c r="H99" t="s">
        <v>16</v>
      </c>
      <c r="I99" t="s">
        <v>43</v>
      </c>
      <c r="J99" t="s">
        <v>532</v>
      </c>
      <c r="K99" t="s">
        <v>52</v>
      </c>
      <c r="L99" s="31">
        <v>90604</v>
      </c>
      <c r="M99" t="s">
        <v>11</v>
      </c>
      <c r="N99" s="33" t="s">
        <v>533</v>
      </c>
      <c r="O99" t="s">
        <v>22</v>
      </c>
      <c r="P99" t="s">
        <v>144</v>
      </c>
      <c r="Q99" t="s">
        <v>534</v>
      </c>
      <c r="R99" s="34">
        <v>444.768</v>
      </c>
      <c r="S99" s="31">
        <v>4</v>
      </c>
      <c r="T99" s="35">
        <v>0.2</v>
      </c>
      <c r="U99" s="31">
        <v>44.4768</v>
      </c>
    </row>
    <row r="100" spans="1:21">
      <c r="A100" s="31">
        <v>99</v>
      </c>
      <c r="B100" t="s">
        <v>39</v>
      </c>
      <c r="C100" s="32">
        <v>43070</v>
      </c>
      <c r="D100" s="32">
        <v>43076</v>
      </c>
      <c r="E100" t="s">
        <v>57</v>
      </c>
      <c r="F100" s="33" t="s">
        <v>535</v>
      </c>
      <c r="G100" t="s">
        <v>536</v>
      </c>
      <c r="H100" t="s">
        <v>16</v>
      </c>
      <c r="I100" t="s">
        <v>43</v>
      </c>
      <c r="J100" t="s">
        <v>537</v>
      </c>
      <c r="K100" t="s">
        <v>176</v>
      </c>
      <c r="L100" s="31">
        <v>48601</v>
      </c>
      <c r="M100" t="s">
        <v>8</v>
      </c>
      <c r="N100" s="33" t="s">
        <v>538</v>
      </c>
      <c r="O100" t="s">
        <v>21</v>
      </c>
      <c r="P100" t="s">
        <v>96</v>
      </c>
      <c r="Q100" t="s">
        <v>539</v>
      </c>
      <c r="R100" s="34">
        <v>83.92</v>
      </c>
      <c r="S100" s="31">
        <v>4</v>
      </c>
      <c r="T100" s="35">
        <v>0</v>
      </c>
      <c r="U100" s="31">
        <v>5.8744</v>
      </c>
    </row>
    <row r="101" spans="1:21">
      <c r="A101" s="31">
        <v>100</v>
      </c>
      <c r="B101" t="s">
        <v>39</v>
      </c>
      <c r="C101" s="32">
        <v>42044</v>
      </c>
      <c r="D101" s="32">
        <v>42048</v>
      </c>
      <c r="E101" t="s">
        <v>40</v>
      </c>
      <c r="F101" s="33" t="s">
        <v>540</v>
      </c>
      <c r="G101" t="s">
        <v>541</v>
      </c>
      <c r="H101" t="s">
        <v>17</v>
      </c>
      <c r="I101" t="s">
        <v>43</v>
      </c>
      <c r="J101" t="s">
        <v>523</v>
      </c>
      <c r="K101" t="s">
        <v>87</v>
      </c>
      <c r="L101" s="31">
        <v>75220</v>
      </c>
      <c r="M101" t="s">
        <v>8</v>
      </c>
      <c r="N101" s="33" t="s">
        <v>542</v>
      </c>
      <c r="O101" t="s">
        <v>22</v>
      </c>
      <c r="P101" t="s">
        <v>171</v>
      </c>
      <c r="Q101" t="s">
        <v>543</v>
      </c>
      <c r="R101" s="34">
        <v>20.8</v>
      </c>
      <c r="S101" s="31">
        <v>2</v>
      </c>
      <c r="T101" s="35">
        <v>0.2</v>
      </c>
      <c r="U101" s="31">
        <v>6.5</v>
      </c>
    </row>
    <row r="102" spans="1:21">
      <c r="A102" s="31">
        <v>101</v>
      </c>
      <c r="B102" t="s">
        <v>39</v>
      </c>
      <c r="C102" s="32">
        <v>42006</v>
      </c>
      <c r="D102" s="32">
        <v>42013</v>
      </c>
      <c r="E102" t="s">
        <v>57</v>
      </c>
      <c r="F102" s="33" t="s">
        <v>544</v>
      </c>
      <c r="G102" t="s">
        <v>545</v>
      </c>
      <c r="H102" t="s">
        <v>17</v>
      </c>
      <c r="I102" t="s">
        <v>43</v>
      </c>
      <c r="J102" t="s">
        <v>546</v>
      </c>
      <c r="K102" t="s">
        <v>331</v>
      </c>
      <c r="L102" s="31">
        <v>44256</v>
      </c>
      <c r="M102" t="s">
        <v>9</v>
      </c>
      <c r="N102" s="33" t="s">
        <v>547</v>
      </c>
      <c r="O102" t="s">
        <v>21</v>
      </c>
      <c r="P102" t="s">
        <v>54</v>
      </c>
      <c r="Q102" t="s">
        <v>548</v>
      </c>
      <c r="R102" s="34">
        <v>23.68</v>
      </c>
      <c r="S102" s="31">
        <v>2</v>
      </c>
      <c r="T102" s="35">
        <v>0.2</v>
      </c>
      <c r="U102" s="31">
        <v>8.88</v>
      </c>
    </row>
    <row r="103" spans="1:21">
      <c r="A103" s="31">
        <v>102</v>
      </c>
      <c r="B103" t="s">
        <v>39</v>
      </c>
      <c r="C103" s="32">
        <v>42671</v>
      </c>
      <c r="D103" s="32">
        <v>42675</v>
      </c>
      <c r="E103" t="s">
        <v>57</v>
      </c>
      <c r="F103" s="33" t="s">
        <v>549</v>
      </c>
      <c r="G103" t="s">
        <v>550</v>
      </c>
      <c r="H103" t="s">
        <v>16</v>
      </c>
      <c r="I103" t="s">
        <v>43</v>
      </c>
      <c r="J103" t="s">
        <v>51</v>
      </c>
      <c r="K103" t="s">
        <v>52</v>
      </c>
      <c r="L103" s="31">
        <v>90032</v>
      </c>
      <c r="M103" t="s">
        <v>11</v>
      </c>
      <c r="N103" s="33" t="s">
        <v>485</v>
      </c>
      <c r="O103" t="s">
        <v>21</v>
      </c>
      <c r="P103" t="s">
        <v>96</v>
      </c>
      <c r="Q103" t="s">
        <v>486</v>
      </c>
      <c r="R103" s="34">
        <v>93.06</v>
      </c>
      <c r="S103" s="31">
        <v>6</v>
      </c>
      <c r="T103" s="35">
        <v>0</v>
      </c>
      <c r="U103" s="31">
        <v>26.0568</v>
      </c>
    </row>
    <row r="104" spans="1:21">
      <c r="A104" s="31">
        <v>103</v>
      </c>
      <c r="B104" t="s">
        <v>39</v>
      </c>
      <c r="C104" s="32">
        <v>42362</v>
      </c>
      <c r="D104" s="32">
        <v>42365</v>
      </c>
      <c r="E104" t="s">
        <v>139</v>
      </c>
      <c r="F104" s="33" t="s">
        <v>551</v>
      </c>
      <c r="G104" t="s">
        <v>552</v>
      </c>
      <c r="H104" t="s">
        <v>16</v>
      </c>
      <c r="I104" t="s">
        <v>43</v>
      </c>
      <c r="J104" t="s">
        <v>553</v>
      </c>
      <c r="K104" t="s">
        <v>331</v>
      </c>
      <c r="L104" s="31">
        <v>43017</v>
      </c>
      <c r="M104" t="s">
        <v>9</v>
      </c>
      <c r="N104" s="33" t="s">
        <v>554</v>
      </c>
      <c r="O104" t="s">
        <v>21</v>
      </c>
      <c r="P104" t="s">
        <v>196</v>
      </c>
      <c r="Q104" t="s">
        <v>555</v>
      </c>
      <c r="R104" s="34">
        <v>5.584</v>
      </c>
      <c r="S104" s="31">
        <v>2</v>
      </c>
      <c r="T104" s="35">
        <v>0.2</v>
      </c>
      <c r="U104" s="31">
        <v>1.8148</v>
      </c>
    </row>
    <row r="105" spans="1:21">
      <c r="A105" s="31">
        <v>104</v>
      </c>
      <c r="B105" t="s">
        <v>39</v>
      </c>
      <c r="C105" s="32">
        <v>42225</v>
      </c>
      <c r="D105" s="32">
        <v>42232</v>
      </c>
      <c r="E105" t="s">
        <v>57</v>
      </c>
      <c r="F105" s="33" t="s">
        <v>556</v>
      </c>
      <c r="G105" t="s">
        <v>557</v>
      </c>
      <c r="H105" t="s">
        <v>17</v>
      </c>
      <c r="I105" t="s">
        <v>43</v>
      </c>
      <c r="J105" t="s">
        <v>558</v>
      </c>
      <c r="K105" t="s">
        <v>176</v>
      </c>
      <c r="L105" s="31">
        <v>48227</v>
      </c>
      <c r="M105" t="s">
        <v>8</v>
      </c>
      <c r="N105" s="33" t="s">
        <v>559</v>
      </c>
      <c r="O105" t="s">
        <v>21</v>
      </c>
      <c r="P105" t="s">
        <v>108</v>
      </c>
      <c r="Q105" t="s">
        <v>560</v>
      </c>
      <c r="R105" s="34">
        <v>2.2</v>
      </c>
      <c r="S105" s="31">
        <v>1</v>
      </c>
      <c r="T105" s="35">
        <v>0</v>
      </c>
      <c r="U105" s="31">
        <v>0.968</v>
      </c>
    </row>
    <row r="106" spans="1:21">
      <c r="A106" s="31">
        <v>105</v>
      </c>
      <c r="B106" t="s">
        <v>56</v>
      </c>
      <c r="C106" s="32">
        <v>42063</v>
      </c>
      <c r="D106" s="32">
        <v>42067</v>
      </c>
      <c r="E106" t="s">
        <v>57</v>
      </c>
      <c r="F106" s="33" t="s">
        <v>561</v>
      </c>
      <c r="G106" t="s">
        <v>562</v>
      </c>
      <c r="H106" t="s">
        <v>16</v>
      </c>
      <c r="I106" t="s">
        <v>43</v>
      </c>
      <c r="J106" t="s">
        <v>563</v>
      </c>
      <c r="K106" t="s">
        <v>231</v>
      </c>
      <c r="L106" s="31">
        <v>38401</v>
      </c>
      <c r="M106" t="s">
        <v>10</v>
      </c>
      <c r="N106" s="33" t="s">
        <v>564</v>
      </c>
      <c r="O106" t="s">
        <v>20</v>
      </c>
      <c r="P106" t="s">
        <v>121</v>
      </c>
      <c r="Q106" t="s">
        <v>565</v>
      </c>
      <c r="R106" s="34">
        <v>161.568</v>
      </c>
      <c r="S106" s="31">
        <v>2</v>
      </c>
      <c r="T106" s="35">
        <v>0.2</v>
      </c>
      <c r="U106" s="31">
        <v>-28.2744</v>
      </c>
    </row>
    <row r="107" spans="1:21">
      <c r="A107" s="31">
        <v>106</v>
      </c>
      <c r="B107" t="s">
        <v>56</v>
      </c>
      <c r="C107" s="32">
        <v>41895</v>
      </c>
      <c r="D107" s="32">
        <v>41899</v>
      </c>
      <c r="E107" t="s">
        <v>57</v>
      </c>
      <c r="F107" s="33" t="s">
        <v>566</v>
      </c>
      <c r="G107" t="s">
        <v>567</v>
      </c>
      <c r="H107" t="s">
        <v>17</v>
      </c>
      <c r="I107" t="s">
        <v>43</v>
      </c>
      <c r="J107" t="s">
        <v>310</v>
      </c>
      <c r="K107" t="s">
        <v>73</v>
      </c>
      <c r="L107" s="31">
        <v>28205</v>
      </c>
      <c r="M107" t="s">
        <v>10</v>
      </c>
      <c r="N107" s="33" t="s">
        <v>568</v>
      </c>
      <c r="O107" t="s">
        <v>21</v>
      </c>
      <c r="P107" t="s">
        <v>82</v>
      </c>
      <c r="Q107" t="s">
        <v>569</v>
      </c>
      <c r="R107" s="34">
        <v>18.648</v>
      </c>
      <c r="S107" s="31">
        <v>7</v>
      </c>
      <c r="T107" s="35">
        <v>0.7</v>
      </c>
      <c r="U107" s="31">
        <v>-12.432</v>
      </c>
    </row>
    <row r="108" spans="1:21">
      <c r="A108" s="31">
        <v>107</v>
      </c>
      <c r="B108" t="s">
        <v>39</v>
      </c>
      <c r="C108" s="32">
        <v>43051</v>
      </c>
      <c r="D108" s="32">
        <v>43055</v>
      </c>
      <c r="E108" t="s">
        <v>57</v>
      </c>
      <c r="F108" s="33" t="s">
        <v>570</v>
      </c>
      <c r="G108" t="s">
        <v>571</v>
      </c>
      <c r="H108" t="s">
        <v>17</v>
      </c>
      <c r="I108" t="s">
        <v>43</v>
      </c>
      <c r="J108" t="s">
        <v>572</v>
      </c>
      <c r="K108" t="s">
        <v>52</v>
      </c>
      <c r="L108" s="31">
        <v>95051</v>
      </c>
      <c r="M108" t="s">
        <v>11</v>
      </c>
      <c r="N108" s="33" t="s">
        <v>573</v>
      </c>
      <c r="O108" t="s">
        <v>21</v>
      </c>
      <c r="P108" t="s">
        <v>75</v>
      </c>
      <c r="Q108" t="s">
        <v>574</v>
      </c>
      <c r="R108" s="34">
        <v>10.56</v>
      </c>
      <c r="S108" s="31">
        <v>2</v>
      </c>
      <c r="T108" s="35">
        <v>0</v>
      </c>
      <c r="U108" s="31">
        <v>4.752</v>
      </c>
    </row>
    <row r="109" spans="1:21">
      <c r="A109" s="31">
        <v>108</v>
      </c>
      <c r="B109" t="s">
        <v>39</v>
      </c>
      <c r="C109" s="32">
        <v>42525</v>
      </c>
      <c r="D109" s="32">
        <v>42530</v>
      </c>
      <c r="E109" t="s">
        <v>40</v>
      </c>
      <c r="F109" s="33" t="s">
        <v>575</v>
      </c>
      <c r="G109" t="s">
        <v>576</v>
      </c>
      <c r="H109" t="s">
        <v>16</v>
      </c>
      <c r="I109" t="s">
        <v>43</v>
      </c>
      <c r="J109" t="s">
        <v>209</v>
      </c>
      <c r="K109" t="s">
        <v>154</v>
      </c>
      <c r="L109" s="31">
        <v>60610</v>
      </c>
      <c r="M109" t="s">
        <v>8</v>
      </c>
      <c r="N109" s="33" t="s">
        <v>577</v>
      </c>
      <c r="O109" t="s">
        <v>21</v>
      </c>
      <c r="P109" t="s">
        <v>75</v>
      </c>
      <c r="Q109" t="s">
        <v>578</v>
      </c>
      <c r="R109" s="34">
        <v>25.92</v>
      </c>
      <c r="S109" s="31">
        <v>5</v>
      </c>
      <c r="T109" s="35">
        <v>0.2</v>
      </c>
      <c r="U109" s="31">
        <v>9.396</v>
      </c>
    </row>
    <row r="110" spans="1:21">
      <c r="A110" s="31">
        <v>109</v>
      </c>
      <c r="B110" t="s">
        <v>39</v>
      </c>
      <c r="C110" s="32">
        <v>41791</v>
      </c>
      <c r="D110" s="32">
        <v>41796</v>
      </c>
      <c r="E110" t="s">
        <v>40</v>
      </c>
      <c r="F110" s="33" t="s">
        <v>579</v>
      </c>
      <c r="G110" t="s">
        <v>580</v>
      </c>
      <c r="H110" t="s">
        <v>18</v>
      </c>
      <c r="I110" t="s">
        <v>43</v>
      </c>
      <c r="J110" t="s">
        <v>581</v>
      </c>
      <c r="K110" t="s">
        <v>169</v>
      </c>
      <c r="L110" s="31">
        <v>55044</v>
      </c>
      <c r="M110" t="s">
        <v>8</v>
      </c>
      <c r="N110" s="33" t="s">
        <v>350</v>
      </c>
      <c r="O110" t="s">
        <v>20</v>
      </c>
      <c r="P110" t="s">
        <v>121</v>
      </c>
      <c r="Q110" t="s">
        <v>351</v>
      </c>
      <c r="R110" s="34">
        <v>2001.86</v>
      </c>
      <c r="S110" s="31">
        <v>7</v>
      </c>
      <c r="T110" s="35">
        <v>0</v>
      </c>
      <c r="U110" s="31">
        <v>580.5394</v>
      </c>
    </row>
    <row r="111" spans="1:21">
      <c r="A111" s="31">
        <v>110</v>
      </c>
      <c r="B111" t="s">
        <v>39</v>
      </c>
      <c r="C111" s="32">
        <v>42714</v>
      </c>
      <c r="D111" s="32">
        <v>42719</v>
      </c>
      <c r="E111" t="s">
        <v>40</v>
      </c>
      <c r="F111" s="33" t="s">
        <v>582</v>
      </c>
      <c r="G111" t="s">
        <v>583</v>
      </c>
      <c r="H111" t="s">
        <v>16</v>
      </c>
      <c r="I111" t="s">
        <v>43</v>
      </c>
      <c r="J111" t="s">
        <v>106</v>
      </c>
      <c r="K111" t="s">
        <v>52</v>
      </c>
      <c r="L111" s="31">
        <v>94109</v>
      </c>
      <c r="M111" t="s">
        <v>11</v>
      </c>
      <c r="N111" s="33" t="s">
        <v>584</v>
      </c>
      <c r="O111" t="s">
        <v>20</v>
      </c>
      <c r="P111" t="s">
        <v>121</v>
      </c>
      <c r="Q111" t="s">
        <v>585</v>
      </c>
      <c r="R111" s="34">
        <v>321.568</v>
      </c>
      <c r="S111" s="31">
        <v>2</v>
      </c>
      <c r="T111" s="35">
        <v>0.2</v>
      </c>
      <c r="U111" s="31">
        <v>28.1372</v>
      </c>
    </row>
    <row r="112" spans="1:21">
      <c r="A112" s="31">
        <v>111</v>
      </c>
      <c r="B112" t="s">
        <v>39</v>
      </c>
      <c r="C112" s="32">
        <v>42624</v>
      </c>
      <c r="D112" s="32">
        <v>42630</v>
      </c>
      <c r="E112" t="s">
        <v>57</v>
      </c>
      <c r="F112" s="33" t="s">
        <v>586</v>
      </c>
      <c r="G112" t="s">
        <v>587</v>
      </c>
      <c r="H112" t="s">
        <v>16</v>
      </c>
      <c r="I112" t="s">
        <v>43</v>
      </c>
      <c r="J112" t="s">
        <v>588</v>
      </c>
      <c r="K112" t="s">
        <v>52</v>
      </c>
      <c r="L112" s="31">
        <v>92037</v>
      </c>
      <c r="M112" t="s">
        <v>11</v>
      </c>
      <c r="N112" s="33" t="s">
        <v>589</v>
      </c>
      <c r="O112" t="s">
        <v>21</v>
      </c>
      <c r="P112" t="s">
        <v>75</v>
      </c>
      <c r="Q112" t="s">
        <v>590</v>
      </c>
      <c r="R112" s="34">
        <v>7.61</v>
      </c>
      <c r="S112" s="31">
        <v>1</v>
      </c>
      <c r="T112" s="35">
        <v>0</v>
      </c>
      <c r="U112" s="31">
        <v>3.5767</v>
      </c>
    </row>
    <row r="113" spans="1:21">
      <c r="A113" s="31">
        <v>112</v>
      </c>
      <c r="B113" t="s">
        <v>39</v>
      </c>
      <c r="C113" s="32">
        <v>42714</v>
      </c>
      <c r="D113" s="32">
        <v>42717</v>
      </c>
      <c r="E113" t="s">
        <v>139</v>
      </c>
      <c r="F113" s="33" t="s">
        <v>591</v>
      </c>
      <c r="G113" t="s">
        <v>592</v>
      </c>
      <c r="H113" t="s">
        <v>16</v>
      </c>
      <c r="I113" t="s">
        <v>43</v>
      </c>
      <c r="J113" t="s">
        <v>193</v>
      </c>
      <c r="K113" t="s">
        <v>194</v>
      </c>
      <c r="L113" s="31">
        <v>10024</v>
      </c>
      <c r="M113" t="s">
        <v>9</v>
      </c>
      <c r="N113" s="33" t="s">
        <v>593</v>
      </c>
      <c r="O113" t="s">
        <v>21</v>
      </c>
      <c r="P113" t="s">
        <v>96</v>
      </c>
      <c r="Q113" t="s">
        <v>594</v>
      </c>
      <c r="R113" s="34">
        <v>80.58</v>
      </c>
      <c r="S113" s="31">
        <v>6</v>
      </c>
      <c r="T113" s="35">
        <v>0</v>
      </c>
      <c r="U113" s="31">
        <v>22.5624</v>
      </c>
    </row>
    <row r="114" spans="1:21">
      <c r="A114" s="31">
        <v>113</v>
      </c>
      <c r="B114" t="s">
        <v>56</v>
      </c>
      <c r="C114" s="32">
        <v>42336</v>
      </c>
      <c r="D114" s="32">
        <v>42342</v>
      </c>
      <c r="E114" t="s">
        <v>57</v>
      </c>
      <c r="F114" s="33" t="s">
        <v>595</v>
      </c>
      <c r="G114" t="s">
        <v>596</v>
      </c>
      <c r="H114" t="s">
        <v>17</v>
      </c>
      <c r="I114" t="s">
        <v>43</v>
      </c>
      <c r="J114" t="s">
        <v>209</v>
      </c>
      <c r="K114" t="s">
        <v>154</v>
      </c>
      <c r="L114" s="31">
        <v>60623</v>
      </c>
      <c r="M114" t="s">
        <v>8</v>
      </c>
      <c r="N114" s="33" t="s">
        <v>597</v>
      </c>
      <c r="O114" t="s">
        <v>20</v>
      </c>
      <c r="P114" t="s">
        <v>68</v>
      </c>
      <c r="Q114" t="s">
        <v>598</v>
      </c>
      <c r="R114" s="34">
        <v>12.132</v>
      </c>
      <c r="S114" s="31">
        <v>9</v>
      </c>
      <c r="T114" s="35">
        <v>0.6</v>
      </c>
      <c r="U114" s="31">
        <v>-8.4924</v>
      </c>
    </row>
    <row r="115" spans="1:21">
      <c r="A115" s="31">
        <v>114</v>
      </c>
      <c r="B115" t="s">
        <v>39</v>
      </c>
      <c r="C115" s="32">
        <v>43070</v>
      </c>
      <c r="D115" s="32">
        <v>43072</v>
      </c>
      <c r="E115" t="s">
        <v>40</v>
      </c>
      <c r="F115" s="33" t="s">
        <v>599</v>
      </c>
      <c r="G115" t="s">
        <v>600</v>
      </c>
      <c r="H115" t="s">
        <v>16</v>
      </c>
      <c r="I115" t="s">
        <v>43</v>
      </c>
      <c r="J115" t="s">
        <v>193</v>
      </c>
      <c r="K115" t="s">
        <v>194</v>
      </c>
      <c r="L115" s="31">
        <v>10009</v>
      </c>
      <c r="M115" t="s">
        <v>9</v>
      </c>
      <c r="N115" s="33" t="s">
        <v>601</v>
      </c>
      <c r="O115" t="s">
        <v>22</v>
      </c>
      <c r="P115" t="s">
        <v>171</v>
      </c>
      <c r="Q115" t="s">
        <v>602</v>
      </c>
      <c r="R115" s="34">
        <v>20.37</v>
      </c>
      <c r="S115" s="31">
        <v>3</v>
      </c>
      <c r="T115" s="35">
        <v>0</v>
      </c>
      <c r="U115" s="31">
        <v>6.9258</v>
      </c>
    </row>
    <row r="116" spans="1:21">
      <c r="A116" s="31">
        <v>115</v>
      </c>
      <c r="B116" t="s">
        <v>56</v>
      </c>
      <c r="C116" s="32">
        <v>42894</v>
      </c>
      <c r="D116" s="32">
        <v>42898</v>
      </c>
      <c r="E116" t="s">
        <v>57</v>
      </c>
      <c r="F116" s="33" t="s">
        <v>603</v>
      </c>
      <c r="G116" t="s">
        <v>604</v>
      </c>
      <c r="H116" t="s">
        <v>17</v>
      </c>
      <c r="I116" t="s">
        <v>43</v>
      </c>
      <c r="J116" t="s">
        <v>390</v>
      </c>
      <c r="K116" t="s">
        <v>87</v>
      </c>
      <c r="L116" s="31">
        <v>77506</v>
      </c>
      <c r="M116" t="s">
        <v>8</v>
      </c>
      <c r="N116" s="33" t="s">
        <v>605</v>
      </c>
      <c r="O116" t="s">
        <v>21</v>
      </c>
      <c r="P116" t="s">
        <v>89</v>
      </c>
      <c r="Q116" t="s">
        <v>606</v>
      </c>
      <c r="R116" s="34">
        <v>1.624</v>
      </c>
      <c r="S116" s="31">
        <v>2</v>
      </c>
      <c r="T116" s="35">
        <v>0.8</v>
      </c>
      <c r="U116" s="31">
        <v>-4.466</v>
      </c>
    </row>
    <row r="117" spans="1:21">
      <c r="A117" s="31">
        <v>116</v>
      </c>
      <c r="B117" t="s">
        <v>56</v>
      </c>
      <c r="C117" s="32">
        <v>41901</v>
      </c>
      <c r="D117" s="32">
        <v>41903</v>
      </c>
      <c r="E117" t="s">
        <v>40</v>
      </c>
      <c r="F117" s="33" t="s">
        <v>607</v>
      </c>
      <c r="G117" t="s">
        <v>608</v>
      </c>
      <c r="H117" t="s">
        <v>17</v>
      </c>
      <c r="I117" t="s">
        <v>43</v>
      </c>
      <c r="J117" t="s">
        <v>136</v>
      </c>
      <c r="K117" t="s">
        <v>87</v>
      </c>
      <c r="L117" s="31">
        <v>77036</v>
      </c>
      <c r="M117" t="s">
        <v>8</v>
      </c>
      <c r="N117" s="33" t="s">
        <v>609</v>
      </c>
      <c r="O117" t="s">
        <v>22</v>
      </c>
      <c r="P117" t="s">
        <v>610</v>
      </c>
      <c r="Q117" t="s">
        <v>611</v>
      </c>
      <c r="R117" s="34">
        <v>3059.982</v>
      </c>
      <c r="S117" s="31">
        <v>3</v>
      </c>
      <c r="T117" s="35">
        <v>0.4</v>
      </c>
      <c r="U117" s="31">
        <v>-509.997</v>
      </c>
    </row>
    <row r="118" spans="1:21">
      <c r="A118" s="31">
        <v>117</v>
      </c>
      <c r="B118" t="s">
        <v>39</v>
      </c>
      <c r="C118" s="32">
        <v>42527</v>
      </c>
      <c r="D118" s="32">
        <v>42534</v>
      </c>
      <c r="E118" t="s">
        <v>57</v>
      </c>
      <c r="F118" s="33" t="s">
        <v>612</v>
      </c>
      <c r="G118" t="s">
        <v>613</v>
      </c>
      <c r="H118" t="s">
        <v>16</v>
      </c>
      <c r="I118" t="s">
        <v>43</v>
      </c>
      <c r="J118" t="s">
        <v>209</v>
      </c>
      <c r="K118" t="s">
        <v>154</v>
      </c>
      <c r="L118" s="31">
        <v>60610</v>
      </c>
      <c r="M118" t="s">
        <v>8</v>
      </c>
      <c r="N118" s="33" t="s">
        <v>614</v>
      </c>
      <c r="O118" t="s">
        <v>22</v>
      </c>
      <c r="P118" t="s">
        <v>144</v>
      </c>
      <c r="Q118" t="s">
        <v>615</v>
      </c>
      <c r="R118" s="34">
        <v>328.224</v>
      </c>
      <c r="S118" s="31">
        <v>4</v>
      </c>
      <c r="T118" s="35">
        <v>0.2</v>
      </c>
      <c r="U118" s="31">
        <v>28.7196</v>
      </c>
    </row>
    <row r="119" spans="1:21">
      <c r="A119" s="31">
        <v>118</v>
      </c>
      <c r="B119" t="s">
        <v>39</v>
      </c>
      <c r="C119" s="32">
        <v>42318</v>
      </c>
      <c r="D119" s="32">
        <v>42323</v>
      </c>
      <c r="E119" t="s">
        <v>57</v>
      </c>
      <c r="F119" s="33" t="s">
        <v>616</v>
      </c>
      <c r="G119" t="s">
        <v>617</v>
      </c>
      <c r="H119" t="s">
        <v>16</v>
      </c>
      <c r="I119" t="s">
        <v>43</v>
      </c>
      <c r="J119" t="s">
        <v>618</v>
      </c>
      <c r="K119" t="s">
        <v>52</v>
      </c>
      <c r="L119" s="31">
        <v>94513</v>
      </c>
      <c r="M119" t="s">
        <v>11</v>
      </c>
      <c r="N119" s="33" t="s">
        <v>619</v>
      </c>
      <c r="O119" t="s">
        <v>22</v>
      </c>
      <c r="P119" t="s">
        <v>171</v>
      </c>
      <c r="Q119" t="s">
        <v>620</v>
      </c>
      <c r="R119" s="34">
        <v>79.9</v>
      </c>
      <c r="S119" s="31">
        <v>2</v>
      </c>
      <c r="T119" s="35">
        <v>0</v>
      </c>
      <c r="U119" s="31">
        <v>35.156</v>
      </c>
    </row>
    <row r="120" spans="1:21">
      <c r="A120" s="31">
        <v>119</v>
      </c>
      <c r="B120" t="s">
        <v>39</v>
      </c>
      <c r="C120" s="32">
        <v>42902</v>
      </c>
      <c r="D120" s="32">
        <v>42906</v>
      </c>
      <c r="E120" t="s">
        <v>57</v>
      </c>
      <c r="F120" s="33" t="s">
        <v>621</v>
      </c>
      <c r="G120" t="s">
        <v>622</v>
      </c>
      <c r="H120" t="s">
        <v>17</v>
      </c>
      <c r="I120" t="s">
        <v>43</v>
      </c>
      <c r="J120" t="s">
        <v>623</v>
      </c>
      <c r="K120" t="s">
        <v>73</v>
      </c>
      <c r="L120" s="31">
        <v>27514</v>
      </c>
      <c r="M120" t="s">
        <v>10</v>
      </c>
      <c r="N120" s="33" t="s">
        <v>624</v>
      </c>
      <c r="O120" t="s">
        <v>21</v>
      </c>
      <c r="P120" t="s">
        <v>108</v>
      </c>
      <c r="Q120" t="s">
        <v>625</v>
      </c>
      <c r="R120" s="34">
        <v>14.016</v>
      </c>
      <c r="S120" s="31">
        <v>3</v>
      </c>
      <c r="T120" s="35">
        <v>0.2</v>
      </c>
      <c r="U120" s="31">
        <v>4.7304</v>
      </c>
    </row>
    <row r="121" spans="1:21">
      <c r="A121" s="31">
        <v>120</v>
      </c>
      <c r="B121" t="s">
        <v>56</v>
      </c>
      <c r="C121" s="32">
        <v>43078</v>
      </c>
      <c r="D121" s="32">
        <v>43082</v>
      </c>
      <c r="E121" t="s">
        <v>57</v>
      </c>
      <c r="F121" s="33" t="s">
        <v>626</v>
      </c>
      <c r="G121" t="s">
        <v>627</v>
      </c>
      <c r="H121" t="s">
        <v>17</v>
      </c>
      <c r="I121" t="s">
        <v>43</v>
      </c>
      <c r="J121" t="s">
        <v>628</v>
      </c>
      <c r="K121" t="s">
        <v>331</v>
      </c>
      <c r="L121" s="31">
        <v>45231</v>
      </c>
      <c r="M121" t="s">
        <v>9</v>
      </c>
      <c r="N121" s="33" t="s">
        <v>629</v>
      </c>
      <c r="O121" t="s">
        <v>21</v>
      </c>
      <c r="P121" t="s">
        <v>96</v>
      </c>
      <c r="Q121" t="s">
        <v>630</v>
      </c>
      <c r="R121" s="34">
        <v>37.208</v>
      </c>
      <c r="S121" s="31">
        <v>1</v>
      </c>
      <c r="T121" s="35">
        <v>0.2</v>
      </c>
      <c r="U121" s="31">
        <v>-7.4416</v>
      </c>
    </row>
    <row r="122" spans="1:21">
      <c r="A122" s="31">
        <v>121</v>
      </c>
      <c r="B122" t="s">
        <v>39</v>
      </c>
      <c r="C122" s="32">
        <v>43097</v>
      </c>
      <c r="D122" s="32">
        <v>43102</v>
      </c>
      <c r="E122" t="s">
        <v>40</v>
      </c>
      <c r="F122" s="33" t="s">
        <v>631</v>
      </c>
      <c r="G122" t="s">
        <v>632</v>
      </c>
      <c r="H122" t="s">
        <v>17</v>
      </c>
      <c r="I122" t="s">
        <v>43</v>
      </c>
      <c r="J122" t="s">
        <v>106</v>
      </c>
      <c r="K122" t="s">
        <v>52</v>
      </c>
      <c r="L122" s="31">
        <v>94110</v>
      </c>
      <c r="M122" t="s">
        <v>11</v>
      </c>
      <c r="N122" s="33" t="s">
        <v>633</v>
      </c>
      <c r="O122" t="s">
        <v>21</v>
      </c>
      <c r="P122" t="s">
        <v>96</v>
      </c>
      <c r="Q122" t="s">
        <v>634</v>
      </c>
      <c r="R122" s="34">
        <v>725.84</v>
      </c>
      <c r="S122" s="31">
        <v>4</v>
      </c>
      <c r="T122" s="35">
        <v>0</v>
      </c>
      <c r="U122" s="31">
        <v>210.4936</v>
      </c>
    </row>
    <row r="123" spans="1:21">
      <c r="A123" s="31">
        <v>122</v>
      </c>
      <c r="B123" t="s">
        <v>39</v>
      </c>
      <c r="C123" s="32">
        <v>42994</v>
      </c>
      <c r="D123" s="32">
        <v>42995</v>
      </c>
      <c r="E123" t="s">
        <v>139</v>
      </c>
      <c r="F123" s="33" t="s">
        <v>635</v>
      </c>
      <c r="G123" t="s">
        <v>636</v>
      </c>
      <c r="H123" t="s">
        <v>17</v>
      </c>
      <c r="I123" t="s">
        <v>43</v>
      </c>
      <c r="J123" t="s">
        <v>637</v>
      </c>
      <c r="K123" t="s">
        <v>52</v>
      </c>
      <c r="L123" s="31">
        <v>90301</v>
      </c>
      <c r="M123" t="s">
        <v>11</v>
      </c>
      <c r="N123" s="33" t="s">
        <v>638</v>
      </c>
      <c r="O123" t="s">
        <v>21</v>
      </c>
      <c r="P123" t="s">
        <v>75</v>
      </c>
      <c r="Q123" t="s">
        <v>639</v>
      </c>
      <c r="R123" s="34">
        <v>8.82</v>
      </c>
      <c r="S123" s="31">
        <v>2</v>
      </c>
      <c r="T123" s="35">
        <v>0</v>
      </c>
      <c r="U123" s="31">
        <v>4.0572</v>
      </c>
    </row>
    <row r="124" spans="1:21">
      <c r="A124" s="31">
        <v>123</v>
      </c>
      <c r="B124" t="s">
        <v>39</v>
      </c>
      <c r="C124" s="32">
        <v>43021</v>
      </c>
      <c r="D124" s="32">
        <v>43025</v>
      </c>
      <c r="E124" t="s">
        <v>57</v>
      </c>
      <c r="F124" s="33" t="s">
        <v>640</v>
      </c>
      <c r="G124" t="s">
        <v>641</v>
      </c>
      <c r="H124" t="s">
        <v>17</v>
      </c>
      <c r="I124" t="s">
        <v>43</v>
      </c>
      <c r="J124" t="s">
        <v>118</v>
      </c>
      <c r="K124" t="s">
        <v>119</v>
      </c>
      <c r="L124" s="31">
        <v>19140</v>
      </c>
      <c r="M124" t="s">
        <v>9</v>
      </c>
      <c r="N124" s="33" t="s">
        <v>642</v>
      </c>
      <c r="O124" t="s">
        <v>21</v>
      </c>
      <c r="P124" t="s">
        <v>75</v>
      </c>
      <c r="Q124" t="s">
        <v>643</v>
      </c>
      <c r="R124" s="34">
        <v>11.648</v>
      </c>
      <c r="S124" s="31">
        <v>2</v>
      </c>
      <c r="T124" s="35">
        <v>0.2</v>
      </c>
      <c r="U124" s="31">
        <v>4.0768</v>
      </c>
    </row>
    <row r="125" spans="1:21">
      <c r="A125" s="31">
        <v>124</v>
      </c>
      <c r="B125" t="s">
        <v>39</v>
      </c>
      <c r="C125" s="32">
        <v>42310</v>
      </c>
      <c r="D125" s="32">
        <v>42314</v>
      </c>
      <c r="E125" t="s">
        <v>57</v>
      </c>
      <c r="F125" s="33" t="s">
        <v>644</v>
      </c>
      <c r="G125" t="s">
        <v>645</v>
      </c>
      <c r="H125" t="s">
        <v>16</v>
      </c>
      <c r="I125" t="s">
        <v>43</v>
      </c>
      <c r="J125" t="s">
        <v>51</v>
      </c>
      <c r="K125" t="s">
        <v>52</v>
      </c>
      <c r="L125" s="31">
        <v>90004</v>
      </c>
      <c r="M125" t="s">
        <v>11</v>
      </c>
      <c r="N125" s="33" t="s">
        <v>646</v>
      </c>
      <c r="O125" t="s">
        <v>20</v>
      </c>
      <c r="P125" t="s">
        <v>63</v>
      </c>
      <c r="Q125" t="s">
        <v>647</v>
      </c>
      <c r="R125" s="34">
        <v>1038.84</v>
      </c>
      <c r="S125" s="31">
        <v>5</v>
      </c>
      <c r="T125" s="35">
        <v>0.2</v>
      </c>
      <c r="U125" s="31">
        <v>51.942</v>
      </c>
    </row>
    <row r="126" spans="1:21">
      <c r="A126" s="31">
        <v>125</v>
      </c>
      <c r="B126" t="s">
        <v>39</v>
      </c>
      <c r="C126" s="32">
        <v>42722</v>
      </c>
      <c r="D126" s="32">
        <v>42724</v>
      </c>
      <c r="E126" t="s">
        <v>40</v>
      </c>
      <c r="F126" s="33" t="s">
        <v>648</v>
      </c>
      <c r="G126" t="s">
        <v>649</v>
      </c>
      <c r="H126" t="s">
        <v>17</v>
      </c>
      <c r="I126" t="s">
        <v>43</v>
      </c>
      <c r="J126" t="s">
        <v>650</v>
      </c>
      <c r="K126" t="s">
        <v>61</v>
      </c>
      <c r="L126" s="31">
        <v>33319</v>
      </c>
      <c r="M126" t="s">
        <v>10</v>
      </c>
      <c r="N126" s="33" t="s">
        <v>651</v>
      </c>
      <c r="O126" t="s">
        <v>21</v>
      </c>
      <c r="P126" t="s">
        <v>82</v>
      </c>
      <c r="Q126" t="s">
        <v>652</v>
      </c>
      <c r="R126" s="34">
        <v>254.058</v>
      </c>
      <c r="S126" s="31">
        <v>7</v>
      </c>
      <c r="T126" s="35">
        <v>0.7</v>
      </c>
      <c r="U126" s="31">
        <v>-169.372</v>
      </c>
    </row>
    <row r="127" spans="1:21">
      <c r="A127" s="31">
        <v>126</v>
      </c>
      <c r="B127" t="s">
        <v>39</v>
      </c>
      <c r="C127" s="32">
        <v>42694</v>
      </c>
      <c r="D127" s="32">
        <v>42698</v>
      </c>
      <c r="E127" t="s">
        <v>40</v>
      </c>
      <c r="F127" s="33" t="s">
        <v>653</v>
      </c>
      <c r="G127" t="s">
        <v>654</v>
      </c>
      <c r="H127" t="s">
        <v>18</v>
      </c>
      <c r="I127" t="s">
        <v>43</v>
      </c>
      <c r="J127" t="s">
        <v>330</v>
      </c>
      <c r="K127" t="s">
        <v>331</v>
      </c>
      <c r="L127" s="31">
        <v>43229</v>
      </c>
      <c r="M127" t="s">
        <v>9</v>
      </c>
      <c r="N127" s="33" t="s">
        <v>655</v>
      </c>
      <c r="O127" t="s">
        <v>21</v>
      </c>
      <c r="P127" t="s">
        <v>196</v>
      </c>
      <c r="Q127" t="s">
        <v>656</v>
      </c>
      <c r="R127" s="34">
        <v>19.096</v>
      </c>
      <c r="S127" s="31">
        <v>7</v>
      </c>
      <c r="T127" s="35">
        <v>0.2</v>
      </c>
      <c r="U127" s="31">
        <v>6.6836</v>
      </c>
    </row>
    <row r="128" spans="1:21">
      <c r="A128" s="31">
        <v>127</v>
      </c>
      <c r="B128" t="s">
        <v>39</v>
      </c>
      <c r="C128" s="32">
        <v>41999</v>
      </c>
      <c r="D128" s="32">
        <v>42001</v>
      </c>
      <c r="E128" t="s">
        <v>139</v>
      </c>
      <c r="F128" s="33" t="s">
        <v>657</v>
      </c>
      <c r="G128" t="s">
        <v>658</v>
      </c>
      <c r="H128" t="s">
        <v>17</v>
      </c>
      <c r="I128" t="s">
        <v>43</v>
      </c>
      <c r="J128" t="s">
        <v>659</v>
      </c>
      <c r="K128" t="s">
        <v>305</v>
      </c>
      <c r="L128" s="31">
        <v>80906</v>
      </c>
      <c r="M128" t="s">
        <v>11</v>
      </c>
      <c r="N128" s="33" t="s">
        <v>660</v>
      </c>
      <c r="O128" t="s">
        <v>20</v>
      </c>
      <c r="P128" t="s">
        <v>68</v>
      </c>
      <c r="Q128" t="s">
        <v>661</v>
      </c>
      <c r="R128" s="34">
        <v>300.416</v>
      </c>
      <c r="S128" s="31">
        <v>8</v>
      </c>
      <c r="T128" s="35">
        <v>0.2</v>
      </c>
      <c r="U128" s="31">
        <v>78.8592</v>
      </c>
    </row>
    <row r="129" spans="1:21">
      <c r="A129" s="31">
        <v>128</v>
      </c>
      <c r="B129" t="s">
        <v>39</v>
      </c>
      <c r="C129" s="32">
        <v>42128</v>
      </c>
      <c r="D129" s="32">
        <v>42133</v>
      </c>
      <c r="E129" t="s">
        <v>40</v>
      </c>
      <c r="F129" s="33" t="s">
        <v>662</v>
      </c>
      <c r="G129" t="s">
        <v>663</v>
      </c>
      <c r="H129" t="s">
        <v>17</v>
      </c>
      <c r="I129" t="s">
        <v>43</v>
      </c>
      <c r="J129" t="s">
        <v>193</v>
      </c>
      <c r="K129" t="s">
        <v>194</v>
      </c>
      <c r="L129" s="31">
        <v>10024</v>
      </c>
      <c r="M129" t="s">
        <v>9</v>
      </c>
      <c r="N129" s="33" t="s">
        <v>664</v>
      </c>
      <c r="O129" t="s">
        <v>20</v>
      </c>
      <c r="P129" t="s">
        <v>68</v>
      </c>
      <c r="Q129" t="s">
        <v>665</v>
      </c>
      <c r="R129" s="34">
        <v>26.8</v>
      </c>
      <c r="S129" s="31">
        <v>2</v>
      </c>
      <c r="T129" s="35">
        <v>0</v>
      </c>
      <c r="U129" s="31">
        <v>12.864</v>
      </c>
    </row>
    <row r="130" spans="1:21">
      <c r="A130" s="31">
        <v>129</v>
      </c>
      <c r="B130" t="s">
        <v>39</v>
      </c>
      <c r="C130" s="32">
        <v>41791</v>
      </c>
      <c r="D130" s="32">
        <v>41796</v>
      </c>
      <c r="E130" t="s">
        <v>57</v>
      </c>
      <c r="F130" s="33" t="s">
        <v>666</v>
      </c>
      <c r="G130" t="s">
        <v>667</v>
      </c>
      <c r="H130" t="s">
        <v>18</v>
      </c>
      <c r="I130" t="s">
        <v>43</v>
      </c>
      <c r="J130" t="s">
        <v>668</v>
      </c>
      <c r="K130" t="s">
        <v>504</v>
      </c>
      <c r="L130" s="31">
        <v>8701</v>
      </c>
      <c r="M130" t="s">
        <v>9</v>
      </c>
      <c r="N130" s="33" t="s">
        <v>669</v>
      </c>
      <c r="O130" t="s">
        <v>21</v>
      </c>
      <c r="P130" t="s">
        <v>82</v>
      </c>
      <c r="Q130" t="s">
        <v>670</v>
      </c>
      <c r="R130" s="34">
        <v>45.48</v>
      </c>
      <c r="S130" s="31">
        <v>3</v>
      </c>
      <c r="T130" s="35">
        <v>0</v>
      </c>
      <c r="U130" s="31">
        <v>20.9208</v>
      </c>
    </row>
    <row r="131" spans="1:21">
      <c r="A131" s="31">
        <v>130</v>
      </c>
      <c r="B131" t="s">
        <v>39</v>
      </c>
      <c r="C131" s="32">
        <v>42840</v>
      </c>
      <c r="D131" s="32">
        <v>42842</v>
      </c>
      <c r="E131" t="s">
        <v>139</v>
      </c>
      <c r="F131" s="33" t="s">
        <v>671</v>
      </c>
      <c r="G131" t="s">
        <v>672</v>
      </c>
      <c r="H131" t="s">
        <v>16</v>
      </c>
      <c r="I131" t="s">
        <v>43</v>
      </c>
      <c r="J131" t="s">
        <v>673</v>
      </c>
      <c r="K131" t="s">
        <v>221</v>
      </c>
      <c r="L131" s="31">
        <v>22204</v>
      </c>
      <c r="M131" t="s">
        <v>10</v>
      </c>
      <c r="N131" s="33" t="s">
        <v>674</v>
      </c>
      <c r="O131" t="s">
        <v>21</v>
      </c>
      <c r="P131" t="s">
        <v>108</v>
      </c>
      <c r="Q131" t="s">
        <v>675</v>
      </c>
      <c r="R131" s="34">
        <v>4.89</v>
      </c>
      <c r="S131" s="31">
        <v>1</v>
      </c>
      <c r="T131" s="35">
        <v>0</v>
      </c>
      <c r="U131" s="31">
        <v>2.0049</v>
      </c>
    </row>
    <row r="132" spans="1:21">
      <c r="A132" s="31">
        <v>131</v>
      </c>
      <c r="B132" t="s">
        <v>39</v>
      </c>
      <c r="C132" s="32">
        <v>42625</v>
      </c>
      <c r="D132" s="32">
        <v>42627</v>
      </c>
      <c r="E132" t="s">
        <v>40</v>
      </c>
      <c r="F132" s="33" t="s">
        <v>676</v>
      </c>
      <c r="G132" t="s">
        <v>677</v>
      </c>
      <c r="H132" t="s">
        <v>17</v>
      </c>
      <c r="I132" t="s">
        <v>43</v>
      </c>
      <c r="J132" t="s">
        <v>678</v>
      </c>
      <c r="K132" t="s">
        <v>305</v>
      </c>
      <c r="L132" s="31">
        <v>80004</v>
      </c>
      <c r="M132" t="s">
        <v>11</v>
      </c>
      <c r="N132" s="33" t="s">
        <v>679</v>
      </c>
      <c r="O132" t="s">
        <v>20</v>
      </c>
      <c r="P132" t="s">
        <v>68</v>
      </c>
      <c r="Q132" t="s">
        <v>680</v>
      </c>
      <c r="R132" s="34">
        <v>15.136</v>
      </c>
      <c r="S132" s="31">
        <v>4</v>
      </c>
      <c r="T132" s="35">
        <v>0.2</v>
      </c>
      <c r="U132" s="31">
        <v>3.5948</v>
      </c>
    </row>
    <row r="133" spans="1:21">
      <c r="A133" s="31">
        <v>132</v>
      </c>
      <c r="B133" t="s">
        <v>39</v>
      </c>
      <c r="C133" s="32">
        <v>41909</v>
      </c>
      <c r="D133" s="32">
        <v>41915</v>
      </c>
      <c r="E133" t="s">
        <v>57</v>
      </c>
      <c r="F133" s="33" t="s">
        <v>681</v>
      </c>
      <c r="G133" t="s">
        <v>682</v>
      </c>
      <c r="H133" t="s">
        <v>17</v>
      </c>
      <c r="I133" t="s">
        <v>43</v>
      </c>
      <c r="J133" t="s">
        <v>683</v>
      </c>
      <c r="K133" t="s">
        <v>504</v>
      </c>
      <c r="L133" s="31">
        <v>7601</v>
      </c>
      <c r="M133" t="s">
        <v>9</v>
      </c>
      <c r="N133" s="33" t="s">
        <v>684</v>
      </c>
      <c r="O133" t="s">
        <v>20</v>
      </c>
      <c r="P133" t="s">
        <v>68</v>
      </c>
      <c r="Q133" t="s">
        <v>685</v>
      </c>
      <c r="R133" s="34">
        <v>87.54</v>
      </c>
      <c r="S133" s="31">
        <v>3</v>
      </c>
      <c r="T133" s="35">
        <v>0</v>
      </c>
      <c r="U133" s="31">
        <v>37.6422</v>
      </c>
    </row>
    <row r="134" spans="1:21">
      <c r="A134" s="31">
        <v>133</v>
      </c>
      <c r="B134" t="s">
        <v>39</v>
      </c>
      <c r="C134" s="32">
        <v>41860</v>
      </c>
      <c r="D134" s="32">
        <v>41867</v>
      </c>
      <c r="E134" t="s">
        <v>57</v>
      </c>
      <c r="F134" s="33" t="s">
        <v>686</v>
      </c>
      <c r="G134" t="s">
        <v>687</v>
      </c>
      <c r="H134" t="s">
        <v>17</v>
      </c>
      <c r="I134" t="s">
        <v>43</v>
      </c>
      <c r="J134" t="s">
        <v>688</v>
      </c>
      <c r="K134" t="s">
        <v>61</v>
      </c>
      <c r="L134" s="31">
        <v>33710</v>
      </c>
      <c r="M134" t="s">
        <v>10</v>
      </c>
      <c r="N134" s="33" t="s">
        <v>689</v>
      </c>
      <c r="O134" t="s">
        <v>22</v>
      </c>
      <c r="P134" t="s">
        <v>144</v>
      </c>
      <c r="Q134" t="s">
        <v>690</v>
      </c>
      <c r="R134" s="34">
        <v>178.384</v>
      </c>
      <c r="S134" s="31">
        <v>2</v>
      </c>
      <c r="T134" s="35">
        <v>0.2</v>
      </c>
      <c r="U134" s="31">
        <v>22.298</v>
      </c>
    </row>
    <row r="135" spans="1:21">
      <c r="A135" s="31">
        <v>134</v>
      </c>
      <c r="B135" t="s">
        <v>39</v>
      </c>
      <c r="C135" s="32">
        <v>42001</v>
      </c>
      <c r="D135" s="32">
        <v>42003</v>
      </c>
      <c r="E135" t="s">
        <v>139</v>
      </c>
      <c r="F135" s="33" t="s">
        <v>691</v>
      </c>
      <c r="G135" t="s">
        <v>692</v>
      </c>
      <c r="H135" t="s">
        <v>17</v>
      </c>
      <c r="I135" t="s">
        <v>43</v>
      </c>
      <c r="J135" t="s">
        <v>118</v>
      </c>
      <c r="K135" t="s">
        <v>119</v>
      </c>
      <c r="L135" s="31">
        <v>19143</v>
      </c>
      <c r="M135" t="s">
        <v>9</v>
      </c>
      <c r="N135" s="33" t="s">
        <v>693</v>
      </c>
      <c r="O135" t="s">
        <v>21</v>
      </c>
      <c r="P135" t="s">
        <v>108</v>
      </c>
      <c r="Q135" t="s">
        <v>694</v>
      </c>
      <c r="R135" s="34">
        <v>99.136</v>
      </c>
      <c r="S135" s="31">
        <v>4</v>
      </c>
      <c r="T135" s="35">
        <v>0.2</v>
      </c>
      <c r="U135" s="31">
        <v>8.6744</v>
      </c>
    </row>
    <row r="136" spans="1:21">
      <c r="A136" s="31">
        <v>135</v>
      </c>
      <c r="B136" t="s">
        <v>39</v>
      </c>
      <c r="C136" s="32">
        <v>41947</v>
      </c>
      <c r="D136" s="32">
        <v>41952</v>
      </c>
      <c r="E136" t="s">
        <v>57</v>
      </c>
      <c r="F136" s="33" t="s">
        <v>695</v>
      </c>
      <c r="G136" t="s">
        <v>696</v>
      </c>
      <c r="H136" t="s">
        <v>18</v>
      </c>
      <c r="I136" t="s">
        <v>43</v>
      </c>
      <c r="J136" t="s">
        <v>193</v>
      </c>
      <c r="K136" t="s">
        <v>194</v>
      </c>
      <c r="L136" s="31">
        <v>10024</v>
      </c>
      <c r="M136" t="s">
        <v>9</v>
      </c>
      <c r="N136" s="33" t="s">
        <v>697</v>
      </c>
      <c r="O136" t="s">
        <v>20</v>
      </c>
      <c r="P136" t="s">
        <v>121</v>
      </c>
      <c r="Q136" t="s">
        <v>698</v>
      </c>
      <c r="R136" s="34">
        <v>135.882</v>
      </c>
      <c r="S136" s="31">
        <v>1</v>
      </c>
      <c r="T136" s="35">
        <v>0.1</v>
      </c>
      <c r="U136" s="31">
        <v>24.1568</v>
      </c>
    </row>
    <row r="137" spans="1:21">
      <c r="A137" s="31">
        <v>136</v>
      </c>
      <c r="B137" t="s">
        <v>39</v>
      </c>
      <c r="C137" s="32">
        <v>41901</v>
      </c>
      <c r="D137" s="32">
        <v>41906</v>
      </c>
      <c r="E137" t="s">
        <v>57</v>
      </c>
      <c r="F137" s="33" t="s">
        <v>699</v>
      </c>
      <c r="G137" t="s">
        <v>700</v>
      </c>
      <c r="H137" t="s">
        <v>17</v>
      </c>
      <c r="I137" t="s">
        <v>43</v>
      </c>
      <c r="J137" t="s">
        <v>701</v>
      </c>
      <c r="K137" t="s">
        <v>52</v>
      </c>
      <c r="L137" s="31">
        <v>90805</v>
      </c>
      <c r="M137" t="s">
        <v>11</v>
      </c>
      <c r="N137" s="33" t="s">
        <v>702</v>
      </c>
      <c r="O137" t="s">
        <v>21</v>
      </c>
      <c r="P137" t="s">
        <v>196</v>
      </c>
      <c r="Q137" t="s">
        <v>703</v>
      </c>
      <c r="R137" s="34">
        <v>7.16</v>
      </c>
      <c r="S137" s="31">
        <v>2</v>
      </c>
      <c r="T137" s="35">
        <v>0</v>
      </c>
      <c r="U137" s="31">
        <v>3.58</v>
      </c>
    </row>
    <row r="138" spans="1:21">
      <c r="A138" s="31">
        <v>137</v>
      </c>
      <c r="B138" t="s">
        <v>39</v>
      </c>
      <c r="C138" s="32">
        <v>42483</v>
      </c>
      <c r="D138" s="32">
        <v>42487</v>
      </c>
      <c r="E138" t="s">
        <v>57</v>
      </c>
      <c r="F138" s="33" t="s">
        <v>704</v>
      </c>
      <c r="G138" t="s">
        <v>705</v>
      </c>
      <c r="H138" t="s">
        <v>17</v>
      </c>
      <c r="I138" t="s">
        <v>43</v>
      </c>
      <c r="J138" t="s">
        <v>706</v>
      </c>
      <c r="K138" t="s">
        <v>52</v>
      </c>
      <c r="L138" s="31">
        <v>92345</v>
      </c>
      <c r="M138" t="s">
        <v>11</v>
      </c>
      <c r="N138" s="33" t="s">
        <v>707</v>
      </c>
      <c r="O138" t="s">
        <v>21</v>
      </c>
      <c r="P138" t="s">
        <v>82</v>
      </c>
      <c r="Q138" t="s">
        <v>708</v>
      </c>
      <c r="R138" s="34">
        <v>251.52</v>
      </c>
      <c r="S138" s="31">
        <v>6</v>
      </c>
      <c r="T138" s="35">
        <v>0.2</v>
      </c>
      <c r="U138" s="31">
        <v>81.744</v>
      </c>
    </row>
    <row r="139" spans="1:21">
      <c r="A139" s="31">
        <v>138</v>
      </c>
      <c r="B139" t="s">
        <v>39</v>
      </c>
      <c r="C139" s="32">
        <v>43042</v>
      </c>
      <c r="D139" s="32">
        <v>43044</v>
      </c>
      <c r="E139" t="s">
        <v>40</v>
      </c>
      <c r="F139" s="33" t="s">
        <v>709</v>
      </c>
      <c r="G139" t="s">
        <v>710</v>
      </c>
      <c r="H139" t="s">
        <v>17</v>
      </c>
      <c r="I139" t="s">
        <v>43</v>
      </c>
      <c r="J139" t="s">
        <v>711</v>
      </c>
      <c r="K139" t="s">
        <v>231</v>
      </c>
      <c r="L139" s="31">
        <v>37130</v>
      </c>
      <c r="M139" t="s">
        <v>10</v>
      </c>
      <c r="N139" s="33" t="s">
        <v>712</v>
      </c>
      <c r="O139" t="s">
        <v>20</v>
      </c>
      <c r="P139" t="s">
        <v>68</v>
      </c>
      <c r="Q139" t="s">
        <v>713</v>
      </c>
      <c r="R139" s="34">
        <v>15.992</v>
      </c>
      <c r="S139" s="31">
        <v>1</v>
      </c>
      <c r="T139" s="35">
        <v>0.2</v>
      </c>
      <c r="U139" s="31">
        <v>0.9995</v>
      </c>
    </row>
    <row r="140" spans="1:21">
      <c r="A140" s="31">
        <v>139</v>
      </c>
      <c r="B140" t="s">
        <v>56</v>
      </c>
      <c r="C140" s="32">
        <v>42612</v>
      </c>
      <c r="D140" s="32">
        <v>42614</v>
      </c>
      <c r="E140" t="s">
        <v>139</v>
      </c>
      <c r="F140" s="33" t="s">
        <v>714</v>
      </c>
      <c r="G140" t="s">
        <v>715</v>
      </c>
      <c r="H140" t="s">
        <v>16</v>
      </c>
      <c r="I140" t="s">
        <v>43</v>
      </c>
      <c r="J140" t="s">
        <v>118</v>
      </c>
      <c r="K140" t="s">
        <v>119</v>
      </c>
      <c r="L140" s="31">
        <v>19143</v>
      </c>
      <c r="M140" t="s">
        <v>9</v>
      </c>
      <c r="N140" s="33" t="s">
        <v>716</v>
      </c>
      <c r="O140" t="s">
        <v>22</v>
      </c>
      <c r="P140" t="s">
        <v>144</v>
      </c>
      <c r="Q140" t="s">
        <v>717</v>
      </c>
      <c r="R140" s="34">
        <v>290.898</v>
      </c>
      <c r="S140" s="31">
        <v>3</v>
      </c>
      <c r="T140" s="35">
        <v>0.4</v>
      </c>
      <c r="U140" s="31">
        <v>-67.8762</v>
      </c>
    </row>
    <row r="141" spans="1:21">
      <c r="A141" s="31">
        <v>140</v>
      </c>
      <c r="B141" t="s">
        <v>56</v>
      </c>
      <c r="C141" s="32">
        <v>42485</v>
      </c>
      <c r="D141" s="32">
        <v>42489</v>
      </c>
      <c r="E141" t="s">
        <v>40</v>
      </c>
      <c r="F141" s="33" t="s">
        <v>718</v>
      </c>
      <c r="G141" t="s">
        <v>719</v>
      </c>
      <c r="H141" t="s">
        <v>16</v>
      </c>
      <c r="I141" t="s">
        <v>43</v>
      </c>
      <c r="J141" t="s">
        <v>118</v>
      </c>
      <c r="K141" t="s">
        <v>119</v>
      </c>
      <c r="L141" s="31">
        <v>19134</v>
      </c>
      <c r="M141" t="s">
        <v>9</v>
      </c>
      <c r="N141" s="33" t="s">
        <v>720</v>
      </c>
      <c r="O141" t="s">
        <v>22</v>
      </c>
      <c r="P141" t="s">
        <v>144</v>
      </c>
      <c r="Q141" t="s">
        <v>721</v>
      </c>
      <c r="R141" s="34">
        <v>82.8</v>
      </c>
      <c r="S141" s="31">
        <v>2</v>
      </c>
      <c r="T141" s="35">
        <v>0.4</v>
      </c>
      <c r="U141" s="31">
        <v>-20.7</v>
      </c>
    </row>
    <row r="142" spans="1:21">
      <c r="A142" s="31">
        <v>141</v>
      </c>
      <c r="B142" t="s">
        <v>39</v>
      </c>
      <c r="C142" s="32">
        <v>42248</v>
      </c>
      <c r="D142" s="32">
        <v>42251</v>
      </c>
      <c r="E142" t="s">
        <v>40</v>
      </c>
      <c r="F142" s="33" t="s">
        <v>722</v>
      </c>
      <c r="G142" t="s">
        <v>723</v>
      </c>
      <c r="H142" t="s">
        <v>16</v>
      </c>
      <c r="I142" t="s">
        <v>43</v>
      </c>
      <c r="J142" t="s">
        <v>51</v>
      </c>
      <c r="K142" t="s">
        <v>52</v>
      </c>
      <c r="L142" s="31">
        <v>90045</v>
      </c>
      <c r="M142" t="s">
        <v>11</v>
      </c>
      <c r="N142" s="33" t="s">
        <v>724</v>
      </c>
      <c r="O142" t="s">
        <v>21</v>
      </c>
      <c r="P142" t="s">
        <v>82</v>
      </c>
      <c r="Q142" t="s">
        <v>725</v>
      </c>
      <c r="R142" s="34">
        <v>4.752</v>
      </c>
      <c r="S142" s="31">
        <v>1</v>
      </c>
      <c r="T142" s="35">
        <v>0.2</v>
      </c>
      <c r="U142" s="31">
        <v>1.6038</v>
      </c>
    </row>
    <row r="143" spans="1:21">
      <c r="A143" s="31">
        <v>142</v>
      </c>
      <c r="B143" t="s">
        <v>39</v>
      </c>
      <c r="C143" s="32">
        <v>41832</v>
      </c>
      <c r="D143" s="32">
        <v>41837</v>
      </c>
      <c r="E143" t="s">
        <v>57</v>
      </c>
      <c r="F143" s="33" t="s">
        <v>726</v>
      </c>
      <c r="G143" t="s">
        <v>727</v>
      </c>
      <c r="H143" t="s">
        <v>17</v>
      </c>
      <c r="I143" t="s">
        <v>43</v>
      </c>
      <c r="J143" t="s">
        <v>106</v>
      </c>
      <c r="K143" t="s">
        <v>52</v>
      </c>
      <c r="L143" s="31">
        <v>94122</v>
      </c>
      <c r="M143" t="s">
        <v>11</v>
      </c>
      <c r="N143" s="33" t="s">
        <v>728</v>
      </c>
      <c r="O143" t="s">
        <v>21</v>
      </c>
      <c r="P143" t="s">
        <v>82</v>
      </c>
      <c r="Q143" t="s">
        <v>729</v>
      </c>
      <c r="R143" s="34">
        <v>7.712</v>
      </c>
      <c r="S143" s="31">
        <v>2</v>
      </c>
      <c r="T143" s="35">
        <v>0.2</v>
      </c>
      <c r="U143" s="31">
        <v>2.7956</v>
      </c>
    </row>
    <row r="144" spans="1:21">
      <c r="A144" s="31">
        <v>143</v>
      </c>
      <c r="B144" t="s">
        <v>39</v>
      </c>
      <c r="C144" s="32">
        <v>42901</v>
      </c>
      <c r="D144" s="32">
        <v>42905</v>
      </c>
      <c r="E144" t="s">
        <v>57</v>
      </c>
      <c r="F144" s="33" t="s">
        <v>730</v>
      </c>
      <c r="G144" t="s">
        <v>731</v>
      </c>
      <c r="H144" t="s">
        <v>16</v>
      </c>
      <c r="I144" t="s">
        <v>43</v>
      </c>
      <c r="J144" t="s">
        <v>106</v>
      </c>
      <c r="K144" t="s">
        <v>52</v>
      </c>
      <c r="L144" s="31">
        <v>94122</v>
      </c>
      <c r="M144" t="s">
        <v>11</v>
      </c>
      <c r="N144" s="33" t="s">
        <v>367</v>
      </c>
      <c r="O144" t="s">
        <v>22</v>
      </c>
      <c r="P144" t="s">
        <v>144</v>
      </c>
      <c r="Q144" t="s">
        <v>368</v>
      </c>
      <c r="R144" s="34">
        <v>47.976</v>
      </c>
      <c r="S144" s="31">
        <v>3</v>
      </c>
      <c r="T144" s="35">
        <v>0.2</v>
      </c>
      <c r="U144" s="31">
        <v>4.7976</v>
      </c>
    </row>
    <row r="145" spans="1:21">
      <c r="A145" s="31">
        <v>144</v>
      </c>
      <c r="B145" t="s">
        <v>39</v>
      </c>
      <c r="C145" s="32">
        <v>42924</v>
      </c>
      <c r="D145" s="32">
        <v>42928</v>
      </c>
      <c r="E145" t="s">
        <v>57</v>
      </c>
      <c r="F145" s="33" t="s">
        <v>732</v>
      </c>
      <c r="G145" t="s">
        <v>733</v>
      </c>
      <c r="H145" t="s">
        <v>16</v>
      </c>
      <c r="I145" t="s">
        <v>43</v>
      </c>
      <c r="J145" t="s">
        <v>734</v>
      </c>
      <c r="K145" t="s">
        <v>735</v>
      </c>
      <c r="L145" s="31">
        <v>1852</v>
      </c>
      <c r="M145" t="s">
        <v>9</v>
      </c>
      <c r="N145" s="33" t="s">
        <v>736</v>
      </c>
      <c r="O145" t="s">
        <v>21</v>
      </c>
      <c r="P145" t="s">
        <v>108</v>
      </c>
      <c r="Q145" t="s">
        <v>737</v>
      </c>
      <c r="R145" s="34">
        <v>7.56</v>
      </c>
      <c r="S145" s="31">
        <v>3</v>
      </c>
      <c r="T145" s="35">
        <v>0</v>
      </c>
      <c r="U145" s="31">
        <v>3.0996</v>
      </c>
    </row>
    <row r="146" spans="1:21">
      <c r="A146" s="31">
        <v>145</v>
      </c>
      <c r="B146" t="s">
        <v>39</v>
      </c>
      <c r="C146" s="32">
        <v>42614</v>
      </c>
      <c r="D146" s="32">
        <v>42616</v>
      </c>
      <c r="E146" t="s">
        <v>139</v>
      </c>
      <c r="F146" s="33" t="s">
        <v>738</v>
      </c>
      <c r="G146" t="s">
        <v>739</v>
      </c>
      <c r="H146" t="s">
        <v>18</v>
      </c>
      <c r="I146" t="s">
        <v>43</v>
      </c>
      <c r="J146" t="s">
        <v>193</v>
      </c>
      <c r="K146" t="s">
        <v>194</v>
      </c>
      <c r="L146" s="31">
        <v>10009</v>
      </c>
      <c r="M146" t="s">
        <v>9</v>
      </c>
      <c r="N146" s="33" t="s">
        <v>601</v>
      </c>
      <c r="O146" t="s">
        <v>22</v>
      </c>
      <c r="P146" t="s">
        <v>171</v>
      </c>
      <c r="Q146" t="s">
        <v>602</v>
      </c>
      <c r="R146" s="34">
        <v>6.79</v>
      </c>
      <c r="S146" s="31">
        <v>1</v>
      </c>
      <c r="T146" s="35">
        <v>0</v>
      </c>
      <c r="U146" s="31">
        <v>2.3086</v>
      </c>
    </row>
    <row r="147" spans="1:21">
      <c r="A147" s="31">
        <v>146</v>
      </c>
      <c r="B147" t="s">
        <v>39</v>
      </c>
      <c r="C147" s="32">
        <v>42468</v>
      </c>
      <c r="D147" s="32">
        <v>42473</v>
      </c>
      <c r="E147" t="s">
        <v>57</v>
      </c>
      <c r="F147" s="33" t="s">
        <v>740</v>
      </c>
      <c r="G147" t="s">
        <v>741</v>
      </c>
      <c r="H147" t="s">
        <v>16</v>
      </c>
      <c r="I147" t="s">
        <v>43</v>
      </c>
      <c r="J147" t="s">
        <v>193</v>
      </c>
      <c r="K147" t="s">
        <v>194</v>
      </c>
      <c r="L147" s="31">
        <v>10035</v>
      </c>
      <c r="M147" t="s">
        <v>9</v>
      </c>
      <c r="N147" s="33" t="s">
        <v>742</v>
      </c>
      <c r="O147" t="s">
        <v>20</v>
      </c>
      <c r="P147" t="s">
        <v>47</v>
      </c>
      <c r="Q147" t="s">
        <v>743</v>
      </c>
      <c r="R147" s="34">
        <v>388.704</v>
      </c>
      <c r="S147" s="31">
        <v>6</v>
      </c>
      <c r="T147" s="35">
        <v>0.2</v>
      </c>
      <c r="U147" s="31">
        <v>-4.8588</v>
      </c>
    </row>
    <row r="148" spans="1:21">
      <c r="A148" s="31">
        <v>147</v>
      </c>
      <c r="B148" t="s">
        <v>39</v>
      </c>
      <c r="C148" s="32">
        <v>42802</v>
      </c>
      <c r="D148" s="32">
        <v>42805</v>
      </c>
      <c r="E148" t="s">
        <v>139</v>
      </c>
      <c r="F148" s="33" t="s">
        <v>744</v>
      </c>
      <c r="G148" t="s">
        <v>745</v>
      </c>
      <c r="H148" t="s">
        <v>17</v>
      </c>
      <c r="I148" t="s">
        <v>43</v>
      </c>
      <c r="J148" t="s">
        <v>330</v>
      </c>
      <c r="K148" t="s">
        <v>746</v>
      </c>
      <c r="L148" s="31">
        <v>31907</v>
      </c>
      <c r="M148" t="s">
        <v>10</v>
      </c>
      <c r="N148" s="33" t="s">
        <v>747</v>
      </c>
      <c r="O148" t="s">
        <v>21</v>
      </c>
      <c r="P148" t="s">
        <v>89</v>
      </c>
      <c r="Q148" t="s">
        <v>748</v>
      </c>
      <c r="R148" s="34">
        <v>647.84</v>
      </c>
      <c r="S148" s="31">
        <v>8</v>
      </c>
      <c r="T148" s="35">
        <v>0</v>
      </c>
      <c r="U148" s="31">
        <v>168.4384</v>
      </c>
    </row>
    <row r="149" spans="1:21">
      <c r="A149" s="31">
        <v>148</v>
      </c>
      <c r="B149" t="s">
        <v>39</v>
      </c>
      <c r="C149" s="32">
        <v>43003</v>
      </c>
      <c r="D149" s="32">
        <v>43009</v>
      </c>
      <c r="E149" t="s">
        <v>57</v>
      </c>
      <c r="F149" s="33" t="s">
        <v>749</v>
      </c>
      <c r="G149" t="s">
        <v>750</v>
      </c>
      <c r="H149" t="s">
        <v>16</v>
      </c>
      <c r="I149" t="s">
        <v>43</v>
      </c>
      <c r="J149" t="s">
        <v>193</v>
      </c>
      <c r="K149" t="s">
        <v>194</v>
      </c>
      <c r="L149" s="31">
        <v>10009</v>
      </c>
      <c r="M149" t="s">
        <v>9</v>
      </c>
      <c r="N149" s="33" t="s">
        <v>751</v>
      </c>
      <c r="O149" t="s">
        <v>21</v>
      </c>
      <c r="P149" t="s">
        <v>54</v>
      </c>
      <c r="Q149" t="s">
        <v>752</v>
      </c>
      <c r="R149" s="34">
        <v>20.7</v>
      </c>
      <c r="S149" s="31">
        <v>2</v>
      </c>
      <c r="T149" s="35">
        <v>0</v>
      </c>
      <c r="U149" s="31">
        <v>9.936</v>
      </c>
    </row>
    <row r="150" spans="1:21">
      <c r="A150" s="31">
        <v>149</v>
      </c>
      <c r="B150" t="s">
        <v>39</v>
      </c>
      <c r="C150" s="32">
        <v>41906</v>
      </c>
      <c r="D150" s="32">
        <v>41911</v>
      </c>
      <c r="E150" t="s">
        <v>57</v>
      </c>
      <c r="F150" s="33" t="s">
        <v>753</v>
      </c>
      <c r="G150" t="s">
        <v>754</v>
      </c>
      <c r="H150" t="s">
        <v>16</v>
      </c>
      <c r="I150" t="s">
        <v>43</v>
      </c>
      <c r="J150" t="s">
        <v>106</v>
      </c>
      <c r="K150" t="s">
        <v>52</v>
      </c>
      <c r="L150" s="31">
        <v>94109</v>
      </c>
      <c r="M150" t="s">
        <v>11</v>
      </c>
      <c r="N150" s="33" t="s">
        <v>177</v>
      </c>
      <c r="O150" t="s">
        <v>21</v>
      </c>
      <c r="P150" t="s">
        <v>96</v>
      </c>
      <c r="Q150" t="s">
        <v>178</v>
      </c>
      <c r="R150" s="34">
        <v>211.96</v>
      </c>
      <c r="S150" s="31">
        <v>4</v>
      </c>
      <c r="T150" s="35">
        <v>0</v>
      </c>
      <c r="U150" s="31">
        <v>8.4784</v>
      </c>
    </row>
    <row r="151" spans="1:21">
      <c r="A151" s="31">
        <v>150</v>
      </c>
      <c r="B151" t="s">
        <v>39</v>
      </c>
      <c r="C151" s="32">
        <v>42664</v>
      </c>
      <c r="D151" s="32">
        <v>42664</v>
      </c>
      <c r="E151" t="s">
        <v>755</v>
      </c>
      <c r="F151" s="33" t="s">
        <v>756</v>
      </c>
      <c r="G151" t="s">
        <v>757</v>
      </c>
      <c r="H151" t="s">
        <v>17</v>
      </c>
      <c r="I151" t="s">
        <v>43</v>
      </c>
      <c r="J151" t="s">
        <v>758</v>
      </c>
      <c r="K151" t="s">
        <v>475</v>
      </c>
      <c r="L151" s="31">
        <v>6040</v>
      </c>
      <c r="M151" t="s">
        <v>9</v>
      </c>
      <c r="N151" s="33" t="s">
        <v>759</v>
      </c>
      <c r="O151" t="s">
        <v>21</v>
      </c>
      <c r="P151" t="s">
        <v>82</v>
      </c>
      <c r="Q151" t="s">
        <v>760</v>
      </c>
      <c r="R151" s="34">
        <v>23.2</v>
      </c>
      <c r="S151" s="31">
        <v>4</v>
      </c>
      <c r="T151" s="35">
        <v>0</v>
      </c>
      <c r="U151" s="31">
        <v>10.44</v>
      </c>
    </row>
    <row r="152" spans="1:21">
      <c r="A152" s="31">
        <v>151</v>
      </c>
      <c r="B152" t="s">
        <v>39</v>
      </c>
      <c r="C152" s="32">
        <v>42884</v>
      </c>
      <c r="D152" s="32">
        <v>42890</v>
      </c>
      <c r="E152" t="s">
        <v>57</v>
      </c>
      <c r="F152" s="33" t="s">
        <v>761</v>
      </c>
      <c r="G152" t="s">
        <v>762</v>
      </c>
      <c r="H152" t="s">
        <v>16</v>
      </c>
      <c r="I152" t="s">
        <v>43</v>
      </c>
      <c r="J152" t="s">
        <v>763</v>
      </c>
      <c r="K152" t="s">
        <v>87</v>
      </c>
      <c r="L152" s="31">
        <v>78550</v>
      </c>
      <c r="M152" t="s">
        <v>8</v>
      </c>
      <c r="N152" s="33" t="s">
        <v>764</v>
      </c>
      <c r="O152" t="s">
        <v>21</v>
      </c>
      <c r="P152" t="s">
        <v>75</v>
      </c>
      <c r="Q152" t="s">
        <v>765</v>
      </c>
      <c r="R152" s="34">
        <v>25.92</v>
      </c>
      <c r="S152" s="31">
        <v>5</v>
      </c>
      <c r="T152" s="35">
        <v>0.2</v>
      </c>
      <c r="U152" s="31">
        <v>9.396</v>
      </c>
    </row>
    <row r="153" spans="1:21">
      <c r="A153" s="31">
        <v>152</v>
      </c>
      <c r="B153" t="s">
        <v>56</v>
      </c>
      <c r="C153" s="32">
        <v>41843</v>
      </c>
      <c r="D153" s="32">
        <v>41847</v>
      </c>
      <c r="E153" t="s">
        <v>57</v>
      </c>
      <c r="F153" s="33" t="s">
        <v>766</v>
      </c>
      <c r="G153" t="s">
        <v>767</v>
      </c>
      <c r="H153" t="s">
        <v>16</v>
      </c>
      <c r="I153" t="s">
        <v>43</v>
      </c>
      <c r="J153" t="s">
        <v>768</v>
      </c>
      <c r="K153" t="s">
        <v>215</v>
      </c>
      <c r="L153" s="31">
        <v>85705</v>
      </c>
      <c r="M153" t="s">
        <v>11</v>
      </c>
      <c r="N153" s="33" t="s">
        <v>769</v>
      </c>
      <c r="O153" t="s">
        <v>21</v>
      </c>
      <c r="P153" t="s">
        <v>82</v>
      </c>
      <c r="Q153" t="s">
        <v>770</v>
      </c>
      <c r="R153" s="34">
        <v>8.16</v>
      </c>
      <c r="S153" s="31">
        <v>5</v>
      </c>
      <c r="T153" s="35">
        <v>0.7</v>
      </c>
      <c r="U153" s="31">
        <v>-5.712</v>
      </c>
    </row>
    <row r="154" spans="1:21">
      <c r="A154" s="31">
        <v>153</v>
      </c>
      <c r="B154" t="s">
        <v>56</v>
      </c>
      <c r="C154" s="32">
        <v>42641</v>
      </c>
      <c r="D154" s="32">
        <v>42644</v>
      </c>
      <c r="E154" t="s">
        <v>139</v>
      </c>
      <c r="F154" s="33" t="s">
        <v>771</v>
      </c>
      <c r="G154" t="s">
        <v>772</v>
      </c>
      <c r="H154" t="s">
        <v>17</v>
      </c>
      <c r="I154" t="s">
        <v>43</v>
      </c>
      <c r="J154" t="s">
        <v>773</v>
      </c>
      <c r="K154" t="s">
        <v>154</v>
      </c>
      <c r="L154" s="31">
        <v>62301</v>
      </c>
      <c r="M154" t="s">
        <v>8</v>
      </c>
      <c r="N154" s="33" t="s">
        <v>774</v>
      </c>
      <c r="O154" t="s">
        <v>21</v>
      </c>
      <c r="P154" t="s">
        <v>75</v>
      </c>
      <c r="Q154" t="s">
        <v>775</v>
      </c>
      <c r="R154" s="34">
        <v>99.136</v>
      </c>
      <c r="S154" s="31">
        <v>4</v>
      </c>
      <c r="T154" s="35">
        <v>0.2</v>
      </c>
      <c r="U154" s="31">
        <v>30.98</v>
      </c>
    </row>
    <row r="155" spans="1:21">
      <c r="A155" s="31">
        <v>154</v>
      </c>
      <c r="B155" t="s">
        <v>56</v>
      </c>
      <c r="C155" s="32">
        <v>42974</v>
      </c>
      <c r="D155" s="32">
        <v>42979</v>
      </c>
      <c r="E155" t="s">
        <v>57</v>
      </c>
      <c r="F155" s="33" t="s">
        <v>776</v>
      </c>
      <c r="G155" t="s">
        <v>777</v>
      </c>
      <c r="H155" t="s">
        <v>17</v>
      </c>
      <c r="I155" t="s">
        <v>43</v>
      </c>
      <c r="J155" t="s">
        <v>398</v>
      </c>
      <c r="K155" t="s">
        <v>735</v>
      </c>
      <c r="L155" s="31">
        <v>2038</v>
      </c>
      <c r="M155" t="s">
        <v>9</v>
      </c>
      <c r="N155" s="33" t="s">
        <v>778</v>
      </c>
      <c r="O155" t="s">
        <v>20</v>
      </c>
      <c r="P155" t="s">
        <v>63</v>
      </c>
      <c r="Q155" t="s">
        <v>779</v>
      </c>
      <c r="R155" s="34">
        <v>1488.424</v>
      </c>
      <c r="S155" s="31">
        <v>7</v>
      </c>
      <c r="T155" s="35">
        <v>0.3</v>
      </c>
      <c r="U155" s="31">
        <v>-297.6848</v>
      </c>
    </row>
    <row r="156" spans="1:21">
      <c r="A156" s="31">
        <v>155</v>
      </c>
      <c r="B156" t="s">
        <v>39</v>
      </c>
      <c r="C156" s="32">
        <v>42122</v>
      </c>
      <c r="D156" s="32">
        <v>42129</v>
      </c>
      <c r="E156" t="s">
        <v>57</v>
      </c>
      <c r="F156" s="33" t="s">
        <v>780</v>
      </c>
      <c r="G156" t="s">
        <v>781</v>
      </c>
      <c r="H156" t="s">
        <v>16</v>
      </c>
      <c r="I156" t="s">
        <v>43</v>
      </c>
      <c r="J156" t="s">
        <v>136</v>
      </c>
      <c r="K156" t="s">
        <v>87</v>
      </c>
      <c r="L156" s="31">
        <v>77095</v>
      </c>
      <c r="M156" t="s">
        <v>8</v>
      </c>
      <c r="N156" s="33" t="s">
        <v>782</v>
      </c>
      <c r="O156" t="s">
        <v>21</v>
      </c>
      <c r="P156" t="s">
        <v>89</v>
      </c>
      <c r="Q156" t="s">
        <v>783</v>
      </c>
      <c r="R156" s="34">
        <v>8.652</v>
      </c>
      <c r="S156" s="31">
        <v>3</v>
      </c>
      <c r="T156" s="35">
        <v>0.8</v>
      </c>
      <c r="U156" s="31">
        <v>-20.3322</v>
      </c>
    </row>
    <row r="157" spans="1:21">
      <c r="A157" s="31">
        <v>156</v>
      </c>
      <c r="B157" t="s">
        <v>39</v>
      </c>
      <c r="C157" s="32">
        <v>42671</v>
      </c>
      <c r="D157" s="32">
        <v>42672</v>
      </c>
      <c r="E157" t="s">
        <v>139</v>
      </c>
      <c r="F157" s="33" t="s">
        <v>784</v>
      </c>
      <c r="G157" t="s">
        <v>785</v>
      </c>
      <c r="H157" t="s">
        <v>17</v>
      </c>
      <c r="I157" t="s">
        <v>43</v>
      </c>
      <c r="J157" t="s">
        <v>106</v>
      </c>
      <c r="K157" t="s">
        <v>52</v>
      </c>
      <c r="L157" s="31">
        <v>94109</v>
      </c>
      <c r="M157" t="s">
        <v>11</v>
      </c>
      <c r="N157" s="33" t="s">
        <v>786</v>
      </c>
      <c r="O157" t="s">
        <v>21</v>
      </c>
      <c r="P157" t="s">
        <v>75</v>
      </c>
      <c r="Q157" t="s">
        <v>787</v>
      </c>
      <c r="R157" s="34">
        <v>50.96</v>
      </c>
      <c r="S157" s="31">
        <v>7</v>
      </c>
      <c r="T157" s="35">
        <v>0</v>
      </c>
      <c r="U157" s="31">
        <v>25.48</v>
      </c>
    </row>
    <row r="158" spans="1:21">
      <c r="A158" s="31">
        <v>157</v>
      </c>
      <c r="B158" t="s">
        <v>39</v>
      </c>
      <c r="C158" s="32">
        <v>42181</v>
      </c>
      <c r="D158" s="32">
        <v>42184</v>
      </c>
      <c r="E158" t="s">
        <v>40</v>
      </c>
      <c r="F158" s="33" t="s">
        <v>788</v>
      </c>
      <c r="G158" t="s">
        <v>789</v>
      </c>
      <c r="H158" t="s">
        <v>17</v>
      </c>
      <c r="I158" t="s">
        <v>43</v>
      </c>
      <c r="J158" t="s">
        <v>790</v>
      </c>
      <c r="K158" t="s">
        <v>176</v>
      </c>
      <c r="L158" s="31">
        <v>48180</v>
      </c>
      <c r="M158" t="s">
        <v>8</v>
      </c>
      <c r="N158" s="33" t="s">
        <v>791</v>
      </c>
      <c r="O158" t="s">
        <v>22</v>
      </c>
      <c r="P158" t="s">
        <v>171</v>
      </c>
      <c r="Q158" t="s">
        <v>792</v>
      </c>
      <c r="R158" s="34">
        <v>41.9</v>
      </c>
      <c r="S158" s="31">
        <v>2</v>
      </c>
      <c r="T158" s="35">
        <v>0</v>
      </c>
      <c r="U158" s="31">
        <v>8.799</v>
      </c>
    </row>
    <row r="159" spans="1:21">
      <c r="A159" s="31">
        <v>158</v>
      </c>
      <c r="B159" t="s">
        <v>56</v>
      </c>
      <c r="C159" s="32">
        <v>42335</v>
      </c>
      <c r="D159" s="32">
        <v>42340</v>
      </c>
      <c r="E159" t="s">
        <v>57</v>
      </c>
      <c r="F159" s="33" t="s">
        <v>793</v>
      </c>
      <c r="G159" t="s">
        <v>794</v>
      </c>
      <c r="H159" t="s">
        <v>16</v>
      </c>
      <c r="I159" t="s">
        <v>43</v>
      </c>
      <c r="J159" t="s">
        <v>795</v>
      </c>
      <c r="K159" t="s">
        <v>61</v>
      </c>
      <c r="L159" s="31">
        <v>33024</v>
      </c>
      <c r="M159" t="s">
        <v>10</v>
      </c>
      <c r="N159" s="33" t="s">
        <v>796</v>
      </c>
      <c r="O159" t="s">
        <v>20</v>
      </c>
      <c r="P159" t="s">
        <v>63</v>
      </c>
      <c r="Q159" t="s">
        <v>797</v>
      </c>
      <c r="R159" s="34">
        <v>375.4575</v>
      </c>
      <c r="S159" s="31">
        <v>3</v>
      </c>
      <c r="T159" s="35">
        <v>0.45</v>
      </c>
      <c r="U159" s="31">
        <v>-157.0095</v>
      </c>
    </row>
    <row r="160" spans="1:21">
      <c r="A160" s="31">
        <v>159</v>
      </c>
      <c r="B160" t="s">
        <v>39</v>
      </c>
      <c r="C160" s="32">
        <v>42341</v>
      </c>
      <c r="D160" s="32">
        <v>42345</v>
      </c>
      <c r="E160" t="s">
        <v>57</v>
      </c>
      <c r="F160" s="33" t="s">
        <v>798</v>
      </c>
      <c r="G160" t="s">
        <v>799</v>
      </c>
      <c r="H160" t="s">
        <v>17</v>
      </c>
      <c r="I160" t="s">
        <v>43</v>
      </c>
      <c r="J160" t="s">
        <v>118</v>
      </c>
      <c r="K160" t="s">
        <v>119</v>
      </c>
      <c r="L160" s="31">
        <v>19140</v>
      </c>
      <c r="M160" t="s">
        <v>9</v>
      </c>
      <c r="N160" s="33" t="s">
        <v>800</v>
      </c>
      <c r="O160" t="s">
        <v>22</v>
      </c>
      <c r="P160" t="s">
        <v>610</v>
      </c>
      <c r="Q160" t="s">
        <v>801</v>
      </c>
      <c r="R160" s="34">
        <v>482.34</v>
      </c>
      <c r="S160" s="31">
        <v>4</v>
      </c>
      <c r="T160" s="35">
        <v>0.7</v>
      </c>
      <c r="U160" s="31">
        <v>-337.638</v>
      </c>
    </row>
    <row r="161" spans="1:21">
      <c r="A161" s="31">
        <v>160</v>
      </c>
      <c r="B161" t="s">
        <v>39</v>
      </c>
      <c r="C161" s="32">
        <v>41967</v>
      </c>
      <c r="D161" s="32">
        <v>41969</v>
      </c>
      <c r="E161" t="s">
        <v>139</v>
      </c>
      <c r="F161" s="33" t="s">
        <v>802</v>
      </c>
      <c r="G161" t="s">
        <v>803</v>
      </c>
      <c r="H161" t="s">
        <v>16</v>
      </c>
      <c r="I161" t="s">
        <v>43</v>
      </c>
      <c r="J161" t="s">
        <v>628</v>
      </c>
      <c r="K161" t="s">
        <v>331</v>
      </c>
      <c r="L161" s="31">
        <v>45231</v>
      </c>
      <c r="M161" t="s">
        <v>9</v>
      </c>
      <c r="N161" s="33" t="s">
        <v>804</v>
      </c>
      <c r="O161" t="s">
        <v>21</v>
      </c>
      <c r="P161" t="s">
        <v>108</v>
      </c>
      <c r="Q161" t="s">
        <v>805</v>
      </c>
      <c r="R161" s="34">
        <v>2.624</v>
      </c>
      <c r="S161" s="31">
        <v>1</v>
      </c>
      <c r="T161" s="35">
        <v>0.2</v>
      </c>
      <c r="U161" s="31">
        <v>0.4264</v>
      </c>
    </row>
    <row r="162" spans="1:21">
      <c r="A162" s="31">
        <v>161</v>
      </c>
      <c r="B162" t="s">
        <v>39</v>
      </c>
      <c r="C162" s="32">
        <v>43080</v>
      </c>
      <c r="D162" s="32">
        <v>43084</v>
      </c>
      <c r="E162" t="s">
        <v>57</v>
      </c>
      <c r="F162" s="33" t="s">
        <v>806</v>
      </c>
      <c r="G162" t="s">
        <v>807</v>
      </c>
      <c r="H162" t="s">
        <v>16</v>
      </c>
      <c r="I162" t="s">
        <v>43</v>
      </c>
      <c r="J162" t="s">
        <v>193</v>
      </c>
      <c r="K162" t="s">
        <v>194</v>
      </c>
      <c r="L162" s="31">
        <v>10009</v>
      </c>
      <c r="M162" t="s">
        <v>9</v>
      </c>
      <c r="N162" s="33" t="s">
        <v>808</v>
      </c>
      <c r="O162" t="s">
        <v>21</v>
      </c>
      <c r="P162" t="s">
        <v>82</v>
      </c>
      <c r="Q162" t="s">
        <v>809</v>
      </c>
      <c r="R162" s="34">
        <v>23.36</v>
      </c>
      <c r="S162" s="31">
        <v>4</v>
      </c>
      <c r="T162" s="35">
        <v>0.2</v>
      </c>
      <c r="U162" s="31">
        <v>7.884</v>
      </c>
    </row>
    <row r="163" spans="1:21">
      <c r="A163" s="31">
        <v>162</v>
      </c>
      <c r="B163" t="s">
        <v>56</v>
      </c>
      <c r="C163" s="32">
        <v>41903</v>
      </c>
      <c r="D163" s="32">
        <v>41905</v>
      </c>
      <c r="E163" t="s">
        <v>40</v>
      </c>
      <c r="F163" s="33" t="s">
        <v>810</v>
      </c>
      <c r="G163" t="s">
        <v>811</v>
      </c>
      <c r="H163" t="s">
        <v>16</v>
      </c>
      <c r="I163" t="s">
        <v>43</v>
      </c>
      <c r="J163" t="s">
        <v>812</v>
      </c>
      <c r="K163" t="s">
        <v>80</v>
      </c>
      <c r="L163" s="31">
        <v>98198</v>
      </c>
      <c r="M163" t="s">
        <v>11</v>
      </c>
      <c r="N163" s="33" t="s">
        <v>813</v>
      </c>
      <c r="O163" t="s">
        <v>22</v>
      </c>
      <c r="P163" t="s">
        <v>144</v>
      </c>
      <c r="Q163" t="s">
        <v>814</v>
      </c>
      <c r="R163" s="34">
        <v>246.384</v>
      </c>
      <c r="S163" s="31">
        <v>2</v>
      </c>
      <c r="T163" s="35">
        <v>0.2</v>
      </c>
      <c r="U163" s="31">
        <v>27.7182</v>
      </c>
    </row>
    <row r="164" spans="1:21">
      <c r="A164" s="31">
        <v>163</v>
      </c>
      <c r="B164" t="s">
        <v>56</v>
      </c>
      <c r="C164" s="32">
        <v>41797</v>
      </c>
      <c r="D164" s="32">
        <v>41800</v>
      </c>
      <c r="E164" t="s">
        <v>40</v>
      </c>
      <c r="F164" s="33" t="s">
        <v>815</v>
      </c>
      <c r="G164" t="s">
        <v>816</v>
      </c>
      <c r="H164" t="s">
        <v>17</v>
      </c>
      <c r="I164" t="s">
        <v>43</v>
      </c>
      <c r="J164" t="s">
        <v>817</v>
      </c>
      <c r="K164" t="s">
        <v>154</v>
      </c>
      <c r="L164" s="31">
        <v>61604</v>
      </c>
      <c r="M164" t="s">
        <v>8</v>
      </c>
      <c r="N164" s="33" t="s">
        <v>818</v>
      </c>
      <c r="O164" t="s">
        <v>21</v>
      </c>
      <c r="P164" t="s">
        <v>82</v>
      </c>
      <c r="Q164" t="s">
        <v>819</v>
      </c>
      <c r="R164" s="34">
        <v>12.462</v>
      </c>
      <c r="S164" s="31">
        <v>3</v>
      </c>
      <c r="T164" s="35">
        <v>0.8</v>
      </c>
      <c r="U164" s="31">
        <v>-20.5623</v>
      </c>
    </row>
    <row r="165" spans="1:21">
      <c r="A165" s="31">
        <v>164</v>
      </c>
      <c r="B165" t="s">
        <v>39</v>
      </c>
      <c r="C165" s="32">
        <v>42916</v>
      </c>
      <c r="D165" s="32">
        <v>42921</v>
      </c>
      <c r="E165" t="s">
        <v>57</v>
      </c>
      <c r="F165" s="33" t="s">
        <v>820</v>
      </c>
      <c r="G165" t="s">
        <v>821</v>
      </c>
      <c r="H165" t="s">
        <v>18</v>
      </c>
      <c r="I165" t="s">
        <v>43</v>
      </c>
      <c r="J165" t="s">
        <v>822</v>
      </c>
      <c r="K165" t="s">
        <v>823</v>
      </c>
      <c r="L165" s="31">
        <v>89115</v>
      </c>
      <c r="M165" t="s">
        <v>11</v>
      </c>
      <c r="N165" s="33" t="s">
        <v>824</v>
      </c>
      <c r="O165" t="s">
        <v>21</v>
      </c>
      <c r="P165" t="s">
        <v>82</v>
      </c>
      <c r="Q165" t="s">
        <v>825</v>
      </c>
      <c r="R165" s="34">
        <v>75.792</v>
      </c>
      <c r="S165" s="31">
        <v>3</v>
      </c>
      <c r="T165" s="35">
        <v>0.2</v>
      </c>
      <c r="U165" s="31">
        <v>25.5798</v>
      </c>
    </row>
    <row r="166" spans="1:21">
      <c r="A166" s="31">
        <v>165</v>
      </c>
      <c r="B166" t="s">
        <v>39</v>
      </c>
      <c r="C166" s="32">
        <v>43025</v>
      </c>
      <c r="D166" s="32">
        <v>43027</v>
      </c>
      <c r="E166" t="s">
        <v>40</v>
      </c>
      <c r="F166" s="33" t="s">
        <v>826</v>
      </c>
      <c r="G166" t="s">
        <v>827</v>
      </c>
      <c r="H166" t="s">
        <v>17</v>
      </c>
      <c r="I166" t="s">
        <v>43</v>
      </c>
      <c r="J166" t="s">
        <v>828</v>
      </c>
      <c r="K166" t="s">
        <v>829</v>
      </c>
      <c r="L166" s="31">
        <v>2886</v>
      </c>
      <c r="M166" t="s">
        <v>9</v>
      </c>
      <c r="N166" s="33" t="s">
        <v>830</v>
      </c>
      <c r="O166" t="s">
        <v>21</v>
      </c>
      <c r="P166" t="s">
        <v>96</v>
      </c>
      <c r="Q166" t="s">
        <v>831</v>
      </c>
      <c r="R166" s="34">
        <v>49.96</v>
      </c>
      <c r="S166" s="31">
        <v>2</v>
      </c>
      <c r="T166" s="35">
        <v>0</v>
      </c>
      <c r="U166" s="31">
        <v>9.4924</v>
      </c>
    </row>
    <row r="167" spans="1:21">
      <c r="A167" s="31">
        <v>166</v>
      </c>
      <c r="B167" t="s">
        <v>39</v>
      </c>
      <c r="C167" s="32">
        <v>42621</v>
      </c>
      <c r="D167" s="32">
        <v>42623</v>
      </c>
      <c r="E167" t="s">
        <v>40</v>
      </c>
      <c r="F167" s="33" t="s">
        <v>832</v>
      </c>
      <c r="G167" t="s">
        <v>833</v>
      </c>
      <c r="H167" t="s">
        <v>16</v>
      </c>
      <c r="I167" t="s">
        <v>43</v>
      </c>
      <c r="J167" t="s">
        <v>136</v>
      </c>
      <c r="K167" t="s">
        <v>87</v>
      </c>
      <c r="L167" s="31">
        <v>77036</v>
      </c>
      <c r="M167" t="s">
        <v>8</v>
      </c>
      <c r="N167" s="33" t="s">
        <v>834</v>
      </c>
      <c r="O167" t="s">
        <v>21</v>
      </c>
      <c r="P167" t="s">
        <v>96</v>
      </c>
      <c r="Q167" t="s">
        <v>835</v>
      </c>
      <c r="R167" s="34">
        <v>35.952</v>
      </c>
      <c r="S167" s="31">
        <v>3</v>
      </c>
      <c r="T167" s="35">
        <v>0.2</v>
      </c>
      <c r="U167" s="31">
        <v>3.5952</v>
      </c>
    </row>
    <row r="168" spans="1:21">
      <c r="A168" s="31">
        <v>167</v>
      </c>
      <c r="B168" t="s">
        <v>39</v>
      </c>
      <c r="C168" s="32">
        <v>41997</v>
      </c>
      <c r="D168" s="32">
        <v>41999</v>
      </c>
      <c r="E168" t="s">
        <v>139</v>
      </c>
      <c r="F168" s="33" t="s">
        <v>836</v>
      </c>
      <c r="G168" t="s">
        <v>837</v>
      </c>
      <c r="H168" t="s">
        <v>16</v>
      </c>
      <c r="I168" t="s">
        <v>43</v>
      </c>
      <c r="J168" t="s">
        <v>838</v>
      </c>
      <c r="K168" t="s">
        <v>61</v>
      </c>
      <c r="L168" s="31">
        <v>33180</v>
      </c>
      <c r="M168" t="s">
        <v>10</v>
      </c>
      <c r="N168" s="33" t="s">
        <v>839</v>
      </c>
      <c r="O168" t="s">
        <v>21</v>
      </c>
      <c r="P168" t="s">
        <v>75</v>
      </c>
      <c r="Q168" t="s">
        <v>840</v>
      </c>
      <c r="R168" s="34">
        <v>9.568</v>
      </c>
      <c r="S168" s="31">
        <v>2</v>
      </c>
      <c r="T168" s="35">
        <v>0.2</v>
      </c>
      <c r="U168" s="31">
        <v>3.4684</v>
      </c>
    </row>
    <row r="169" spans="1:21">
      <c r="A169" s="31">
        <v>168</v>
      </c>
      <c r="B169" t="s">
        <v>39</v>
      </c>
      <c r="C169" s="32">
        <v>43093</v>
      </c>
      <c r="D169" s="32">
        <v>43098</v>
      </c>
      <c r="E169" t="s">
        <v>57</v>
      </c>
      <c r="F169" s="33" t="s">
        <v>841</v>
      </c>
      <c r="G169" t="s">
        <v>842</v>
      </c>
      <c r="H169" t="s">
        <v>16</v>
      </c>
      <c r="I169" t="s">
        <v>43</v>
      </c>
      <c r="J169" t="s">
        <v>193</v>
      </c>
      <c r="K169" t="s">
        <v>194</v>
      </c>
      <c r="L169" s="31">
        <v>10024</v>
      </c>
      <c r="M169" t="s">
        <v>9</v>
      </c>
      <c r="N169" s="33" t="s">
        <v>843</v>
      </c>
      <c r="O169" t="s">
        <v>21</v>
      </c>
      <c r="P169" t="s">
        <v>89</v>
      </c>
      <c r="Q169" t="s">
        <v>844</v>
      </c>
      <c r="R169" s="34">
        <v>35.91</v>
      </c>
      <c r="S169" s="31">
        <v>3</v>
      </c>
      <c r="T169" s="35">
        <v>0</v>
      </c>
      <c r="U169" s="31">
        <v>9.6957</v>
      </c>
    </row>
    <row r="170" spans="1:21">
      <c r="A170" s="31">
        <v>169</v>
      </c>
      <c r="B170" t="s">
        <v>39</v>
      </c>
      <c r="C170" s="32">
        <v>43077</v>
      </c>
      <c r="D170" s="32">
        <v>43081</v>
      </c>
      <c r="E170" t="s">
        <v>57</v>
      </c>
      <c r="F170" s="33" t="s">
        <v>845</v>
      </c>
      <c r="G170" t="s">
        <v>846</v>
      </c>
      <c r="H170" t="s">
        <v>16</v>
      </c>
      <c r="I170" t="s">
        <v>43</v>
      </c>
      <c r="J170" t="s">
        <v>106</v>
      </c>
      <c r="K170" t="s">
        <v>52</v>
      </c>
      <c r="L170" s="31">
        <v>94110</v>
      </c>
      <c r="M170" t="s">
        <v>11</v>
      </c>
      <c r="N170" s="33" t="s">
        <v>847</v>
      </c>
      <c r="O170" t="s">
        <v>22</v>
      </c>
      <c r="P170" t="s">
        <v>171</v>
      </c>
      <c r="Q170" t="s">
        <v>848</v>
      </c>
      <c r="R170" s="34">
        <v>179.95</v>
      </c>
      <c r="S170" s="31">
        <v>5</v>
      </c>
      <c r="T170" s="35">
        <v>0</v>
      </c>
      <c r="U170" s="31">
        <v>37.7895</v>
      </c>
    </row>
    <row r="171" spans="1:21">
      <c r="A171" s="31">
        <v>170</v>
      </c>
      <c r="B171" t="s">
        <v>39</v>
      </c>
      <c r="C171" s="32">
        <v>43042</v>
      </c>
      <c r="D171" s="32">
        <v>43046</v>
      </c>
      <c r="E171" t="s">
        <v>57</v>
      </c>
      <c r="F171" s="33" t="s">
        <v>849</v>
      </c>
      <c r="G171" t="s">
        <v>850</v>
      </c>
      <c r="H171" t="s">
        <v>17</v>
      </c>
      <c r="I171" t="s">
        <v>43</v>
      </c>
      <c r="J171" t="s">
        <v>79</v>
      </c>
      <c r="K171" t="s">
        <v>80</v>
      </c>
      <c r="L171" s="31">
        <v>98105</v>
      </c>
      <c r="M171" t="s">
        <v>11</v>
      </c>
      <c r="N171" s="33" t="s">
        <v>851</v>
      </c>
      <c r="O171" t="s">
        <v>21</v>
      </c>
      <c r="P171" t="s">
        <v>75</v>
      </c>
      <c r="Q171" t="s">
        <v>852</v>
      </c>
      <c r="R171" s="34">
        <v>139.86</v>
      </c>
      <c r="S171" s="31">
        <v>7</v>
      </c>
      <c r="T171" s="35">
        <v>0</v>
      </c>
      <c r="U171" s="31">
        <v>65.7342</v>
      </c>
    </row>
    <row r="172" spans="1:21">
      <c r="A172" s="31">
        <v>171</v>
      </c>
      <c r="B172" t="s">
        <v>39</v>
      </c>
      <c r="C172" s="32">
        <v>42910</v>
      </c>
      <c r="D172" s="32">
        <v>42914</v>
      </c>
      <c r="E172" t="s">
        <v>57</v>
      </c>
      <c r="F172" s="33" t="s">
        <v>853</v>
      </c>
      <c r="G172" t="s">
        <v>854</v>
      </c>
      <c r="H172" t="s">
        <v>16</v>
      </c>
      <c r="I172" t="s">
        <v>43</v>
      </c>
      <c r="J172" t="s">
        <v>855</v>
      </c>
      <c r="K172" t="s">
        <v>52</v>
      </c>
      <c r="L172" s="31">
        <v>92646</v>
      </c>
      <c r="M172" t="s">
        <v>11</v>
      </c>
      <c r="N172" s="33" t="s">
        <v>856</v>
      </c>
      <c r="O172" t="s">
        <v>21</v>
      </c>
      <c r="P172" t="s">
        <v>108</v>
      </c>
      <c r="Q172" t="s">
        <v>857</v>
      </c>
      <c r="R172" s="34">
        <v>95.92</v>
      </c>
      <c r="S172" s="31">
        <v>8</v>
      </c>
      <c r="T172" s="35">
        <v>0</v>
      </c>
      <c r="U172" s="31">
        <v>25.8984</v>
      </c>
    </row>
    <row r="173" spans="1:21">
      <c r="A173" s="31">
        <v>172</v>
      </c>
      <c r="B173" t="s">
        <v>39</v>
      </c>
      <c r="C173" s="32">
        <v>42474</v>
      </c>
      <c r="D173" s="32">
        <v>42478</v>
      </c>
      <c r="E173" t="s">
        <v>57</v>
      </c>
      <c r="F173" s="33" t="s">
        <v>858</v>
      </c>
      <c r="G173" t="s">
        <v>859</v>
      </c>
      <c r="H173" t="s">
        <v>16</v>
      </c>
      <c r="I173" t="s">
        <v>43</v>
      </c>
      <c r="J173" t="s">
        <v>51</v>
      </c>
      <c r="K173" t="s">
        <v>52</v>
      </c>
      <c r="L173" s="31">
        <v>90004</v>
      </c>
      <c r="M173" t="s">
        <v>11</v>
      </c>
      <c r="N173" s="33" t="s">
        <v>860</v>
      </c>
      <c r="O173" t="s">
        <v>20</v>
      </c>
      <c r="P173" t="s">
        <v>121</v>
      </c>
      <c r="Q173" t="s">
        <v>861</v>
      </c>
      <c r="R173" s="34">
        <v>383.8</v>
      </c>
      <c r="S173" s="31">
        <v>5</v>
      </c>
      <c r="T173" s="35">
        <v>0.2</v>
      </c>
      <c r="U173" s="31">
        <v>38.38</v>
      </c>
    </row>
    <row r="174" spans="1:21">
      <c r="A174" s="31">
        <v>173</v>
      </c>
      <c r="B174" t="s">
        <v>39</v>
      </c>
      <c r="C174" s="32">
        <v>43027</v>
      </c>
      <c r="D174" s="32">
        <v>43031</v>
      </c>
      <c r="E174" t="s">
        <v>57</v>
      </c>
      <c r="F174" s="33" t="s">
        <v>862</v>
      </c>
      <c r="G174" t="s">
        <v>863</v>
      </c>
      <c r="H174" t="s">
        <v>17</v>
      </c>
      <c r="I174" t="s">
        <v>43</v>
      </c>
      <c r="J174" t="s">
        <v>864</v>
      </c>
      <c r="K174" t="s">
        <v>735</v>
      </c>
      <c r="L174" s="31">
        <v>1841</v>
      </c>
      <c r="M174" t="s">
        <v>9</v>
      </c>
      <c r="N174" s="33" t="s">
        <v>865</v>
      </c>
      <c r="O174" t="s">
        <v>20</v>
      </c>
      <c r="P174" t="s">
        <v>68</v>
      </c>
      <c r="Q174" t="s">
        <v>866</v>
      </c>
      <c r="R174" s="34">
        <v>56.56</v>
      </c>
      <c r="S174" s="31">
        <v>4</v>
      </c>
      <c r="T174" s="35">
        <v>0</v>
      </c>
      <c r="U174" s="31">
        <v>14.7056</v>
      </c>
    </row>
    <row r="175" spans="1:21">
      <c r="A175" s="31">
        <v>174</v>
      </c>
      <c r="B175" t="s">
        <v>39</v>
      </c>
      <c r="C175" s="32">
        <v>42968</v>
      </c>
      <c r="D175" s="32">
        <v>42970</v>
      </c>
      <c r="E175" t="s">
        <v>40</v>
      </c>
      <c r="F175" s="33" t="s">
        <v>867</v>
      </c>
      <c r="G175" t="s">
        <v>868</v>
      </c>
      <c r="H175" t="s">
        <v>16</v>
      </c>
      <c r="I175" t="s">
        <v>43</v>
      </c>
      <c r="J175" t="s">
        <v>869</v>
      </c>
      <c r="K175" t="s">
        <v>870</v>
      </c>
      <c r="L175" s="31">
        <v>39212</v>
      </c>
      <c r="M175" t="s">
        <v>10</v>
      </c>
      <c r="N175" s="33" t="s">
        <v>871</v>
      </c>
      <c r="O175" t="s">
        <v>20</v>
      </c>
      <c r="P175" t="s">
        <v>121</v>
      </c>
      <c r="Q175" t="s">
        <v>872</v>
      </c>
      <c r="R175" s="34">
        <v>866.4</v>
      </c>
      <c r="S175" s="31">
        <v>4</v>
      </c>
      <c r="T175" s="35">
        <v>0</v>
      </c>
      <c r="U175" s="31">
        <v>225.264</v>
      </c>
    </row>
    <row r="176" spans="1:21">
      <c r="A176" s="31">
        <v>175</v>
      </c>
      <c r="B176" t="s">
        <v>39</v>
      </c>
      <c r="C176" s="32">
        <v>41894</v>
      </c>
      <c r="D176" s="32">
        <v>41895</v>
      </c>
      <c r="E176" t="s">
        <v>139</v>
      </c>
      <c r="F176" s="33" t="s">
        <v>873</v>
      </c>
      <c r="G176" t="s">
        <v>874</v>
      </c>
      <c r="H176" t="s">
        <v>18</v>
      </c>
      <c r="I176" t="s">
        <v>43</v>
      </c>
      <c r="J176" t="s">
        <v>875</v>
      </c>
      <c r="K176" t="s">
        <v>194</v>
      </c>
      <c r="L176" s="31">
        <v>10801</v>
      </c>
      <c r="M176" t="s">
        <v>9</v>
      </c>
      <c r="N176" s="33" t="s">
        <v>876</v>
      </c>
      <c r="O176" t="s">
        <v>22</v>
      </c>
      <c r="P176" t="s">
        <v>610</v>
      </c>
      <c r="Q176" t="s">
        <v>877</v>
      </c>
      <c r="R176" s="34">
        <v>69.99</v>
      </c>
      <c r="S176" s="31">
        <v>1</v>
      </c>
      <c r="T176" s="35">
        <v>0</v>
      </c>
      <c r="U176" s="31">
        <v>30.0957</v>
      </c>
    </row>
    <row r="177" spans="1:21">
      <c r="A177" s="31">
        <v>176</v>
      </c>
      <c r="B177" t="s">
        <v>39</v>
      </c>
      <c r="C177" s="32">
        <v>43009</v>
      </c>
      <c r="D177" s="32">
        <v>43016</v>
      </c>
      <c r="E177" t="s">
        <v>57</v>
      </c>
      <c r="F177" s="33" t="s">
        <v>878</v>
      </c>
      <c r="G177" t="s">
        <v>879</v>
      </c>
      <c r="H177" t="s">
        <v>17</v>
      </c>
      <c r="I177" t="s">
        <v>43</v>
      </c>
      <c r="J177" t="s">
        <v>443</v>
      </c>
      <c r="K177" t="s">
        <v>87</v>
      </c>
      <c r="L177" s="31">
        <v>78207</v>
      </c>
      <c r="M177" t="s">
        <v>8</v>
      </c>
      <c r="N177" s="33" t="s">
        <v>880</v>
      </c>
      <c r="O177" t="s">
        <v>21</v>
      </c>
      <c r="P177" t="s">
        <v>108</v>
      </c>
      <c r="Q177" t="s">
        <v>881</v>
      </c>
      <c r="R177" s="34">
        <v>6.672</v>
      </c>
      <c r="S177" s="31">
        <v>6</v>
      </c>
      <c r="T177" s="35">
        <v>0.2</v>
      </c>
      <c r="U177" s="31">
        <v>0.5004</v>
      </c>
    </row>
    <row r="178" spans="1:21">
      <c r="A178" s="31">
        <v>177</v>
      </c>
      <c r="B178" t="s">
        <v>56</v>
      </c>
      <c r="C178" s="32">
        <v>42475</v>
      </c>
      <c r="D178" s="32">
        <v>42481</v>
      </c>
      <c r="E178" t="s">
        <v>57</v>
      </c>
      <c r="F178" s="33" t="s">
        <v>882</v>
      </c>
      <c r="G178" t="s">
        <v>883</v>
      </c>
      <c r="H178" t="s">
        <v>18</v>
      </c>
      <c r="I178" t="s">
        <v>43</v>
      </c>
      <c r="J178" t="s">
        <v>884</v>
      </c>
      <c r="K178" t="s">
        <v>73</v>
      </c>
      <c r="L178" s="31">
        <v>28052</v>
      </c>
      <c r="M178" t="s">
        <v>10</v>
      </c>
      <c r="N178" s="33" t="s">
        <v>885</v>
      </c>
      <c r="O178" t="s">
        <v>21</v>
      </c>
      <c r="P178" t="s">
        <v>82</v>
      </c>
      <c r="Q178" t="s">
        <v>886</v>
      </c>
      <c r="R178" s="34">
        <v>189.588</v>
      </c>
      <c r="S178" s="31">
        <v>2</v>
      </c>
      <c r="T178" s="35">
        <v>0.7</v>
      </c>
      <c r="U178" s="31">
        <v>-145.3508</v>
      </c>
    </row>
    <row r="179" spans="1:21">
      <c r="A179" s="31">
        <v>178</v>
      </c>
      <c r="B179" t="s">
        <v>56</v>
      </c>
      <c r="C179" s="32">
        <v>41992</v>
      </c>
      <c r="D179" s="32">
        <v>41998</v>
      </c>
      <c r="E179" t="s">
        <v>57</v>
      </c>
      <c r="F179" s="33" t="s">
        <v>887</v>
      </c>
      <c r="G179" t="s">
        <v>888</v>
      </c>
      <c r="H179" t="s">
        <v>16</v>
      </c>
      <c r="I179" t="s">
        <v>43</v>
      </c>
      <c r="J179" t="s">
        <v>889</v>
      </c>
      <c r="K179" t="s">
        <v>61</v>
      </c>
      <c r="L179" s="31">
        <v>32216</v>
      </c>
      <c r="M179" t="s">
        <v>10</v>
      </c>
      <c r="N179" s="33" t="s">
        <v>890</v>
      </c>
      <c r="O179" t="s">
        <v>21</v>
      </c>
      <c r="P179" t="s">
        <v>82</v>
      </c>
      <c r="Q179" t="s">
        <v>891</v>
      </c>
      <c r="R179" s="34">
        <v>4.812</v>
      </c>
      <c r="S179" s="31">
        <v>2</v>
      </c>
      <c r="T179" s="35">
        <v>0.7</v>
      </c>
      <c r="U179" s="31">
        <v>-3.6892</v>
      </c>
    </row>
    <row r="180" spans="1:21">
      <c r="A180" s="31">
        <v>179</v>
      </c>
      <c r="B180" t="s">
        <v>39</v>
      </c>
      <c r="C180" s="32">
        <v>42533</v>
      </c>
      <c r="D180" s="32">
        <v>42535</v>
      </c>
      <c r="E180" t="s">
        <v>40</v>
      </c>
      <c r="F180" s="33" t="s">
        <v>892</v>
      </c>
      <c r="G180" t="s">
        <v>893</v>
      </c>
      <c r="H180" t="s">
        <v>18</v>
      </c>
      <c r="I180" t="s">
        <v>43</v>
      </c>
      <c r="J180" t="s">
        <v>209</v>
      </c>
      <c r="K180" t="s">
        <v>154</v>
      </c>
      <c r="L180" s="31">
        <v>60623</v>
      </c>
      <c r="M180" t="s">
        <v>8</v>
      </c>
      <c r="N180" s="33" t="s">
        <v>894</v>
      </c>
      <c r="O180" t="s">
        <v>22</v>
      </c>
      <c r="P180" t="s">
        <v>610</v>
      </c>
      <c r="Q180" t="s">
        <v>895</v>
      </c>
      <c r="R180" s="34">
        <v>1007.979</v>
      </c>
      <c r="S180" s="31">
        <v>3</v>
      </c>
      <c r="T180" s="35">
        <v>0.3</v>
      </c>
      <c r="U180" s="31">
        <v>43.1991</v>
      </c>
    </row>
    <row r="181" spans="1:21">
      <c r="A181" s="31">
        <v>180</v>
      </c>
      <c r="B181" t="s">
        <v>39</v>
      </c>
      <c r="C181" s="32">
        <v>42993</v>
      </c>
      <c r="D181" s="32">
        <v>42997</v>
      </c>
      <c r="E181" t="s">
        <v>57</v>
      </c>
      <c r="F181" s="33" t="s">
        <v>896</v>
      </c>
      <c r="G181" t="s">
        <v>897</v>
      </c>
      <c r="H181" t="s">
        <v>17</v>
      </c>
      <c r="I181" t="s">
        <v>43</v>
      </c>
      <c r="J181" t="s">
        <v>136</v>
      </c>
      <c r="K181" t="s">
        <v>87</v>
      </c>
      <c r="L181" s="31">
        <v>77070</v>
      </c>
      <c r="M181" t="s">
        <v>8</v>
      </c>
      <c r="N181" s="33" t="s">
        <v>898</v>
      </c>
      <c r="O181" t="s">
        <v>21</v>
      </c>
      <c r="P181" t="s">
        <v>75</v>
      </c>
      <c r="Q181" t="s">
        <v>899</v>
      </c>
      <c r="R181" s="34">
        <v>31.872</v>
      </c>
      <c r="S181" s="31">
        <v>8</v>
      </c>
      <c r="T181" s="35">
        <v>0.2</v>
      </c>
      <c r="U181" s="31">
        <v>11.5536</v>
      </c>
    </row>
    <row r="182" spans="1:21">
      <c r="A182" s="31">
        <v>181</v>
      </c>
      <c r="B182" t="s">
        <v>39</v>
      </c>
      <c r="C182" s="32">
        <v>42814</v>
      </c>
      <c r="D182" s="32">
        <v>42819</v>
      </c>
      <c r="E182" t="s">
        <v>40</v>
      </c>
      <c r="F182" s="33" t="s">
        <v>900</v>
      </c>
      <c r="G182" t="s">
        <v>901</v>
      </c>
      <c r="H182" t="s">
        <v>16</v>
      </c>
      <c r="I182" t="s">
        <v>43</v>
      </c>
      <c r="J182" t="s">
        <v>330</v>
      </c>
      <c r="K182" t="s">
        <v>188</v>
      </c>
      <c r="L182" s="31">
        <v>47201</v>
      </c>
      <c r="M182" t="s">
        <v>8</v>
      </c>
      <c r="N182" s="33" t="s">
        <v>902</v>
      </c>
      <c r="O182" t="s">
        <v>20</v>
      </c>
      <c r="P182" t="s">
        <v>68</v>
      </c>
      <c r="Q182" t="s">
        <v>903</v>
      </c>
      <c r="R182" s="34">
        <v>2.91</v>
      </c>
      <c r="S182" s="31">
        <v>1</v>
      </c>
      <c r="T182" s="35">
        <v>0</v>
      </c>
      <c r="U182" s="31">
        <v>1.3677</v>
      </c>
    </row>
    <row r="183" spans="1:21">
      <c r="A183" s="31">
        <v>182</v>
      </c>
      <c r="B183" t="s">
        <v>39</v>
      </c>
      <c r="C183" s="32">
        <v>42461</v>
      </c>
      <c r="D183" s="32">
        <v>42463</v>
      </c>
      <c r="E183" t="s">
        <v>40</v>
      </c>
      <c r="F183" s="33" t="s">
        <v>904</v>
      </c>
      <c r="G183" t="s">
        <v>905</v>
      </c>
      <c r="H183" t="s">
        <v>16</v>
      </c>
      <c r="I183" t="s">
        <v>43</v>
      </c>
      <c r="J183" t="s">
        <v>906</v>
      </c>
      <c r="K183" t="s">
        <v>194</v>
      </c>
      <c r="L183" s="31">
        <v>13021</v>
      </c>
      <c r="M183" t="s">
        <v>9</v>
      </c>
      <c r="N183" s="33" t="s">
        <v>907</v>
      </c>
      <c r="O183" t="s">
        <v>21</v>
      </c>
      <c r="P183" t="s">
        <v>108</v>
      </c>
      <c r="Q183" t="s">
        <v>908</v>
      </c>
      <c r="R183" s="34">
        <v>59.52</v>
      </c>
      <c r="S183" s="31">
        <v>3</v>
      </c>
      <c r="T183" s="35">
        <v>0</v>
      </c>
      <c r="U183" s="31">
        <v>15.4752</v>
      </c>
    </row>
    <row r="184" spans="1:21">
      <c r="A184" s="31">
        <v>183</v>
      </c>
      <c r="B184" t="s">
        <v>39</v>
      </c>
      <c r="C184" s="32">
        <v>43028</v>
      </c>
      <c r="D184" s="32">
        <v>43032</v>
      </c>
      <c r="E184" t="s">
        <v>57</v>
      </c>
      <c r="F184" s="33" t="s">
        <v>909</v>
      </c>
      <c r="G184" t="s">
        <v>910</v>
      </c>
      <c r="H184" t="s">
        <v>17</v>
      </c>
      <c r="I184" t="s">
        <v>43</v>
      </c>
      <c r="J184" t="s">
        <v>513</v>
      </c>
      <c r="K184" t="s">
        <v>331</v>
      </c>
      <c r="L184" s="31">
        <v>44312</v>
      </c>
      <c r="M184" t="s">
        <v>9</v>
      </c>
      <c r="N184" s="33" t="s">
        <v>911</v>
      </c>
      <c r="O184" t="s">
        <v>20</v>
      </c>
      <c r="P184" t="s">
        <v>63</v>
      </c>
      <c r="Q184" t="s">
        <v>912</v>
      </c>
      <c r="R184" s="34">
        <v>284.364</v>
      </c>
      <c r="S184" s="31">
        <v>2</v>
      </c>
      <c r="T184" s="35">
        <v>0.4</v>
      </c>
      <c r="U184" s="31">
        <v>-75.8304</v>
      </c>
    </row>
    <row r="185" spans="1:21">
      <c r="A185" s="31">
        <v>184</v>
      </c>
      <c r="B185" t="s">
        <v>56</v>
      </c>
      <c r="C185" s="32">
        <v>41682</v>
      </c>
      <c r="D185" s="32">
        <v>41688</v>
      </c>
      <c r="E185" t="s">
        <v>57</v>
      </c>
      <c r="F185" s="33" t="s">
        <v>913</v>
      </c>
      <c r="G185" t="s">
        <v>914</v>
      </c>
      <c r="H185" t="s">
        <v>16</v>
      </c>
      <c r="I185" t="s">
        <v>43</v>
      </c>
      <c r="J185" t="s">
        <v>72</v>
      </c>
      <c r="K185" t="s">
        <v>52</v>
      </c>
      <c r="L185" s="31">
        <v>94521</v>
      </c>
      <c r="M185" t="s">
        <v>11</v>
      </c>
      <c r="N185" s="33" t="s">
        <v>915</v>
      </c>
      <c r="O185" t="s">
        <v>20</v>
      </c>
      <c r="P185" t="s">
        <v>121</v>
      </c>
      <c r="Q185" t="s">
        <v>916</v>
      </c>
      <c r="R185" s="34">
        <v>129.568</v>
      </c>
      <c r="S185" s="31">
        <v>2</v>
      </c>
      <c r="T185" s="35">
        <v>0.2</v>
      </c>
      <c r="U185" s="31">
        <v>-24.294</v>
      </c>
    </row>
    <row r="186" spans="1:21">
      <c r="A186" s="31">
        <v>185</v>
      </c>
      <c r="B186" t="s">
        <v>39</v>
      </c>
      <c r="C186" s="32">
        <v>42482</v>
      </c>
      <c r="D186" s="32">
        <v>42489</v>
      </c>
      <c r="E186" t="s">
        <v>57</v>
      </c>
      <c r="F186" s="33" t="s">
        <v>917</v>
      </c>
      <c r="G186" t="s">
        <v>918</v>
      </c>
      <c r="H186" t="s">
        <v>18</v>
      </c>
      <c r="I186" t="s">
        <v>43</v>
      </c>
      <c r="J186" t="s">
        <v>359</v>
      </c>
      <c r="K186" t="s">
        <v>215</v>
      </c>
      <c r="L186" s="31">
        <v>85023</v>
      </c>
      <c r="M186" t="s">
        <v>11</v>
      </c>
      <c r="N186" s="33" t="s">
        <v>919</v>
      </c>
      <c r="O186" t="s">
        <v>20</v>
      </c>
      <c r="P186" t="s">
        <v>68</v>
      </c>
      <c r="Q186" t="s">
        <v>920</v>
      </c>
      <c r="R186" s="34">
        <v>23.56</v>
      </c>
      <c r="S186" s="31">
        <v>5</v>
      </c>
      <c r="T186" s="35">
        <v>0.2</v>
      </c>
      <c r="U186" s="31">
        <v>7.068</v>
      </c>
    </row>
    <row r="187" spans="1:21">
      <c r="A187" s="31">
        <v>186</v>
      </c>
      <c r="B187" t="s">
        <v>56</v>
      </c>
      <c r="C187" s="32">
        <v>42021</v>
      </c>
      <c r="D187" s="32">
        <v>42028</v>
      </c>
      <c r="E187" t="s">
        <v>57</v>
      </c>
      <c r="F187" s="33" t="s">
        <v>921</v>
      </c>
      <c r="G187" t="s">
        <v>922</v>
      </c>
      <c r="H187" t="s">
        <v>18</v>
      </c>
      <c r="I187" t="s">
        <v>43</v>
      </c>
      <c r="J187" t="s">
        <v>923</v>
      </c>
      <c r="K187" t="s">
        <v>154</v>
      </c>
      <c r="L187" s="31">
        <v>60068</v>
      </c>
      <c r="M187" t="s">
        <v>8</v>
      </c>
      <c r="N187" s="33" t="s">
        <v>924</v>
      </c>
      <c r="O187" t="s">
        <v>20</v>
      </c>
      <c r="P187" t="s">
        <v>68</v>
      </c>
      <c r="Q187" t="s">
        <v>925</v>
      </c>
      <c r="R187" s="34">
        <v>254.744</v>
      </c>
      <c r="S187" s="31">
        <v>7</v>
      </c>
      <c r="T187" s="35">
        <v>0.6</v>
      </c>
      <c r="U187" s="31">
        <v>-312.0614</v>
      </c>
    </row>
    <row r="188" spans="1:21">
      <c r="A188" s="31">
        <v>187</v>
      </c>
      <c r="B188" t="s">
        <v>39</v>
      </c>
      <c r="C188" s="32">
        <v>42358</v>
      </c>
      <c r="D188" s="32">
        <v>42362</v>
      </c>
      <c r="E188" t="s">
        <v>57</v>
      </c>
      <c r="F188" s="33" t="s">
        <v>926</v>
      </c>
      <c r="G188" t="s">
        <v>927</v>
      </c>
      <c r="H188" t="s">
        <v>17</v>
      </c>
      <c r="I188" t="s">
        <v>43</v>
      </c>
      <c r="J188" t="s">
        <v>928</v>
      </c>
      <c r="K188" t="s">
        <v>194</v>
      </c>
      <c r="L188" s="31">
        <v>11757</v>
      </c>
      <c r="M188" t="s">
        <v>9</v>
      </c>
      <c r="N188" s="33" t="s">
        <v>929</v>
      </c>
      <c r="O188" t="s">
        <v>21</v>
      </c>
      <c r="P188" t="s">
        <v>75</v>
      </c>
      <c r="Q188" t="s">
        <v>930</v>
      </c>
      <c r="R188" s="34">
        <v>55.48</v>
      </c>
      <c r="S188" s="31">
        <v>1</v>
      </c>
      <c r="T188" s="35">
        <v>0</v>
      </c>
      <c r="U188" s="31">
        <v>26.6304</v>
      </c>
    </row>
    <row r="189" spans="1:21">
      <c r="A189" s="31">
        <v>188</v>
      </c>
      <c r="B189" t="s">
        <v>39</v>
      </c>
      <c r="C189" s="32">
        <v>41952</v>
      </c>
      <c r="D189" s="32">
        <v>41954</v>
      </c>
      <c r="E189" t="s">
        <v>40</v>
      </c>
      <c r="F189" s="33" t="s">
        <v>931</v>
      </c>
      <c r="G189" t="s">
        <v>932</v>
      </c>
      <c r="H189" t="s">
        <v>16</v>
      </c>
      <c r="I189" t="s">
        <v>43</v>
      </c>
      <c r="J189" t="s">
        <v>106</v>
      </c>
      <c r="K189" t="s">
        <v>52</v>
      </c>
      <c r="L189" s="31">
        <v>94110</v>
      </c>
      <c r="M189" t="s">
        <v>11</v>
      </c>
      <c r="N189" s="33" t="s">
        <v>933</v>
      </c>
      <c r="O189" t="s">
        <v>21</v>
      </c>
      <c r="P189" t="s">
        <v>96</v>
      </c>
      <c r="Q189" t="s">
        <v>934</v>
      </c>
      <c r="R189" s="34">
        <v>340.92</v>
      </c>
      <c r="S189" s="31">
        <v>3</v>
      </c>
      <c r="T189" s="35">
        <v>0</v>
      </c>
      <c r="U189" s="31">
        <v>3.4092</v>
      </c>
    </row>
    <row r="190" spans="1:21">
      <c r="A190" s="31">
        <v>189</v>
      </c>
      <c r="B190" t="s">
        <v>39</v>
      </c>
      <c r="C190" s="32">
        <v>42670</v>
      </c>
      <c r="D190" s="32">
        <v>42676</v>
      </c>
      <c r="E190" t="s">
        <v>57</v>
      </c>
      <c r="F190" s="33" t="s">
        <v>935</v>
      </c>
      <c r="G190" t="s">
        <v>936</v>
      </c>
      <c r="H190" t="s">
        <v>16</v>
      </c>
      <c r="I190" t="s">
        <v>43</v>
      </c>
      <c r="J190" t="s">
        <v>200</v>
      </c>
      <c r="K190" t="s">
        <v>194</v>
      </c>
      <c r="L190" s="31">
        <v>12180</v>
      </c>
      <c r="M190" t="s">
        <v>9</v>
      </c>
      <c r="N190" s="33" t="s">
        <v>664</v>
      </c>
      <c r="O190" t="s">
        <v>20</v>
      </c>
      <c r="P190" t="s">
        <v>68</v>
      </c>
      <c r="Q190" t="s">
        <v>665</v>
      </c>
      <c r="R190" s="34">
        <v>40.2</v>
      </c>
      <c r="S190" s="31">
        <v>3</v>
      </c>
      <c r="T190" s="35">
        <v>0</v>
      </c>
      <c r="U190" s="31">
        <v>19.296</v>
      </c>
    </row>
    <row r="191" spans="1:21">
      <c r="A191" s="31">
        <v>190</v>
      </c>
      <c r="B191" t="s">
        <v>39</v>
      </c>
      <c r="C191" s="32">
        <v>42547</v>
      </c>
      <c r="D191" s="32">
        <v>42553</v>
      </c>
      <c r="E191" t="s">
        <v>57</v>
      </c>
      <c r="F191" s="33" t="s">
        <v>937</v>
      </c>
      <c r="G191" t="s">
        <v>938</v>
      </c>
      <c r="H191" t="s">
        <v>17</v>
      </c>
      <c r="I191" t="s">
        <v>43</v>
      </c>
      <c r="J191" t="s">
        <v>193</v>
      </c>
      <c r="K191" t="s">
        <v>194</v>
      </c>
      <c r="L191" s="31">
        <v>10024</v>
      </c>
      <c r="M191" t="s">
        <v>9</v>
      </c>
      <c r="N191" s="33" t="s">
        <v>939</v>
      </c>
      <c r="O191" t="s">
        <v>21</v>
      </c>
      <c r="P191" t="s">
        <v>108</v>
      </c>
      <c r="Q191" t="s">
        <v>940</v>
      </c>
      <c r="R191" s="34">
        <v>14.7</v>
      </c>
      <c r="S191" s="31">
        <v>5</v>
      </c>
      <c r="T191" s="35">
        <v>0</v>
      </c>
      <c r="U191" s="31">
        <v>6.615</v>
      </c>
    </row>
    <row r="192" spans="1:21">
      <c r="A192" s="31">
        <v>191</v>
      </c>
      <c r="B192" t="s">
        <v>39</v>
      </c>
      <c r="C192" s="32">
        <v>41918</v>
      </c>
      <c r="D192" s="32">
        <v>41922</v>
      </c>
      <c r="E192" t="s">
        <v>57</v>
      </c>
      <c r="F192" s="33" t="s">
        <v>941</v>
      </c>
      <c r="G192" t="s">
        <v>942</v>
      </c>
      <c r="H192" t="s">
        <v>16</v>
      </c>
      <c r="I192" t="s">
        <v>43</v>
      </c>
      <c r="J192" t="s">
        <v>588</v>
      </c>
      <c r="K192" t="s">
        <v>52</v>
      </c>
      <c r="L192" s="31">
        <v>92024</v>
      </c>
      <c r="M192" t="s">
        <v>11</v>
      </c>
      <c r="N192" s="33" t="s">
        <v>943</v>
      </c>
      <c r="O192" t="s">
        <v>22</v>
      </c>
      <c r="P192" t="s">
        <v>171</v>
      </c>
      <c r="Q192" t="s">
        <v>944</v>
      </c>
      <c r="R192" s="34">
        <v>9.09</v>
      </c>
      <c r="S192" s="31">
        <v>3</v>
      </c>
      <c r="T192" s="35">
        <v>0</v>
      </c>
      <c r="U192" s="31">
        <v>1.9089</v>
      </c>
    </row>
    <row r="193" spans="1:21">
      <c r="A193" s="31">
        <v>192</v>
      </c>
      <c r="B193" t="s">
        <v>39</v>
      </c>
      <c r="C193" s="32">
        <v>41842</v>
      </c>
      <c r="D193" s="32">
        <v>41847</v>
      </c>
      <c r="E193" t="s">
        <v>57</v>
      </c>
      <c r="F193" s="33" t="s">
        <v>945</v>
      </c>
      <c r="G193" t="s">
        <v>946</v>
      </c>
      <c r="H193" t="s">
        <v>16</v>
      </c>
      <c r="I193" t="s">
        <v>43</v>
      </c>
      <c r="J193" t="s">
        <v>193</v>
      </c>
      <c r="K193" t="s">
        <v>194</v>
      </c>
      <c r="L193" s="31">
        <v>10024</v>
      </c>
      <c r="M193" t="s">
        <v>9</v>
      </c>
      <c r="N193" s="33" t="s">
        <v>246</v>
      </c>
      <c r="O193" t="s">
        <v>21</v>
      </c>
      <c r="P193" t="s">
        <v>108</v>
      </c>
      <c r="Q193" t="s">
        <v>247</v>
      </c>
      <c r="R193" s="34">
        <v>5.96</v>
      </c>
      <c r="S193" s="31">
        <v>2</v>
      </c>
      <c r="T193" s="35">
        <v>0</v>
      </c>
      <c r="U193" s="31">
        <v>1.6688</v>
      </c>
    </row>
    <row r="194" spans="1:21">
      <c r="A194" s="31">
        <v>193</v>
      </c>
      <c r="B194" t="s">
        <v>39</v>
      </c>
      <c r="C194" s="32">
        <v>42896</v>
      </c>
      <c r="D194" s="32">
        <v>42899</v>
      </c>
      <c r="E194" t="s">
        <v>139</v>
      </c>
      <c r="F194" s="33" t="s">
        <v>947</v>
      </c>
      <c r="G194" t="s">
        <v>948</v>
      </c>
      <c r="H194" t="s">
        <v>18</v>
      </c>
      <c r="I194" t="s">
        <v>43</v>
      </c>
      <c r="J194" t="s">
        <v>51</v>
      </c>
      <c r="K194" t="s">
        <v>52</v>
      </c>
      <c r="L194" s="31">
        <v>90045</v>
      </c>
      <c r="M194" t="s">
        <v>11</v>
      </c>
      <c r="N194" s="33" t="s">
        <v>949</v>
      </c>
      <c r="O194" t="s">
        <v>21</v>
      </c>
      <c r="P194" t="s">
        <v>54</v>
      </c>
      <c r="Q194" t="s">
        <v>950</v>
      </c>
      <c r="R194" s="34">
        <v>29.6</v>
      </c>
      <c r="S194" s="31">
        <v>2</v>
      </c>
      <c r="T194" s="35">
        <v>0</v>
      </c>
      <c r="U194" s="31">
        <v>14.8</v>
      </c>
    </row>
    <row r="195" spans="1:21">
      <c r="A195" s="31">
        <v>194</v>
      </c>
      <c r="B195" t="s">
        <v>39</v>
      </c>
      <c r="C195" s="32">
        <v>41941</v>
      </c>
      <c r="D195" s="32">
        <v>41943</v>
      </c>
      <c r="E195" t="s">
        <v>139</v>
      </c>
      <c r="F195" s="33" t="s">
        <v>951</v>
      </c>
      <c r="G195" t="s">
        <v>952</v>
      </c>
      <c r="H195" t="s">
        <v>16</v>
      </c>
      <c r="I195" t="s">
        <v>43</v>
      </c>
      <c r="J195" t="s">
        <v>209</v>
      </c>
      <c r="K195" t="s">
        <v>154</v>
      </c>
      <c r="L195" s="31">
        <v>60610</v>
      </c>
      <c r="M195" t="s">
        <v>8</v>
      </c>
      <c r="N195" s="33" t="s">
        <v>953</v>
      </c>
      <c r="O195" t="s">
        <v>22</v>
      </c>
      <c r="P195" t="s">
        <v>144</v>
      </c>
      <c r="Q195" t="s">
        <v>954</v>
      </c>
      <c r="R195" s="34">
        <v>2735.952</v>
      </c>
      <c r="S195" s="31">
        <v>6</v>
      </c>
      <c r="T195" s="35">
        <v>0.2</v>
      </c>
      <c r="U195" s="31">
        <v>341.994</v>
      </c>
    </row>
    <row r="196" spans="1:21">
      <c r="A196" s="31">
        <v>195</v>
      </c>
      <c r="B196" t="s">
        <v>39</v>
      </c>
      <c r="C196" s="32">
        <v>41799</v>
      </c>
      <c r="D196" s="32">
        <v>41803</v>
      </c>
      <c r="E196" t="s">
        <v>40</v>
      </c>
      <c r="F196" s="33" t="s">
        <v>955</v>
      </c>
      <c r="G196" t="s">
        <v>956</v>
      </c>
      <c r="H196" t="s">
        <v>18</v>
      </c>
      <c r="I196" t="s">
        <v>43</v>
      </c>
      <c r="J196" t="s">
        <v>957</v>
      </c>
      <c r="K196" t="s">
        <v>87</v>
      </c>
      <c r="L196" s="31">
        <v>77340</v>
      </c>
      <c r="M196" t="s">
        <v>8</v>
      </c>
      <c r="N196" s="33" t="s">
        <v>958</v>
      </c>
      <c r="O196" t="s">
        <v>22</v>
      </c>
      <c r="P196" t="s">
        <v>144</v>
      </c>
      <c r="Q196" t="s">
        <v>959</v>
      </c>
      <c r="R196" s="34">
        <v>7.992</v>
      </c>
      <c r="S196" s="31">
        <v>1</v>
      </c>
      <c r="T196" s="35">
        <v>0.2</v>
      </c>
      <c r="U196" s="31">
        <v>0.5994</v>
      </c>
    </row>
    <row r="197" spans="1:21">
      <c r="A197" s="31">
        <v>196</v>
      </c>
      <c r="B197" t="s">
        <v>39</v>
      </c>
      <c r="C197" s="32">
        <v>41896</v>
      </c>
      <c r="D197" s="32">
        <v>41901</v>
      </c>
      <c r="E197" t="s">
        <v>57</v>
      </c>
      <c r="F197" s="33" t="s">
        <v>960</v>
      </c>
      <c r="G197" t="s">
        <v>961</v>
      </c>
      <c r="H197" t="s">
        <v>16</v>
      </c>
      <c r="I197" t="s">
        <v>43</v>
      </c>
      <c r="J197" t="s">
        <v>259</v>
      </c>
      <c r="K197" t="s">
        <v>194</v>
      </c>
      <c r="L197" s="31">
        <v>14609</v>
      </c>
      <c r="M197" t="s">
        <v>9</v>
      </c>
      <c r="N197" s="33" t="s">
        <v>962</v>
      </c>
      <c r="O197" t="s">
        <v>21</v>
      </c>
      <c r="P197" t="s">
        <v>96</v>
      </c>
      <c r="Q197" t="s">
        <v>963</v>
      </c>
      <c r="R197" s="34">
        <v>449.15</v>
      </c>
      <c r="S197" s="31">
        <v>5</v>
      </c>
      <c r="T197" s="35">
        <v>0</v>
      </c>
      <c r="U197" s="31">
        <v>8.983</v>
      </c>
    </row>
    <row r="198" spans="1:21">
      <c r="A198" s="31">
        <v>197</v>
      </c>
      <c r="B198" t="s">
        <v>39</v>
      </c>
      <c r="C198" s="32">
        <v>42499</v>
      </c>
      <c r="D198" s="32">
        <v>42504</v>
      </c>
      <c r="E198" t="s">
        <v>57</v>
      </c>
      <c r="F198" s="33" t="s">
        <v>964</v>
      </c>
      <c r="G198" t="s">
        <v>965</v>
      </c>
      <c r="H198" t="s">
        <v>16</v>
      </c>
      <c r="I198" t="s">
        <v>43</v>
      </c>
      <c r="J198" t="s">
        <v>79</v>
      </c>
      <c r="K198" t="s">
        <v>80</v>
      </c>
      <c r="L198" s="31">
        <v>98115</v>
      </c>
      <c r="M198" t="s">
        <v>11</v>
      </c>
      <c r="N198" s="33" t="s">
        <v>966</v>
      </c>
      <c r="O198" t="s">
        <v>22</v>
      </c>
      <c r="P198" t="s">
        <v>171</v>
      </c>
      <c r="Q198" t="s">
        <v>967</v>
      </c>
      <c r="R198" s="34">
        <v>93.98</v>
      </c>
      <c r="S198" s="31">
        <v>2</v>
      </c>
      <c r="T198" s="35">
        <v>0</v>
      </c>
      <c r="U198" s="31">
        <v>13.1572</v>
      </c>
    </row>
    <row r="199" spans="1:21">
      <c r="A199" s="31">
        <v>198</v>
      </c>
      <c r="B199" t="s">
        <v>56</v>
      </c>
      <c r="C199" s="32">
        <v>42447</v>
      </c>
      <c r="D199" s="32">
        <v>42450</v>
      </c>
      <c r="E199" t="s">
        <v>40</v>
      </c>
      <c r="F199" s="33" t="s">
        <v>968</v>
      </c>
      <c r="G199" t="s">
        <v>969</v>
      </c>
      <c r="H199" t="s">
        <v>16</v>
      </c>
      <c r="I199" t="s">
        <v>43</v>
      </c>
      <c r="J199" t="s">
        <v>230</v>
      </c>
      <c r="K199" t="s">
        <v>231</v>
      </c>
      <c r="L199" s="31">
        <v>38109</v>
      </c>
      <c r="M199" t="s">
        <v>10</v>
      </c>
      <c r="N199" s="33" t="s">
        <v>970</v>
      </c>
      <c r="O199" t="s">
        <v>20</v>
      </c>
      <c r="P199" t="s">
        <v>63</v>
      </c>
      <c r="Q199" t="s">
        <v>971</v>
      </c>
      <c r="R199" s="34">
        <v>189.882</v>
      </c>
      <c r="S199" s="31">
        <v>3</v>
      </c>
      <c r="T199" s="35">
        <v>0.4</v>
      </c>
      <c r="U199" s="31">
        <v>-94.941</v>
      </c>
    </row>
    <row r="200" spans="1:21">
      <c r="A200" s="31">
        <v>199</v>
      </c>
      <c r="B200" t="s">
        <v>39</v>
      </c>
      <c r="C200" s="32">
        <v>42365</v>
      </c>
      <c r="D200" s="32">
        <v>42369</v>
      </c>
      <c r="E200" t="s">
        <v>57</v>
      </c>
      <c r="F200" s="33" t="s">
        <v>972</v>
      </c>
      <c r="G200" t="s">
        <v>973</v>
      </c>
      <c r="H200" t="s">
        <v>16</v>
      </c>
      <c r="I200" t="s">
        <v>43</v>
      </c>
      <c r="J200" t="s">
        <v>974</v>
      </c>
      <c r="K200" t="s">
        <v>975</v>
      </c>
      <c r="L200" s="31">
        <v>72701</v>
      </c>
      <c r="M200" t="s">
        <v>10</v>
      </c>
      <c r="N200" s="33" t="s">
        <v>976</v>
      </c>
      <c r="O200" t="s">
        <v>21</v>
      </c>
      <c r="P200" t="s">
        <v>149</v>
      </c>
      <c r="Q200" t="s">
        <v>977</v>
      </c>
      <c r="R200" s="34">
        <v>105.42</v>
      </c>
      <c r="S200" s="31">
        <v>2</v>
      </c>
      <c r="T200" s="35">
        <v>0</v>
      </c>
      <c r="U200" s="31">
        <v>51.6558</v>
      </c>
    </row>
    <row r="201" spans="1:21">
      <c r="A201" s="31">
        <v>200</v>
      </c>
      <c r="B201" t="s">
        <v>56</v>
      </c>
      <c r="C201" s="32">
        <v>42520</v>
      </c>
      <c r="D201" s="32">
        <v>42525</v>
      </c>
      <c r="E201" t="s">
        <v>57</v>
      </c>
      <c r="F201" s="33" t="s">
        <v>978</v>
      </c>
      <c r="G201" t="s">
        <v>979</v>
      </c>
      <c r="H201" t="s">
        <v>17</v>
      </c>
      <c r="I201" t="s">
        <v>43</v>
      </c>
      <c r="J201" t="s">
        <v>980</v>
      </c>
      <c r="K201" t="s">
        <v>305</v>
      </c>
      <c r="L201" s="31">
        <v>80134</v>
      </c>
      <c r="M201" t="s">
        <v>11</v>
      </c>
      <c r="N201" s="33" t="s">
        <v>981</v>
      </c>
      <c r="O201" t="s">
        <v>21</v>
      </c>
      <c r="P201" t="s">
        <v>82</v>
      </c>
      <c r="Q201" t="s">
        <v>982</v>
      </c>
      <c r="R201" s="34">
        <v>22.62</v>
      </c>
      <c r="S201" s="31">
        <v>2</v>
      </c>
      <c r="T201" s="35">
        <v>0.7</v>
      </c>
      <c r="U201" s="31">
        <v>-15.08</v>
      </c>
    </row>
    <row r="202" spans="1:21">
      <c r="A202" s="31">
        <v>201</v>
      </c>
      <c r="B202" t="s">
        <v>39</v>
      </c>
      <c r="C202" s="32">
        <v>42079</v>
      </c>
      <c r="D202" s="32">
        <v>42085</v>
      </c>
      <c r="E202" t="s">
        <v>57</v>
      </c>
      <c r="F202" s="33" t="s">
        <v>983</v>
      </c>
      <c r="G202" t="s">
        <v>984</v>
      </c>
      <c r="H202" t="s">
        <v>16</v>
      </c>
      <c r="I202" t="s">
        <v>43</v>
      </c>
      <c r="J202" t="s">
        <v>985</v>
      </c>
      <c r="K202" t="s">
        <v>746</v>
      </c>
      <c r="L202" s="31">
        <v>30318</v>
      </c>
      <c r="M202" t="s">
        <v>10</v>
      </c>
      <c r="N202" s="33" t="s">
        <v>986</v>
      </c>
      <c r="O202" t="s">
        <v>21</v>
      </c>
      <c r="P202" t="s">
        <v>108</v>
      </c>
      <c r="Q202" t="s">
        <v>987</v>
      </c>
      <c r="R202" s="34">
        <v>2.74</v>
      </c>
      <c r="S202" s="31">
        <v>1</v>
      </c>
      <c r="T202" s="35">
        <v>0</v>
      </c>
      <c r="U202" s="31">
        <v>0.7398</v>
      </c>
    </row>
    <row r="203" spans="1:21">
      <c r="A203" s="31">
        <v>202</v>
      </c>
      <c r="B203" t="s">
        <v>39</v>
      </c>
      <c r="C203" s="32">
        <v>43065</v>
      </c>
      <c r="D203" s="32">
        <v>43066</v>
      </c>
      <c r="E203" t="s">
        <v>139</v>
      </c>
      <c r="F203" s="33" t="s">
        <v>988</v>
      </c>
      <c r="G203" t="s">
        <v>989</v>
      </c>
      <c r="H203" t="s">
        <v>16</v>
      </c>
      <c r="I203" t="s">
        <v>43</v>
      </c>
      <c r="J203" t="s">
        <v>990</v>
      </c>
      <c r="K203" t="s">
        <v>385</v>
      </c>
      <c r="L203" s="31">
        <v>64118</v>
      </c>
      <c r="M203" t="s">
        <v>8</v>
      </c>
      <c r="N203" s="33" t="s">
        <v>991</v>
      </c>
      <c r="O203" t="s">
        <v>20</v>
      </c>
      <c r="P203" t="s">
        <v>68</v>
      </c>
      <c r="Q203" t="s">
        <v>992</v>
      </c>
      <c r="R203" s="34">
        <v>126.3</v>
      </c>
      <c r="S203" s="31">
        <v>3</v>
      </c>
      <c r="T203" s="35">
        <v>0</v>
      </c>
      <c r="U203" s="31">
        <v>40.416</v>
      </c>
    </row>
    <row r="204" spans="1:21">
      <c r="A204" s="31">
        <v>203</v>
      </c>
      <c r="B204" t="s">
        <v>39</v>
      </c>
      <c r="C204" s="32">
        <v>43090</v>
      </c>
      <c r="D204" s="32">
        <v>43094</v>
      </c>
      <c r="E204" t="s">
        <v>57</v>
      </c>
      <c r="F204" s="33" t="s">
        <v>993</v>
      </c>
      <c r="G204" t="s">
        <v>994</v>
      </c>
      <c r="H204" t="s">
        <v>16</v>
      </c>
      <c r="I204" t="s">
        <v>43</v>
      </c>
      <c r="J204" t="s">
        <v>51</v>
      </c>
      <c r="K204" t="s">
        <v>52</v>
      </c>
      <c r="L204" s="31">
        <v>90049</v>
      </c>
      <c r="M204" t="s">
        <v>11</v>
      </c>
      <c r="N204" s="33" t="s">
        <v>995</v>
      </c>
      <c r="O204" t="s">
        <v>21</v>
      </c>
      <c r="P204" t="s">
        <v>108</v>
      </c>
      <c r="Q204" t="s">
        <v>996</v>
      </c>
      <c r="R204" s="34">
        <v>6.63</v>
      </c>
      <c r="S204" s="31">
        <v>3</v>
      </c>
      <c r="T204" s="35">
        <v>0</v>
      </c>
      <c r="U204" s="31">
        <v>1.7901</v>
      </c>
    </row>
    <row r="205" spans="1:21">
      <c r="A205" s="31">
        <v>204</v>
      </c>
      <c r="B205" t="s">
        <v>39</v>
      </c>
      <c r="C205" s="32">
        <v>42085</v>
      </c>
      <c r="D205" s="32">
        <v>42089</v>
      </c>
      <c r="E205" t="s">
        <v>57</v>
      </c>
      <c r="F205" s="33" t="s">
        <v>997</v>
      </c>
      <c r="G205" t="s">
        <v>998</v>
      </c>
      <c r="H205" t="s">
        <v>16</v>
      </c>
      <c r="I205" t="s">
        <v>43</v>
      </c>
      <c r="J205" t="s">
        <v>136</v>
      </c>
      <c r="K205" t="s">
        <v>87</v>
      </c>
      <c r="L205" s="31">
        <v>77041</v>
      </c>
      <c r="M205" t="s">
        <v>8</v>
      </c>
      <c r="N205" s="33" t="s">
        <v>170</v>
      </c>
      <c r="O205" t="s">
        <v>22</v>
      </c>
      <c r="P205" t="s">
        <v>171</v>
      </c>
      <c r="Q205" t="s">
        <v>172</v>
      </c>
      <c r="R205" s="34">
        <v>18.392</v>
      </c>
      <c r="S205" s="31">
        <v>1</v>
      </c>
      <c r="T205" s="35">
        <v>0.2</v>
      </c>
      <c r="U205" s="31">
        <v>5.2877</v>
      </c>
    </row>
    <row r="206" spans="1:21">
      <c r="A206" s="31">
        <v>205</v>
      </c>
      <c r="B206" t="s">
        <v>39</v>
      </c>
      <c r="C206" s="32">
        <v>42758</v>
      </c>
      <c r="D206" s="32">
        <v>42760</v>
      </c>
      <c r="E206" t="s">
        <v>139</v>
      </c>
      <c r="F206" s="33" t="s">
        <v>999</v>
      </c>
      <c r="G206" t="s">
        <v>1000</v>
      </c>
      <c r="H206" t="s">
        <v>17</v>
      </c>
      <c r="I206" t="s">
        <v>43</v>
      </c>
      <c r="J206" t="s">
        <v>558</v>
      </c>
      <c r="K206" t="s">
        <v>176</v>
      </c>
      <c r="L206" s="31">
        <v>48234</v>
      </c>
      <c r="M206" t="s">
        <v>8</v>
      </c>
      <c r="N206" s="33" t="s">
        <v>970</v>
      </c>
      <c r="O206" t="s">
        <v>20</v>
      </c>
      <c r="P206" t="s">
        <v>63</v>
      </c>
      <c r="Q206" t="s">
        <v>971</v>
      </c>
      <c r="R206" s="34">
        <v>210.98</v>
      </c>
      <c r="S206" s="31">
        <v>2</v>
      </c>
      <c r="T206" s="35">
        <v>0</v>
      </c>
      <c r="U206" s="31">
        <v>21.098</v>
      </c>
    </row>
    <row r="207" spans="1:21">
      <c r="A207" s="31">
        <v>206</v>
      </c>
      <c r="B207" t="s">
        <v>39</v>
      </c>
      <c r="C207" s="32">
        <v>42364</v>
      </c>
      <c r="D207" s="32">
        <v>42371</v>
      </c>
      <c r="E207" t="s">
        <v>57</v>
      </c>
      <c r="F207" s="33" t="s">
        <v>1001</v>
      </c>
      <c r="G207" t="s">
        <v>1002</v>
      </c>
      <c r="H207" t="s">
        <v>16</v>
      </c>
      <c r="I207" t="s">
        <v>43</v>
      </c>
      <c r="J207" t="s">
        <v>864</v>
      </c>
      <c r="K207" t="s">
        <v>735</v>
      </c>
      <c r="L207" s="31">
        <v>1841</v>
      </c>
      <c r="M207" t="s">
        <v>9</v>
      </c>
      <c r="N207" s="33" t="s">
        <v>1003</v>
      </c>
      <c r="O207" t="s">
        <v>21</v>
      </c>
      <c r="P207" t="s">
        <v>196</v>
      </c>
      <c r="Q207" t="s">
        <v>1004</v>
      </c>
      <c r="R207" s="34">
        <v>22.2</v>
      </c>
      <c r="S207" s="31">
        <v>5</v>
      </c>
      <c r="T207" s="35">
        <v>0</v>
      </c>
      <c r="U207" s="31">
        <v>10.434</v>
      </c>
    </row>
    <row r="208" spans="1:21">
      <c r="A208" s="31">
        <v>207</v>
      </c>
      <c r="B208" t="s">
        <v>39</v>
      </c>
      <c r="C208" s="32">
        <v>43029</v>
      </c>
      <c r="D208" s="32">
        <v>43034</v>
      </c>
      <c r="E208" t="s">
        <v>57</v>
      </c>
      <c r="F208" s="33" t="s">
        <v>1005</v>
      </c>
      <c r="G208" t="s">
        <v>1006</v>
      </c>
      <c r="H208" t="s">
        <v>18</v>
      </c>
      <c r="I208" t="s">
        <v>43</v>
      </c>
      <c r="J208" t="s">
        <v>1007</v>
      </c>
      <c r="K208" t="s">
        <v>61</v>
      </c>
      <c r="L208" s="31">
        <v>33801</v>
      </c>
      <c r="M208" t="s">
        <v>10</v>
      </c>
      <c r="N208" s="33" t="s">
        <v>1008</v>
      </c>
      <c r="O208" t="s">
        <v>20</v>
      </c>
      <c r="P208" t="s">
        <v>121</v>
      </c>
      <c r="Q208" t="s">
        <v>1009</v>
      </c>
      <c r="R208" s="34">
        <v>683.952</v>
      </c>
      <c r="S208" s="31">
        <v>3</v>
      </c>
      <c r="T208" s="35">
        <v>0.2</v>
      </c>
      <c r="U208" s="31">
        <v>42.747</v>
      </c>
    </row>
    <row r="209" spans="1:21">
      <c r="A209" s="31">
        <v>208</v>
      </c>
      <c r="B209" t="s">
        <v>56</v>
      </c>
      <c r="C209" s="32">
        <v>42250</v>
      </c>
      <c r="D209" s="32">
        <v>42254</v>
      </c>
      <c r="E209" t="s">
        <v>57</v>
      </c>
      <c r="F209" s="33" t="s">
        <v>1010</v>
      </c>
      <c r="G209" t="s">
        <v>1011</v>
      </c>
      <c r="H209" t="s">
        <v>16</v>
      </c>
      <c r="I209" t="s">
        <v>43</v>
      </c>
      <c r="J209" t="s">
        <v>118</v>
      </c>
      <c r="K209" t="s">
        <v>119</v>
      </c>
      <c r="L209" s="31">
        <v>19134</v>
      </c>
      <c r="M209" t="s">
        <v>9</v>
      </c>
      <c r="N209" s="33" t="s">
        <v>1012</v>
      </c>
      <c r="O209" t="s">
        <v>21</v>
      </c>
      <c r="P209" t="s">
        <v>96</v>
      </c>
      <c r="Q209" t="s">
        <v>1013</v>
      </c>
      <c r="R209" s="34">
        <v>36.336</v>
      </c>
      <c r="S209" s="31">
        <v>3</v>
      </c>
      <c r="T209" s="35">
        <v>0.2</v>
      </c>
      <c r="U209" s="31">
        <v>-7.2672</v>
      </c>
    </row>
    <row r="210" spans="1:21">
      <c r="A210" s="31">
        <v>209</v>
      </c>
      <c r="B210" t="s">
        <v>39</v>
      </c>
      <c r="C210" s="32">
        <v>42315</v>
      </c>
      <c r="D210" s="32">
        <v>42317</v>
      </c>
      <c r="E210" t="s">
        <v>40</v>
      </c>
      <c r="F210" s="33" t="s">
        <v>1014</v>
      </c>
      <c r="G210" t="s">
        <v>1015</v>
      </c>
      <c r="H210" t="s">
        <v>17</v>
      </c>
      <c r="I210" t="s">
        <v>43</v>
      </c>
      <c r="J210" t="s">
        <v>51</v>
      </c>
      <c r="K210" t="s">
        <v>52</v>
      </c>
      <c r="L210" s="31">
        <v>90036</v>
      </c>
      <c r="M210" t="s">
        <v>11</v>
      </c>
      <c r="N210" s="33" t="s">
        <v>1016</v>
      </c>
      <c r="O210" t="s">
        <v>20</v>
      </c>
      <c r="P210" t="s">
        <v>121</v>
      </c>
      <c r="Q210" t="s">
        <v>1017</v>
      </c>
      <c r="R210" s="34">
        <v>190.72</v>
      </c>
      <c r="S210" s="31">
        <v>1</v>
      </c>
      <c r="T210" s="35">
        <v>0.2</v>
      </c>
      <c r="U210" s="31">
        <v>11.92</v>
      </c>
    </row>
    <row r="211" spans="1:21">
      <c r="A211" s="31">
        <v>210</v>
      </c>
      <c r="B211" t="s">
        <v>56</v>
      </c>
      <c r="C211" s="32">
        <v>42985</v>
      </c>
      <c r="D211" s="32">
        <v>42989</v>
      </c>
      <c r="E211" t="s">
        <v>57</v>
      </c>
      <c r="F211" s="33" t="s">
        <v>1018</v>
      </c>
      <c r="G211" t="s">
        <v>1019</v>
      </c>
      <c r="H211" t="s">
        <v>16</v>
      </c>
      <c r="I211" t="s">
        <v>43</v>
      </c>
      <c r="J211" t="s">
        <v>51</v>
      </c>
      <c r="K211" t="s">
        <v>52</v>
      </c>
      <c r="L211" s="31">
        <v>90032</v>
      </c>
      <c r="M211" t="s">
        <v>11</v>
      </c>
      <c r="N211" s="33" t="s">
        <v>1020</v>
      </c>
      <c r="O211" t="s">
        <v>20</v>
      </c>
      <c r="P211" t="s">
        <v>68</v>
      </c>
      <c r="Q211" t="s">
        <v>1021</v>
      </c>
      <c r="R211" s="34">
        <v>47.94</v>
      </c>
      <c r="S211" s="31">
        <v>3</v>
      </c>
      <c r="T211" s="35">
        <v>0</v>
      </c>
      <c r="U211" s="31">
        <v>2.397</v>
      </c>
    </row>
    <row r="212" spans="1:21">
      <c r="A212" s="31">
        <v>211</v>
      </c>
      <c r="B212" t="s">
        <v>39</v>
      </c>
      <c r="C212" s="32">
        <v>42519</v>
      </c>
      <c r="D212" s="32">
        <v>42522</v>
      </c>
      <c r="E212" t="s">
        <v>40</v>
      </c>
      <c r="F212" s="33" t="s">
        <v>1022</v>
      </c>
      <c r="G212" t="s">
        <v>1023</v>
      </c>
      <c r="H212" t="s">
        <v>16</v>
      </c>
      <c r="I212" t="s">
        <v>43</v>
      </c>
      <c r="J212" t="s">
        <v>1024</v>
      </c>
      <c r="K212" t="s">
        <v>241</v>
      </c>
      <c r="L212" s="31">
        <v>36116</v>
      </c>
      <c r="M212" t="s">
        <v>10</v>
      </c>
      <c r="N212" s="33" t="s">
        <v>1025</v>
      </c>
      <c r="O212" t="s">
        <v>22</v>
      </c>
      <c r="P212" t="s">
        <v>144</v>
      </c>
      <c r="Q212" t="s">
        <v>1026</v>
      </c>
      <c r="R212" s="34">
        <v>979.95</v>
      </c>
      <c r="S212" s="31">
        <v>5</v>
      </c>
      <c r="T212" s="35">
        <v>0</v>
      </c>
      <c r="U212" s="31">
        <v>274.386</v>
      </c>
    </row>
    <row r="213" spans="1:21">
      <c r="A213" s="31">
        <v>212</v>
      </c>
      <c r="B213" t="s">
        <v>39</v>
      </c>
      <c r="C213" s="32">
        <v>42561</v>
      </c>
      <c r="D213" s="32">
        <v>42567</v>
      </c>
      <c r="E213" t="s">
        <v>57</v>
      </c>
      <c r="F213" s="33" t="s">
        <v>1027</v>
      </c>
      <c r="G213" t="s">
        <v>1028</v>
      </c>
      <c r="H213" t="s">
        <v>16</v>
      </c>
      <c r="I213" t="s">
        <v>43</v>
      </c>
      <c r="J213" t="s">
        <v>1029</v>
      </c>
      <c r="K213" t="s">
        <v>215</v>
      </c>
      <c r="L213" s="31">
        <v>85204</v>
      </c>
      <c r="M213" t="s">
        <v>11</v>
      </c>
      <c r="N213" s="33" t="s">
        <v>1030</v>
      </c>
      <c r="O213" t="s">
        <v>21</v>
      </c>
      <c r="P213" t="s">
        <v>96</v>
      </c>
      <c r="Q213" t="s">
        <v>1031</v>
      </c>
      <c r="R213" s="34">
        <v>16.768</v>
      </c>
      <c r="S213" s="31">
        <v>2</v>
      </c>
      <c r="T213" s="35">
        <v>0.2</v>
      </c>
      <c r="U213" s="31">
        <v>1.4672</v>
      </c>
    </row>
    <row r="214" spans="1:21">
      <c r="A214" s="31">
        <v>213</v>
      </c>
      <c r="B214" t="s">
        <v>56</v>
      </c>
      <c r="C214" s="32">
        <v>42981</v>
      </c>
      <c r="D214" s="32">
        <v>42986</v>
      </c>
      <c r="E214" t="s">
        <v>40</v>
      </c>
      <c r="F214" s="33" t="s">
        <v>1032</v>
      </c>
      <c r="G214" t="s">
        <v>1033</v>
      </c>
      <c r="H214" t="s">
        <v>16</v>
      </c>
      <c r="I214" t="s">
        <v>43</v>
      </c>
      <c r="J214" t="s">
        <v>209</v>
      </c>
      <c r="K214" t="s">
        <v>154</v>
      </c>
      <c r="L214" s="31">
        <v>60653</v>
      </c>
      <c r="M214" t="s">
        <v>8</v>
      </c>
      <c r="N214" s="33" t="s">
        <v>1034</v>
      </c>
      <c r="O214" t="s">
        <v>21</v>
      </c>
      <c r="P214" t="s">
        <v>82</v>
      </c>
      <c r="Q214" t="s">
        <v>1035</v>
      </c>
      <c r="R214" s="34">
        <v>42.616</v>
      </c>
      <c r="S214" s="31">
        <v>7</v>
      </c>
      <c r="T214" s="35">
        <v>0.8</v>
      </c>
      <c r="U214" s="31">
        <v>-68.1856</v>
      </c>
    </row>
    <row r="215" spans="1:21">
      <c r="A215" s="31">
        <v>214</v>
      </c>
      <c r="B215" t="s">
        <v>39</v>
      </c>
      <c r="C215" s="32">
        <v>42345</v>
      </c>
      <c r="D215" s="32">
        <v>42349</v>
      </c>
      <c r="E215" t="s">
        <v>57</v>
      </c>
      <c r="F215" s="33" t="s">
        <v>1036</v>
      </c>
      <c r="G215" t="s">
        <v>1037</v>
      </c>
      <c r="H215" t="s">
        <v>16</v>
      </c>
      <c r="I215" t="s">
        <v>43</v>
      </c>
      <c r="J215" t="s">
        <v>44</v>
      </c>
      <c r="K215" t="s">
        <v>45</v>
      </c>
      <c r="L215" s="31">
        <v>42420</v>
      </c>
      <c r="M215" t="s">
        <v>10</v>
      </c>
      <c r="N215" s="33" t="s">
        <v>1038</v>
      </c>
      <c r="O215" t="s">
        <v>21</v>
      </c>
      <c r="P215" t="s">
        <v>89</v>
      </c>
      <c r="Q215" t="s">
        <v>1039</v>
      </c>
      <c r="R215" s="34">
        <v>152.94</v>
      </c>
      <c r="S215" s="31">
        <v>3</v>
      </c>
      <c r="T215" s="35">
        <v>0</v>
      </c>
      <c r="U215" s="31">
        <v>41.2938</v>
      </c>
    </row>
    <row r="216" spans="1:21">
      <c r="A216" s="31">
        <v>215</v>
      </c>
      <c r="B216" t="s">
        <v>39</v>
      </c>
      <c r="C216" s="32">
        <v>41671</v>
      </c>
      <c r="D216" s="32">
        <v>41673</v>
      </c>
      <c r="E216" t="s">
        <v>139</v>
      </c>
      <c r="F216" s="33" t="s">
        <v>1040</v>
      </c>
      <c r="G216" t="s">
        <v>1041</v>
      </c>
      <c r="H216" t="s">
        <v>16</v>
      </c>
      <c r="I216" t="s">
        <v>43</v>
      </c>
      <c r="J216" t="s">
        <v>1042</v>
      </c>
      <c r="K216" t="s">
        <v>94</v>
      </c>
      <c r="L216" s="31">
        <v>54302</v>
      </c>
      <c r="M216" t="s">
        <v>8</v>
      </c>
      <c r="N216" s="33" t="s">
        <v>1043</v>
      </c>
      <c r="O216" t="s">
        <v>22</v>
      </c>
      <c r="P216" t="s">
        <v>171</v>
      </c>
      <c r="Q216" t="s">
        <v>1044</v>
      </c>
      <c r="R216" s="34">
        <v>468.9</v>
      </c>
      <c r="S216" s="31">
        <v>6</v>
      </c>
      <c r="T216" s="35">
        <v>0</v>
      </c>
      <c r="U216" s="31">
        <v>206.316</v>
      </c>
    </row>
    <row r="217" spans="1:21">
      <c r="A217" s="31">
        <v>216</v>
      </c>
      <c r="B217" t="s">
        <v>56</v>
      </c>
      <c r="C217" s="32">
        <v>42356</v>
      </c>
      <c r="D217" s="32">
        <v>42361</v>
      </c>
      <c r="E217" t="s">
        <v>57</v>
      </c>
      <c r="F217" s="33" t="s">
        <v>1045</v>
      </c>
      <c r="G217" t="s">
        <v>1046</v>
      </c>
      <c r="H217" t="s">
        <v>16</v>
      </c>
      <c r="I217" t="s">
        <v>43</v>
      </c>
      <c r="J217" t="s">
        <v>220</v>
      </c>
      <c r="K217" t="s">
        <v>331</v>
      </c>
      <c r="L217" s="31">
        <v>45503</v>
      </c>
      <c r="M217" t="s">
        <v>9</v>
      </c>
      <c r="N217" s="33" t="s">
        <v>962</v>
      </c>
      <c r="O217" t="s">
        <v>21</v>
      </c>
      <c r="P217" t="s">
        <v>96</v>
      </c>
      <c r="Q217" t="s">
        <v>963</v>
      </c>
      <c r="R217" s="34">
        <v>646.776</v>
      </c>
      <c r="S217" s="31">
        <v>9</v>
      </c>
      <c r="T217" s="35">
        <v>0.2</v>
      </c>
      <c r="U217" s="31">
        <v>-145.5246</v>
      </c>
    </row>
    <row r="218" spans="1:21">
      <c r="A218" s="31">
        <v>217</v>
      </c>
      <c r="B218" t="s">
        <v>39</v>
      </c>
      <c r="C218" s="32">
        <v>43058</v>
      </c>
      <c r="D218" s="32">
        <v>43061</v>
      </c>
      <c r="E218" t="s">
        <v>139</v>
      </c>
      <c r="F218" s="33" t="s">
        <v>1047</v>
      </c>
      <c r="G218" t="s">
        <v>1048</v>
      </c>
      <c r="H218" t="s">
        <v>18</v>
      </c>
      <c r="I218" t="s">
        <v>43</v>
      </c>
      <c r="J218" t="s">
        <v>193</v>
      </c>
      <c r="K218" t="s">
        <v>194</v>
      </c>
      <c r="L218" s="31">
        <v>10035</v>
      </c>
      <c r="M218" t="s">
        <v>9</v>
      </c>
      <c r="N218" s="33" t="s">
        <v>1049</v>
      </c>
      <c r="O218" t="s">
        <v>21</v>
      </c>
      <c r="P218" t="s">
        <v>82</v>
      </c>
      <c r="Q218" t="s">
        <v>1050</v>
      </c>
      <c r="R218" s="34">
        <v>41.28</v>
      </c>
      <c r="S218" s="31">
        <v>6</v>
      </c>
      <c r="T218" s="35">
        <v>0.2</v>
      </c>
      <c r="U218" s="31">
        <v>13.932</v>
      </c>
    </row>
    <row r="219" spans="1:21">
      <c r="A219" s="31">
        <v>218</v>
      </c>
      <c r="B219" t="s">
        <v>39</v>
      </c>
      <c r="C219" s="32">
        <v>42475</v>
      </c>
      <c r="D219" s="32">
        <v>42477</v>
      </c>
      <c r="E219" t="s">
        <v>40</v>
      </c>
      <c r="F219" s="33" t="s">
        <v>1051</v>
      </c>
      <c r="G219" t="s">
        <v>1052</v>
      </c>
      <c r="H219" t="s">
        <v>16</v>
      </c>
      <c r="I219" t="s">
        <v>43</v>
      </c>
      <c r="J219" t="s">
        <v>106</v>
      </c>
      <c r="K219" t="s">
        <v>52</v>
      </c>
      <c r="L219" s="31">
        <v>94110</v>
      </c>
      <c r="M219" t="s">
        <v>11</v>
      </c>
      <c r="N219" s="33" t="s">
        <v>1053</v>
      </c>
      <c r="O219" t="s">
        <v>20</v>
      </c>
      <c r="P219" t="s">
        <v>121</v>
      </c>
      <c r="Q219" t="s">
        <v>1054</v>
      </c>
      <c r="R219" s="34">
        <v>1121.568</v>
      </c>
      <c r="S219" s="31">
        <v>2</v>
      </c>
      <c r="T219" s="35">
        <v>0.2</v>
      </c>
      <c r="U219" s="31">
        <v>0</v>
      </c>
    </row>
    <row r="220" spans="1:21">
      <c r="A220" s="31">
        <v>219</v>
      </c>
      <c r="B220" t="s">
        <v>39</v>
      </c>
      <c r="C220" s="32">
        <v>43063</v>
      </c>
      <c r="D220" s="32">
        <v>43067</v>
      </c>
      <c r="E220" t="s">
        <v>57</v>
      </c>
      <c r="F220" s="33" t="s">
        <v>1055</v>
      </c>
      <c r="G220" t="s">
        <v>1056</v>
      </c>
      <c r="H220" t="s">
        <v>16</v>
      </c>
      <c r="I220" t="s">
        <v>43</v>
      </c>
      <c r="J220" t="s">
        <v>136</v>
      </c>
      <c r="K220" t="s">
        <v>87</v>
      </c>
      <c r="L220" s="31">
        <v>77070</v>
      </c>
      <c r="M220" t="s">
        <v>8</v>
      </c>
      <c r="N220" s="33" t="s">
        <v>1057</v>
      </c>
      <c r="O220" t="s">
        <v>21</v>
      </c>
      <c r="P220" t="s">
        <v>196</v>
      </c>
      <c r="Q220" t="s">
        <v>1058</v>
      </c>
      <c r="R220" s="34">
        <v>10.824</v>
      </c>
      <c r="S220" s="31">
        <v>3</v>
      </c>
      <c r="T220" s="35">
        <v>0.2</v>
      </c>
      <c r="U220" s="31">
        <v>2.5707</v>
      </c>
    </row>
    <row r="221" spans="1:21">
      <c r="A221" s="31">
        <v>220</v>
      </c>
      <c r="B221" t="s">
        <v>39</v>
      </c>
      <c r="C221" s="32">
        <v>41701</v>
      </c>
      <c r="D221" s="32">
        <v>41705</v>
      </c>
      <c r="E221" t="s">
        <v>40</v>
      </c>
      <c r="F221" s="33" t="s">
        <v>1059</v>
      </c>
      <c r="G221" t="s">
        <v>1060</v>
      </c>
      <c r="H221" t="s">
        <v>16</v>
      </c>
      <c r="I221" t="s">
        <v>43</v>
      </c>
      <c r="J221" t="s">
        <v>345</v>
      </c>
      <c r="K221" t="s">
        <v>73</v>
      </c>
      <c r="L221" s="31">
        <v>28403</v>
      </c>
      <c r="M221" t="s">
        <v>10</v>
      </c>
      <c r="N221" s="33" t="s">
        <v>1061</v>
      </c>
      <c r="O221" t="s">
        <v>21</v>
      </c>
      <c r="P221" t="s">
        <v>108</v>
      </c>
      <c r="Q221" t="s">
        <v>1062</v>
      </c>
      <c r="R221" s="34">
        <v>19.456</v>
      </c>
      <c r="S221" s="31">
        <v>4</v>
      </c>
      <c r="T221" s="35">
        <v>0.2</v>
      </c>
      <c r="U221" s="31">
        <v>3.4048</v>
      </c>
    </row>
    <row r="222" spans="1:21">
      <c r="A222" s="31">
        <v>221</v>
      </c>
      <c r="B222" t="s">
        <v>39</v>
      </c>
      <c r="C222" s="32">
        <v>42531</v>
      </c>
      <c r="D222" s="32">
        <v>42536</v>
      </c>
      <c r="E222" t="s">
        <v>57</v>
      </c>
      <c r="F222" s="33" t="s">
        <v>1063</v>
      </c>
      <c r="G222" t="s">
        <v>1064</v>
      </c>
      <c r="H222" t="s">
        <v>16</v>
      </c>
      <c r="I222" t="s">
        <v>43</v>
      </c>
      <c r="J222" t="s">
        <v>51</v>
      </c>
      <c r="K222" t="s">
        <v>52</v>
      </c>
      <c r="L222" s="31">
        <v>90045</v>
      </c>
      <c r="M222" t="s">
        <v>11</v>
      </c>
      <c r="N222" s="33" t="s">
        <v>1065</v>
      </c>
      <c r="O222" t="s">
        <v>21</v>
      </c>
      <c r="P222" t="s">
        <v>54</v>
      </c>
      <c r="Q222" t="s">
        <v>1066</v>
      </c>
      <c r="R222" s="34">
        <v>20.7</v>
      </c>
      <c r="S222" s="31">
        <v>2</v>
      </c>
      <c r="T222" s="35">
        <v>0</v>
      </c>
      <c r="U222" s="31">
        <v>9.936</v>
      </c>
    </row>
    <row r="223" spans="1:21">
      <c r="A223" s="31">
        <v>222</v>
      </c>
      <c r="B223" t="s">
        <v>39</v>
      </c>
      <c r="C223" s="32">
        <v>43059</v>
      </c>
      <c r="D223" s="32">
        <v>43061</v>
      </c>
      <c r="E223" t="s">
        <v>40</v>
      </c>
      <c r="F223" s="33" t="s">
        <v>1067</v>
      </c>
      <c r="G223" t="s">
        <v>1068</v>
      </c>
      <c r="H223" t="s">
        <v>16</v>
      </c>
      <c r="I223" t="s">
        <v>43</v>
      </c>
      <c r="J223" t="s">
        <v>106</v>
      </c>
      <c r="K223" t="s">
        <v>52</v>
      </c>
      <c r="L223" s="31">
        <v>94110</v>
      </c>
      <c r="M223" t="s">
        <v>11</v>
      </c>
      <c r="N223" s="33" t="s">
        <v>1069</v>
      </c>
      <c r="O223" t="s">
        <v>20</v>
      </c>
      <c r="P223" t="s">
        <v>68</v>
      </c>
      <c r="Q223" t="s">
        <v>1070</v>
      </c>
      <c r="R223" s="34">
        <v>42.6</v>
      </c>
      <c r="S223" s="31">
        <v>3</v>
      </c>
      <c r="T223" s="35">
        <v>0</v>
      </c>
      <c r="U223" s="31">
        <v>16.614</v>
      </c>
    </row>
    <row r="224" spans="1:21">
      <c r="A224" s="31">
        <v>223</v>
      </c>
      <c r="B224" t="s">
        <v>39</v>
      </c>
      <c r="C224" s="32">
        <v>41896</v>
      </c>
      <c r="D224" s="32">
        <v>41900</v>
      </c>
      <c r="E224" t="s">
        <v>40</v>
      </c>
      <c r="F224" s="33" t="s">
        <v>1071</v>
      </c>
      <c r="G224" t="s">
        <v>1072</v>
      </c>
      <c r="H224" t="s">
        <v>16</v>
      </c>
      <c r="I224" t="s">
        <v>43</v>
      </c>
      <c r="J224" t="s">
        <v>1073</v>
      </c>
      <c r="K224" t="s">
        <v>61</v>
      </c>
      <c r="L224" s="31">
        <v>33614</v>
      </c>
      <c r="M224" t="s">
        <v>10</v>
      </c>
      <c r="N224" s="33" t="s">
        <v>1074</v>
      </c>
      <c r="O224" t="s">
        <v>21</v>
      </c>
      <c r="P224" t="s">
        <v>89</v>
      </c>
      <c r="Q224" t="s">
        <v>1075</v>
      </c>
      <c r="R224" s="34">
        <v>13</v>
      </c>
      <c r="S224" s="31">
        <v>5</v>
      </c>
      <c r="T224" s="35">
        <v>0.2</v>
      </c>
      <c r="U224" s="31">
        <v>1.3</v>
      </c>
    </row>
    <row r="225" spans="1:21">
      <c r="A225" s="31">
        <v>224</v>
      </c>
      <c r="B225" t="s">
        <v>39</v>
      </c>
      <c r="C225" s="32">
        <v>42345</v>
      </c>
      <c r="D225" s="32">
        <v>42347</v>
      </c>
      <c r="E225" t="s">
        <v>139</v>
      </c>
      <c r="F225" s="33" t="s">
        <v>1076</v>
      </c>
      <c r="G225" t="s">
        <v>1077</v>
      </c>
      <c r="H225" t="s">
        <v>16</v>
      </c>
      <c r="I225" t="s">
        <v>43</v>
      </c>
      <c r="J225" t="s">
        <v>79</v>
      </c>
      <c r="K225" t="s">
        <v>80</v>
      </c>
      <c r="L225" s="31">
        <v>98105</v>
      </c>
      <c r="M225" t="s">
        <v>11</v>
      </c>
      <c r="N225" s="33" t="s">
        <v>1078</v>
      </c>
      <c r="O225" t="s">
        <v>21</v>
      </c>
      <c r="P225" t="s">
        <v>196</v>
      </c>
      <c r="Q225" t="s">
        <v>1079</v>
      </c>
      <c r="R225" s="34">
        <v>3.96</v>
      </c>
      <c r="S225" s="31">
        <v>2</v>
      </c>
      <c r="T225" s="35">
        <v>0</v>
      </c>
      <c r="U225" s="31">
        <v>0</v>
      </c>
    </row>
    <row r="226" spans="1:21">
      <c r="A226" s="31">
        <v>225</v>
      </c>
      <c r="B226" t="s">
        <v>39</v>
      </c>
      <c r="C226" s="32">
        <v>43076</v>
      </c>
      <c r="D226" s="32">
        <v>43079</v>
      </c>
      <c r="E226" t="s">
        <v>139</v>
      </c>
      <c r="F226" s="33" t="s">
        <v>1080</v>
      </c>
      <c r="G226" t="s">
        <v>1081</v>
      </c>
      <c r="H226" t="s">
        <v>16</v>
      </c>
      <c r="I226" t="s">
        <v>43</v>
      </c>
      <c r="J226" t="s">
        <v>51</v>
      </c>
      <c r="K226" t="s">
        <v>52</v>
      </c>
      <c r="L226" s="31">
        <v>90008</v>
      </c>
      <c r="M226" t="s">
        <v>11</v>
      </c>
      <c r="N226" s="33" t="s">
        <v>1082</v>
      </c>
      <c r="O226" t="s">
        <v>22</v>
      </c>
      <c r="P226" t="s">
        <v>144</v>
      </c>
      <c r="Q226" t="s">
        <v>1083</v>
      </c>
      <c r="R226" s="34">
        <v>374.376</v>
      </c>
      <c r="S226" s="31">
        <v>3</v>
      </c>
      <c r="T226" s="35">
        <v>0.2</v>
      </c>
      <c r="U226" s="31">
        <v>46.797</v>
      </c>
    </row>
    <row r="227" spans="1:21">
      <c r="A227" s="31">
        <v>226</v>
      </c>
      <c r="B227" t="s">
        <v>39</v>
      </c>
      <c r="C227" s="32">
        <v>43009</v>
      </c>
      <c r="D227" s="32">
        <v>43016</v>
      </c>
      <c r="E227" t="s">
        <v>57</v>
      </c>
      <c r="F227" s="33" t="s">
        <v>1084</v>
      </c>
      <c r="G227" t="s">
        <v>1085</v>
      </c>
      <c r="H227" t="s">
        <v>17</v>
      </c>
      <c r="I227" t="s">
        <v>43</v>
      </c>
      <c r="J227" t="s">
        <v>79</v>
      </c>
      <c r="K227" t="s">
        <v>80</v>
      </c>
      <c r="L227" s="31">
        <v>98105</v>
      </c>
      <c r="M227" t="s">
        <v>11</v>
      </c>
      <c r="N227" s="33" t="s">
        <v>1086</v>
      </c>
      <c r="O227" t="s">
        <v>21</v>
      </c>
      <c r="P227" t="s">
        <v>75</v>
      </c>
      <c r="Q227" t="s">
        <v>1087</v>
      </c>
      <c r="R227" s="34">
        <v>91.84</v>
      </c>
      <c r="S227" s="31">
        <v>8</v>
      </c>
      <c r="T227" s="35">
        <v>0</v>
      </c>
      <c r="U227" s="31">
        <v>45.0016</v>
      </c>
    </row>
    <row r="228" spans="1:21">
      <c r="A228" s="31">
        <v>227</v>
      </c>
      <c r="B228" t="s">
        <v>39</v>
      </c>
      <c r="C228" s="32">
        <v>43097</v>
      </c>
      <c r="D228" s="32">
        <v>43104</v>
      </c>
      <c r="E228" t="s">
        <v>57</v>
      </c>
      <c r="F228" s="33" t="s">
        <v>1088</v>
      </c>
      <c r="G228" t="s">
        <v>1089</v>
      </c>
      <c r="H228" t="s">
        <v>16</v>
      </c>
      <c r="I228" t="s">
        <v>43</v>
      </c>
      <c r="J228" t="s">
        <v>193</v>
      </c>
      <c r="K228" t="s">
        <v>194</v>
      </c>
      <c r="L228" s="31">
        <v>10024</v>
      </c>
      <c r="M228" t="s">
        <v>9</v>
      </c>
      <c r="N228" s="33" t="s">
        <v>1065</v>
      </c>
      <c r="O228" t="s">
        <v>21</v>
      </c>
      <c r="P228" t="s">
        <v>54</v>
      </c>
      <c r="Q228" t="s">
        <v>1066</v>
      </c>
      <c r="R228" s="34">
        <v>72.45</v>
      </c>
      <c r="S228" s="31">
        <v>7</v>
      </c>
      <c r="T228" s="35">
        <v>0</v>
      </c>
      <c r="U228" s="31">
        <v>34.776</v>
      </c>
    </row>
    <row r="229" spans="1:21">
      <c r="A229" s="31">
        <v>228</v>
      </c>
      <c r="B229" t="s">
        <v>39</v>
      </c>
      <c r="C229" s="32">
        <v>42677</v>
      </c>
      <c r="D229" s="32">
        <v>42681</v>
      </c>
      <c r="E229" t="s">
        <v>57</v>
      </c>
      <c r="F229" s="33" t="s">
        <v>1090</v>
      </c>
      <c r="G229" t="s">
        <v>1091</v>
      </c>
      <c r="H229" t="s">
        <v>16</v>
      </c>
      <c r="I229" t="s">
        <v>43</v>
      </c>
      <c r="J229" t="s">
        <v>1092</v>
      </c>
      <c r="K229" t="s">
        <v>80</v>
      </c>
      <c r="L229" s="31">
        <v>98270</v>
      </c>
      <c r="M229" t="s">
        <v>11</v>
      </c>
      <c r="N229" s="33" t="s">
        <v>1093</v>
      </c>
      <c r="O229" t="s">
        <v>21</v>
      </c>
      <c r="P229" t="s">
        <v>108</v>
      </c>
      <c r="Q229" t="s">
        <v>1094</v>
      </c>
      <c r="R229" s="34">
        <v>8.82</v>
      </c>
      <c r="S229" s="31">
        <v>3</v>
      </c>
      <c r="T229" s="35">
        <v>0</v>
      </c>
      <c r="U229" s="31">
        <v>2.3814</v>
      </c>
    </row>
    <row r="230" spans="1:21">
      <c r="A230" s="31">
        <v>229</v>
      </c>
      <c r="B230" t="s">
        <v>39</v>
      </c>
      <c r="C230" s="32">
        <v>42265</v>
      </c>
      <c r="D230" s="32">
        <v>42269</v>
      </c>
      <c r="E230" t="s">
        <v>40</v>
      </c>
      <c r="F230" s="33" t="s">
        <v>1095</v>
      </c>
      <c r="G230" t="s">
        <v>1096</v>
      </c>
      <c r="H230" t="s">
        <v>16</v>
      </c>
      <c r="I230" t="s">
        <v>43</v>
      </c>
      <c r="J230" t="s">
        <v>701</v>
      </c>
      <c r="K230" t="s">
        <v>52</v>
      </c>
      <c r="L230" s="31">
        <v>90805</v>
      </c>
      <c r="M230" t="s">
        <v>11</v>
      </c>
      <c r="N230" s="33" t="s">
        <v>1086</v>
      </c>
      <c r="O230" t="s">
        <v>21</v>
      </c>
      <c r="P230" t="s">
        <v>75</v>
      </c>
      <c r="Q230" t="s">
        <v>1087</v>
      </c>
      <c r="R230" s="34">
        <v>160.72</v>
      </c>
      <c r="S230" s="31">
        <v>14</v>
      </c>
      <c r="T230" s="35">
        <v>0</v>
      </c>
      <c r="U230" s="31">
        <v>78.7528</v>
      </c>
    </row>
    <row r="231" spans="1:21">
      <c r="A231" s="31">
        <v>230</v>
      </c>
      <c r="B231" t="s">
        <v>39</v>
      </c>
      <c r="C231" s="32">
        <v>42936</v>
      </c>
      <c r="D231" s="32">
        <v>42942</v>
      </c>
      <c r="E231" t="s">
        <v>57</v>
      </c>
      <c r="F231" s="33" t="s">
        <v>1097</v>
      </c>
      <c r="G231" t="s">
        <v>1098</v>
      </c>
      <c r="H231" t="s">
        <v>16</v>
      </c>
      <c r="I231" t="s">
        <v>43</v>
      </c>
      <c r="J231" t="s">
        <v>209</v>
      </c>
      <c r="K231" t="s">
        <v>154</v>
      </c>
      <c r="L231" s="31">
        <v>60610</v>
      </c>
      <c r="M231" t="s">
        <v>8</v>
      </c>
      <c r="N231" s="33" t="s">
        <v>1099</v>
      </c>
      <c r="O231" t="s">
        <v>21</v>
      </c>
      <c r="P231" t="s">
        <v>96</v>
      </c>
      <c r="Q231" t="s">
        <v>1100</v>
      </c>
      <c r="R231" s="34">
        <v>69.712</v>
      </c>
      <c r="S231" s="31">
        <v>2</v>
      </c>
      <c r="T231" s="35">
        <v>0.2</v>
      </c>
      <c r="U231" s="31">
        <v>8.714</v>
      </c>
    </row>
    <row r="232" spans="1:21">
      <c r="A232" s="31">
        <v>231</v>
      </c>
      <c r="B232" t="s">
        <v>39</v>
      </c>
      <c r="C232" s="32">
        <v>42257</v>
      </c>
      <c r="D232" s="32">
        <v>42261</v>
      </c>
      <c r="E232" t="s">
        <v>57</v>
      </c>
      <c r="F232" s="33" t="s">
        <v>1101</v>
      </c>
      <c r="G232" t="s">
        <v>1102</v>
      </c>
      <c r="H232" t="s">
        <v>16</v>
      </c>
      <c r="I232" t="s">
        <v>43</v>
      </c>
      <c r="J232" t="s">
        <v>51</v>
      </c>
      <c r="K232" t="s">
        <v>52</v>
      </c>
      <c r="L232" s="31">
        <v>90004</v>
      </c>
      <c r="M232" t="s">
        <v>11</v>
      </c>
      <c r="N232" s="33" t="s">
        <v>1103</v>
      </c>
      <c r="O232" t="s">
        <v>21</v>
      </c>
      <c r="P232" t="s">
        <v>1104</v>
      </c>
      <c r="Q232" t="s">
        <v>1105</v>
      </c>
      <c r="R232" s="34">
        <v>51.52</v>
      </c>
      <c r="S232" s="31">
        <v>4</v>
      </c>
      <c r="T232" s="35">
        <v>0</v>
      </c>
      <c r="U232" s="31">
        <v>1.5456</v>
      </c>
    </row>
    <row r="233" spans="1:21">
      <c r="A233" s="31">
        <v>232</v>
      </c>
      <c r="B233" t="s">
        <v>39</v>
      </c>
      <c r="C233" s="32">
        <v>43070</v>
      </c>
      <c r="D233" s="32">
        <v>43074</v>
      </c>
      <c r="E233" t="s">
        <v>57</v>
      </c>
      <c r="F233" s="33" t="s">
        <v>1106</v>
      </c>
      <c r="G233" t="s">
        <v>1107</v>
      </c>
      <c r="H233" t="s">
        <v>16</v>
      </c>
      <c r="I233" t="s">
        <v>43</v>
      </c>
      <c r="J233" t="s">
        <v>518</v>
      </c>
      <c r="K233" t="s">
        <v>305</v>
      </c>
      <c r="L233" s="31">
        <v>80219</v>
      </c>
      <c r="M233" t="s">
        <v>11</v>
      </c>
      <c r="N233" s="33" t="s">
        <v>143</v>
      </c>
      <c r="O233" t="s">
        <v>22</v>
      </c>
      <c r="P233" t="s">
        <v>144</v>
      </c>
      <c r="Q233" t="s">
        <v>145</v>
      </c>
      <c r="R233" s="34">
        <v>470.376</v>
      </c>
      <c r="S233" s="31">
        <v>3</v>
      </c>
      <c r="T233" s="35">
        <v>0.2</v>
      </c>
      <c r="U233" s="31">
        <v>52.9173</v>
      </c>
    </row>
    <row r="234" spans="1:21">
      <c r="A234" s="31">
        <v>233</v>
      </c>
      <c r="B234" t="s">
        <v>39</v>
      </c>
      <c r="C234" s="32">
        <v>42188</v>
      </c>
      <c r="D234" s="32">
        <v>42194</v>
      </c>
      <c r="E234" t="s">
        <v>57</v>
      </c>
      <c r="F234" s="33" t="s">
        <v>1108</v>
      </c>
      <c r="G234" t="s">
        <v>1109</v>
      </c>
      <c r="H234" t="s">
        <v>16</v>
      </c>
      <c r="I234" t="s">
        <v>43</v>
      </c>
      <c r="J234" t="s">
        <v>1110</v>
      </c>
      <c r="K234" t="s">
        <v>45</v>
      </c>
      <c r="L234" s="31">
        <v>40475</v>
      </c>
      <c r="M234" t="s">
        <v>10</v>
      </c>
      <c r="N234" s="33" t="s">
        <v>1111</v>
      </c>
      <c r="O234" t="s">
        <v>20</v>
      </c>
      <c r="P234" t="s">
        <v>121</v>
      </c>
      <c r="Q234" t="s">
        <v>1112</v>
      </c>
      <c r="R234" s="34">
        <v>70.98</v>
      </c>
      <c r="S234" s="31">
        <v>1</v>
      </c>
      <c r="T234" s="35">
        <v>0</v>
      </c>
      <c r="U234" s="31">
        <v>4.9686</v>
      </c>
    </row>
    <row r="235" spans="1:21">
      <c r="A235" s="31">
        <v>234</v>
      </c>
      <c r="B235" t="s">
        <v>56</v>
      </c>
      <c r="C235" s="32">
        <v>42449</v>
      </c>
      <c r="D235" s="32">
        <v>42453</v>
      </c>
      <c r="E235" t="s">
        <v>57</v>
      </c>
      <c r="F235" s="33" t="s">
        <v>1113</v>
      </c>
      <c r="G235" t="s">
        <v>1114</v>
      </c>
      <c r="H235" t="s">
        <v>16</v>
      </c>
      <c r="I235" t="s">
        <v>43</v>
      </c>
      <c r="J235" t="s">
        <v>1115</v>
      </c>
      <c r="K235" t="s">
        <v>278</v>
      </c>
      <c r="L235" s="31">
        <v>97301</v>
      </c>
      <c r="M235" t="s">
        <v>11</v>
      </c>
      <c r="N235" s="33" t="s">
        <v>1116</v>
      </c>
      <c r="O235" t="s">
        <v>22</v>
      </c>
      <c r="P235" t="s">
        <v>144</v>
      </c>
      <c r="Q235" t="s">
        <v>1117</v>
      </c>
      <c r="R235" s="34">
        <v>84.784</v>
      </c>
      <c r="S235" s="31">
        <v>2</v>
      </c>
      <c r="T235" s="35">
        <v>0.2</v>
      </c>
      <c r="U235" s="31">
        <v>-20.1362</v>
      </c>
    </row>
    <row r="236" spans="1:21">
      <c r="A236" s="31">
        <v>235</v>
      </c>
      <c r="B236" t="s">
        <v>39</v>
      </c>
      <c r="C236" s="32">
        <v>41648</v>
      </c>
      <c r="D236" s="32">
        <v>41652</v>
      </c>
      <c r="E236" t="s">
        <v>57</v>
      </c>
      <c r="F236" s="33" t="s">
        <v>1118</v>
      </c>
      <c r="G236" t="s">
        <v>1119</v>
      </c>
      <c r="H236" t="s">
        <v>16</v>
      </c>
      <c r="I236" t="s">
        <v>43</v>
      </c>
      <c r="J236" t="s">
        <v>1120</v>
      </c>
      <c r="K236" t="s">
        <v>87</v>
      </c>
      <c r="L236" s="31">
        <v>78041</v>
      </c>
      <c r="M236" t="s">
        <v>8</v>
      </c>
      <c r="N236" s="33" t="s">
        <v>1121</v>
      </c>
      <c r="O236" t="s">
        <v>21</v>
      </c>
      <c r="P236" t="s">
        <v>108</v>
      </c>
      <c r="Q236" t="s">
        <v>1122</v>
      </c>
      <c r="R236" s="34">
        <v>9.344</v>
      </c>
      <c r="S236" s="31">
        <v>2</v>
      </c>
      <c r="T236" s="35">
        <v>0.2</v>
      </c>
      <c r="U236" s="31">
        <v>1.168</v>
      </c>
    </row>
    <row r="237" spans="1:21">
      <c r="A237" s="31">
        <v>236</v>
      </c>
      <c r="B237" t="s">
        <v>39</v>
      </c>
      <c r="C237" s="32">
        <v>41859</v>
      </c>
      <c r="D237" s="32">
        <v>41866</v>
      </c>
      <c r="E237" t="s">
        <v>57</v>
      </c>
      <c r="F237" s="33" t="s">
        <v>1123</v>
      </c>
      <c r="G237" t="s">
        <v>1124</v>
      </c>
      <c r="H237" t="s">
        <v>16</v>
      </c>
      <c r="I237" t="s">
        <v>43</v>
      </c>
      <c r="J237" t="s">
        <v>588</v>
      </c>
      <c r="K237" t="s">
        <v>52</v>
      </c>
      <c r="L237" s="31">
        <v>92024</v>
      </c>
      <c r="M237" t="s">
        <v>11</v>
      </c>
      <c r="N237" s="33" t="s">
        <v>1125</v>
      </c>
      <c r="O237" t="s">
        <v>21</v>
      </c>
      <c r="P237" t="s">
        <v>89</v>
      </c>
      <c r="Q237" t="s">
        <v>1126</v>
      </c>
      <c r="R237" s="34">
        <v>76.12</v>
      </c>
      <c r="S237" s="31">
        <v>2</v>
      </c>
      <c r="T237" s="35">
        <v>0</v>
      </c>
      <c r="U237" s="31">
        <v>22.0748</v>
      </c>
    </row>
    <row r="238" spans="1:21">
      <c r="A238" s="31">
        <v>237</v>
      </c>
      <c r="B238" t="s">
        <v>39</v>
      </c>
      <c r="C238" s="32">
        <v>42565</v>
      </c>
      <c r="D238" s="32">
        <v>42567</v>
      </c>
      <c r="E238" t="s">
        <v>139</v>
      </c>
      <c r="F238" s="33" t="s">
        <v>1127</v>
      </c>
      <c r="G238" t="s">
        <v>1128</v>
      </c>
      <c r="H238" t="s">
        <v>16</v>
      </c>
      <c r="I238" t="s">
        <v>43</v>
      </c>
      <c r="J238" t="s">
        <v>118</v>
      </c>
      <c r="K238" t="s">
        <v>119</v>
      </c>
      <c r="L238" s="31">
        <v>19134</v>
      </c>
      <c r="M238" t="s">
        <v>9</v>
      </c>
      <c r="N238" s="33" t="s">
        <v>1129</v>
      </c>
      <c r="O238" t="s">
        <v>21</v>
      </c>
      <c r="P238" t="s">
        <v>1104</v>
      </c>
      <c r="Q238" t="s">
        <v>1130</v>
      </c>
      <c r="R238" s="34">
        <v>11.632</v>
      </c>
      <c r="S238" s="31">
        <v>2</v>
      </c>
      <c r="T238" s="35">
        <v>0.2</v>
      </c>
      <c r="U238" s="31">
        <v>1.0178</v>
      </c>
    </row>
    <row r="239" spans="1:21">
      <c r="A239" s="31">
        <v>238</v>
      </c>
      <c r="B239" t="s">
        <v>56</v>
      </c>
      <c r="C239" s="32">
        <v>42567</v>
      </c>
      <c r="D239" s="32">
        <v>42572</v>
      </c>
      <c r="E239" t="s">
        <v>57</v>
      </c>
      <c r="F239" s="33" t="s">
        <v>1131</v>
      </c>
      <c r="G239" t="s">
        <v>1132</v>
      </c>
      <c r="H239" t="s">
        <v>16</v>
      </c>
      <c r="I239" t="s">
        <v>43</v>
      </c>
      <c r="J239" t="s">
        <v>118</v>
      </c>
      <c r="K239" t="s">
        <v>119</v>
      </c>
      <c r="L239" s="31">
        <v>19120</v>
      </c>
      <c r="M239" t="s">
        <v>9</v>
      </c>
      <c r="N239" s="33" t="s">
        <v>1133</v>
      </c>
      <c r="O239" t="s">
        <v>22</v>
      </c>
      <c r="P239" t="s">
        <v>144</v>
      </c>
      <c r="Q239" t="s">
        <v>1134</v>
      </c>
      <c r="R239" s="34">
        <v>143.982</v>
      </c>
      <c r="S239" s="31">
        <v>3</v>
      </c>
      <c r="T239" s="35">
        <v>0.4</v>
      </c>
      <c r="U239" s="31">
        <v>-28.7964</v>
      </c>
    </row>
    <row r="240" spans="1:21">
      <c r="A240" s="31">
        <v>239</v>
      </c>
      <c r="B240" t="s">
        <v>39</v>
      </c>
      <c r="C240" s="32">
        <v>41713</v>
      </c>
      <c r="D240" s="32">
        <v>41717</v>
      </c>
      <c r="E240" t="s">
        <v>57</v>
      </c>
      <c r="F240" s="33" t="s">
        <v>1135</v>
      </c>
      <c r="G240" t="s">
        <v>1136</v>
      </c>
      <c r="H240" t="s">
        <v>16</v>
      </c>
      <c r="I240" t="s">
        <v>43</v>
      </c>
      <c r="J240" t="s">
        <v>1073</v>
      </c>
      <c r="K240" t="s">
        <v>61</v>
      </c>
      <c r="L240" s="31">
        <v>33614</v>
      </c>
      <c r="M240" t="s">
        <v>10</v>
      </c>
      <c r="N240" s="33" t="s">
        <v>1137</v>
      </c>
      <c r="O240" t="s">
        <v>21</v>
      </c>
      <c r="P240" t="s">
        <v>96</v>
      </c>
      <c r="Q240" t="s">
        <v>1138</v>
      </c>
      <c r="R240" s="34">
        <v>142.776</v>
      </c>
      <c r="S240" s="31">
        <v>1</v>
      </c>
      <c r="T240" s="35">
        <v>0.2</v>
      </c>
      <c r="U240" s="31">
        <v>17.847</v>
      </c>
    </row>
    <row r="241" spans="1:21">
      <c r="A241" s="31">
        <v>240</v>
      </c>
      <c r="B241" t="s">
        <v>56</v>
      </c>
      <c r="C241" s="32">
        <v>41782</v>
      </c>
      <c r="D241" s="32">
        <v>41786</v>
      </c>
      <c r="E241" t="s">
        <v>57</v>
      </c>
      <c r="F241" s="33" t="s">
        <v>1139</v>
      </c>
      <c r="G241" t="s">
        <v>1140</v>
      </c>
      <c r="H241" t="s">
        <v>16</v>
      </c>
      <c r="I241" t="s">
        <v>43</v>
      </c>
      <c r="J241" t="s">
        <v>118</v>
      </c>
      <c r="K241" t="s">
        <v>119</v>
      </c>
      <c r="L241" s="31">
        <v>19134</v>
      </c>
      <c r="M241" t="s">
        <v>9</v>
      </c>
      <c r="N241" s="33" t="s">
        <v>1141</v>
      </c>
      <c r="O241" t="s">
        <v>21</v>
      </c>
      <c r="P241" t="s">
        <v>82</v>
      </c>
      <c r="Q241" t="s">
        <v>1142</v>
      </c>
      <c r="R241" s="34">
        <v>3.282</v>
      </c>
      <c r="S241" s="31">
        <v>2</v>
      </c>
      <c r="T241" s="35">
        <v>0.7</v>
      </c>
      <c r="U241" s="31">
        <v>-2.6256</v>
      </c>
    </row>
    <row r="242" spans="1:21">
      <c r="A242" s="31">
        <v>241</v>
      </c>
      <c r="B242" t="s">
        <v>39</v>
      </c>
      <c r="C242" s="32">
        <v>42488</v>
      </c>
      <c r="D242" s="32">
        <v>42491</v>
      </c>
      <c r="E242" t="s">
        <v>139</v>
      </c>
      <c r="F242" s="33" t="s">
        <v>1143</v>
      </c>
      <c r="G242" t="s">
        <v>1144</v>
      </c>
      <c r="H242" t="s">
        <v>17</v>
      </c>
      <c r="I242" t="s">
        <v>43</v>
      </c>
      <c r="J242" t="s">
        <v>523</v>
      </c>
      <c r="K242" t="s">
        <v>87</v>
      </c>
      <c r="L242" s="31">
        <v>75217</v>
      </c>
      <c r="M242" t="s">
        <v>8</v>
      </c>
      <c r="N242" s="33" t="s">
        <v>813</v>
      </c>
      <c r="O242" t="s">
        <v>22</v>
      </c>
      <c r="P242" t="s">
        <v>144</v>
      </c>
      <c r="Q242" t="s">
        <v>814</v>
      </c>
      <c r="R242" s="34">
        <v>369.576</v>
      </c>
      <c r="S242" s="31">
        <v>3</v>
      </c>
      <c r="T242" s="35">
        <v>0.2</v>
      </c>
      <c r="U242" s="31">
        <v>41.5773</v>
      </c>
    </row>
    <row r="243" spans="1:21">
      <c r="A243" s="31">
        <v>242</v>
      </c>
      <c r="B243" t="s">
        <v>39</v>
      </c>
      <c r="C243" s="32">
        <v>42624</v>
      </c>
      <c r="D243" s="32">
        <v>42626</v>
      </c>
      <c r="E243" t="s">
        <v>40</v>
      </c>
      <c r="F243" s="33" t="s">
        <v>1145</v>
      </c>
      <c r="G243" t="s">
        <v>1146</v>
      </c>
      <c r="H243" t="s">
        <v>17</v>
      </c>
      <c r="I243" t="s">
        <v>43</v>
      </c>
      <c r="J243" t="s">
        <v>118</v>
      </c>
      <c r="K243" t="s">
        <v>119</v>
      </c>
      <c r="L243" s="31">
        <v>19143</v>
      </c>
      <c r="M243" t="s">
        <v>9</v>
      </c>
      <c r="N243" s="33" t="s">
        <v>1147</v>
      </c>
      <c r="O243" t="s">
        <v>21</v>
      </c>
      <c r="P243" t="s">
        <v>75</v>
      </c>
      <c r="Q243" t="s">
        <v>1148</v>
      </c>
      <c r="R243" s="34">
        <v>8.448</v>
      </c>
      <c r="S243" s="31">
        <v>2</v>
      </c>
      <c r="T243" s="35">
        <v>0.2</v>
      </c>
      <c r="U243" s="31">
        <v>2.64</v>
      </c>
    </row>
    <row r="244" spans="1:21">
      <c r="A244" s="31">
        <v>243</v>
      </c>
      <c r="B244" t="s">
        <v>39</v>
      </c>
      <c r="C244" s="32">
        <v>43053</v>
      </c>
      <c r="D244" s="32">
        <v>43056</v>
      </c>
      <c r="E244" t="s">
        <v>40</v>
      </c>
      <c r="F244" s="33" t="s">
        <v>1149</v>
      </c>
      <c r="G244" t="s">
        <v>1150</v>
      </c>
      <c r="H244" t="s">
        <v>16</v>
      </c>
      <c r="I244" t="s">
        <v>43</v>
      </c>
      <c r="J244" t="s">
        <v>1151</v>
      </c>
      <c r="K244" t="s">
        <v>331</v>
      </c>
      <c r="L244" s="31">
        <v>43123</v>
      </c>
      <c r="M244" t="s">
        <v>9</v>
      </c>
      <c r="N244" s="33" t="s">
        <v>1152</v>
      </c>
      <c r="O244" t="s">
        <v>22</v>
      </c>
      <c r="P244" t="s">
        <v>144</v>
      </c>
      <c r="Q244" t="s">
        <v>1153</v>
      </c>
      <c r="R244" s="34">
        <v>119.94</v>
      </c>
      <c r="S244" s="31">
        <v>10</v>
      </c>
      <c r="T244" s="35">
        <v>0.4</v>
      </c>
      <c r="U244" s="31">
        <v>15.992</v>
      </c>
    </row>
    <row r="245" spans="1:21">
      <c r="A245" s="31">
        <v>244</v>
      </c>
      <c r="B245" t="s">
        <v>39</v>
      </c>
      <c r="C245" s="32">
        <v>42965</v>
      </c>
      <c r="D245" s="32">
        <v>42970</v>
      </c>
      <c r="E245" t="s">
        <v>40</v>
      </c>
      <c r="F245" s="33" t="s">
        <v>1154</v>
      </c>
      <c r="G245" t="s">
        <v>1155</v>
      </c>
      <c r="H245" t="s">
        <v>17</v>
      </c>
      <c r="I245" t="s">
        <v>43</v>
      </c>
      <c r="J245" t="s">
        <v>193</v>
      </c>
      <c r="K245" t="s">
        <v>194</v>
      </c>
      <c r="L245" s="31">
        <v>10011</v>
      </c>
      <c r="M245" t="s">
        <v>9</v>
      </c>
      <c r="N245" s="33" t="s">
        <v>1156</v>
      </c>
      <c r="O245" t="s">
        <v>20</v>
      </c>
      <c r="P245" t="s">
        <v>68</v>
      </c>
      <c r="Q245" t="s">
        <v>1157</v>
      </c>
      <c r="R245" s="34">
        <v>40.48</v>
      </c>
      <c r="S245" s="31">
        <v>2</v>
      </c>
      <c r="T245" s="35">
        <v>0</v>
      </c>
      <c r="U245" s="31">
        <v>15.7872</v>
      </c>
    </row>
    <row r="246" spans="1:21">
      <c r="A246" s="31">
        <v>245</v>
      </c>
      <c r="B246" t="s">
        <v>56</v>
      </c>
      <c r="C246" s="32">
        <v>41999</v>
      </c>
      <c r="D246" s="32">
        <v>42004</v>
      </c>
      <c r="E246" t="s">
        <v>57</v>
      </c>
      <c r="F246" s="33" t="s">
        <v>1158</v>
      </c>
      <c r="G246" t="s">
        <v>1159</v>
      </c>
      <c r="H246" t="s">
        <v>16</v>
      </c>
      <c r="I246" t="s">
        <v>43</v>
      </c>
      <c r="J246" t="s">
        <v>209</v>
      </c>
      <c r="K246" t="s">
        <v>154</v>
      </c>
      <c r="L246" s="31">
        <v>60610</v>
      </c>
      <c r="M246" t="s">
        <v>8</v>
      </c>
      <c r="N246" s="33" t="s">
        <v>1160</v>
      </c>
      <c r="O246" t="s">
        <v>21</v>
      </c>
      <c r="P246" t="s">
        <v>82</v>
      </c>
      <c r="Q246" t="s">
        <v>1161</v>
      </c>
      <c r="R246" s="34">
        <v>8.69</v>
      </c>
      <c r="S246" s="31">
        <v>5</v>
      </c>
      <c r="T246" s="35">
        <v>0.8</v>
      </c>
      <c r="U246" s="31">
        <v>-14.773</v>
      </c>
    </row>
    <row r="247" spans="1:21">
      <c r="A247" s="31">
        <v>246</v>
      </c>
      <c r="B247" t="s">
        <v>39</v>
      </c>
      <c r="C247" s="32">
        <v>42337</v>
      </c>
      <c r="D247" s="32">
        <v>42341</v>
      </c>
      <c r="E247" t="s">
        <v>57</v>
      </c>
      <c r="F247" s="33" t="s">
        <v>1162</v>
      </c>
      <c r="G247" t="s">
        <v>1163</v>
      </c>
      <c r="H247" t="s">
        <v>17</v>
      </c>
      <c r="I247" t="s">
        <v>43</v>
      </c>
      <c r="J247" t="s">
        <v>1164</v>
      </c>
      <c r="K247" t="s">
        <v>176</v>
      </c>
      <c r="L247" s="31">
        <v>48126</v>
      </c>
      <c r="M247" t="s">
        <v>8</v>
      </c>
      <c r="N247" s="33" t="s">
        <v>1165</v>
      </c>
      <c r="O247" t="s">
        <v>20</v>
      </c>
      <c r="P247" t="s">
        <v>121</v>
      </c>
      <c r="Q247" t="s">
        <v>1166</v>
      </c>
      <c r="R247" s="34">
        <v>301.96</v>
      </c>
      <c r="S247" s="31">
        <v>2</v>
      </c>
      <c r="T247" s="35">
        <v>0</v>
      </c>
      <c r="U247" s="31">
        <v>87.5684</v>
      </c>
    </row>
    <row r="248" spans="1:21">
      <c r="A248" s="31">
        <v>247</v>
      </c>
      <c r="B248" t="s">
        <v>39</v>
      </c>
      <c r="C248" s="32">
        <v>42993</v>
      </c>
      <c r="D248" s="32">
        <v>42997</v>
      </c>
      <c r="E248" t="s">
        <v>57</v>
      </c>
      <c r="F248" s="33" t="s">
        <v>1167</v>
      </c>
      <c r="G248" t="s">
        <v>1168</v>
      </c>
      <c r="H248" t="s">
        <v>18</v>
      </c>
      <c r="I248" t="s">
        <v>43</v>
      </c>
      <c r="J248" t="s">
        <v>193</v>
      </c>
      <c r="K248" t="s">
        <v>194</v>
      </c>
      <c r="L248" s="31">
        <v>10009</v>
      </c>
      <c r="M248" t="s">
        <v>9</v>
      </c>
      <c r="N248" s="33" t="s">
        <v>1169</v>
      </c>
      <c r="O248" t="s">
        <v>20</v>
      </c>
      <c r="P248" t="s">
        <v>68</v>
      </c>
      <c r="Q248" t="s">
        <v>1170</v>
      </c>
      <c r="R248" s="34">
        <v>35.56</v>
      </c>
      <c r="S248" s="31">
        <v>7</v>
      </c>
      <c r="T248" s="35">
        <v>0</v>
      </c>
      <c r="U248" s="31">
        <v>12.0904</v>
      </c>
    </row>
    <row r="249" spans="1:21">
      <c r="A249" s="31">
        <v>248</v>
      </c>
      <c r="B249" t="s">
        <v>39</v>
      </c>
      <c r="C249" s="32">
        <v>42874</v>
      </c>
      <c r="D249" s="32">
        <v>42878</v>
      </c>
      <c r="E249" t="s">
        <v>57</v>
      </c>
      <c r="F249" s="33" t="s">
        <v>1171</v>
      </c>
      <c r="G249" t="s">
        <v>1172</v>
      </c>
      <c r="H249" t="s">
        <v>16</v>
      </c>
      <c r="I249" t="s">
        <v>43</v>
      </c>
      <c r="J249" t="s">
        <v>79</v>
      </c>
      <c r="K249" t="s">
        <v>80</v>
      </c>
      <c r="L249" s="31">
        <v>98115</v>
      </c>
      <c r="M249" t="s">
        <v>11</v>
      </c>
      <c r="N249" s="33" t="s">
        <v>1173</v>
      </c>
      <c r="O249" t="s">
        <v>21</v>
      </c>
      <c r="P249" t="s">
        <v>89</v>
      </c>
      <c r="Q249" t="s">
        <v>1174</v>
      </c>
      <c r="R249" s="34">
        <v>97.16</v>
      </c>
      <c r="S249" s="31">
        <v>2</v>
      </c>
      <c r="T249" s="35">
        <v>0</v>
      </c>
      <c r="U249" s="31">
        <v>28.1764</v>
      </c>
    </row>
    <row r="250" spans="1:21">
      <c r="A250" s="31">
        <v>249</v>
      </c>
      <c r="B250" t="s">
        <v>56</v>
      </c>
      <c r="C250" s="32">
        <v>42715</v>
      </c>
      <c r="D250" s="32">
        <v>42717</v>
      </c>
      <c r="E250" t="s">
        <v>40</v>
      </c>
      <c r="F250" s="33" t="s">
        <v>1175</v>
      </c>
      <c r="G250" t="s">
        <v>1176</v>
      </c>
      <c r="H250" t="s">
        <v>16</v>
      </c>
      <c r="I250" t="s">
        <v>43</v>
      </c>
      <c r="J250" t="s">
        <v>304</v>
      </c>
      <c r="K250" t="s">
        <v>305</v>
      </c>
      <c r="L250" s="31">
        <v>80013</v>
      </c>
      <c r="M250" t="s">
        <v>11</v>
      </c>
      <c r="N250" s="33" t="s">
        <v>1177</v>
      </c>
      <c r="O250" t="s">
        <v>21</v>
      </c>
      <c r="P250" t="s">
        <v>96</v>
      </c>
      <c r="Q250" t="s">
        <v>1178</v>
      </c>
      <c r="R250" s="34">
        <v>243.384</v>
      </c>
      <c r="S250" s="31">
        <v>3</v>
      </c>
      <c r="T250" s="35">
        <v>0.2</v>
      </c>
      <c r="U250" s="31">
        <v>-51.7191</v>
      </c>
    </row>
    <row r="251" spans="1:21">
      <c r="A251" s="31">
        <v>250</v>
      </c>
      <c r="B251" t="s">
        <v>39</v>
      </c>
      <c r="C251" s="32">
        <v>42281</v>
      </c>
      <c r="D251" s="32">
        <v>42286</v>
      </c>
      <c r="E251" t="s">
        <v>40</v>
      </c>
      <c r="F251" s="33" t="s">
        <v>1179</v>
      </c>
      <c r="G251" t="s">
        <v>1180</v>
      </c>
      <c r="H251" t="s">
        <v>17</v>
      </c>
      <c r="I251" t="s">
        <v>43</v>
      </c>
      <c r="J251" t="s">
        <v>1181</v>
      </c>
      <c r="K251" t="s">
        <v>746</v>
      </c>
      <c r="L251" s="31">
        <v>31088</v>
      </c>
      <c r="M251" t="s">
        <v>10</v>
      </c>
      <c r="N251" s="33" t="s">
        <v>1182</v>
      </c>
      <c r="O251" t="s">
        <v>20</v>
      </c>
      <c r="P251" t="s">
        <v>121</v>
      </c>
      <c r="Q251" t="s">
        <v>1183</v>
      </c>
      <c r="R251" s="34">
        <v>392.94</v>
      </c>
      <c r="S251" s="31">
        <v>3</v>
      </c>
      <c r="T251" s="35">
        <v>0</v>
      </c>
      <c r="U251" s="31">
        <v>43.2234</v>
      </c>
    </row>
    <row r="252" spans="1:21">
      <c r="A252" s="31">
        <v>251</v>
      </c>
      <c r="B252" t="s">
        <v>56</v>
      </c>
      <c r="C252" s="32">
        <v>42597</v>
      </c>
      <c r="D252" s="32">
        <v>42603</v>
      </c>
      <c r="E252" t="s">
        <v>57</v>
      </c>
      <c r="F252" s="33" t="s">
        <v>1184</v>
      </c>
      <c r="G252" t="s">
        <v>1185</v>
      </c>
      <c r="H252" t="s">
        <v>16</v>
      </c>
      <c r="I252" t="s">
        <v>43</v>
      </c>
      <c r="J252" t="s">
        <v>304</v>
      </c>
      <c r="K252" t="s">
        <v>305</v>
      </c>
      <c r="L252" s="31">
        <v>80013</v>
      </c>
      <c r="M252" t="s">
        <v>11</v>
      </c>
      <c r="N252" s="33" t="s">
        <v>1186</v>
      </c>
      <c r="O252" t="s">
        <v>21</v>
      </c>
      <c r="P252" t="s">
        <v>82</v>
      </c>
      <c r="Q252" t="s">
        <v>1187</v>
      </c>
      <c r="R252" s="34">
        <v>18.882</v>
      </c>
      <c r="S252" s="31">
        <v>3</v>
      </c>
      <c r="T252" s="35">
        <v>0.7</v>
      </c>
      <c r="U252" s="31">
        <v>-13.8468</v>
      </c>
    </row>
    <row r="253" spans="1:21">
      <c r="A253" s="31">
        <v>252</v>
      </c>
      <c r="B253" t="s">
        <v>39</v>
      </c>
      <c r="C253" s="32">
        <v>42722</v>
      </c>
      <c r="D253" s="32">
        <v>42726</v>
      </c>
      <c r="E253" t="s">
        <v>57</v>
      </c>
      <c r="F253" s="33" t="s">
        <v>1188</v>
      </c>
      <c r="G253" t="s">
        <v>1189</v>
      </c>
      <c r="H253" t="s">
        <v>17</v>
      </c>
      <c r="I253" t="s">
        <v>43</v>
      </c>
      <c r="J253" t="s">
        <v>272</v>
      </c>
      <c r="K253" t="s">
        <v>169</v>
      </c>
      <c r="L253" s="31">
        <v>55407</v>
      </c>
      <c r="M253" t="s">
        <v>8</v>
      </c>
      <c r="N253" s="33" t="s">
        <v>1190</v>
      </c>
      <c r="O253" t="s">
        <v>20</v>
      </c>
      <c r="P253" t="s">
        <v>68</v>
      </c>
      <c r="Q253" t="s">
        <v>1191</v>
      </c>
      <c r="R253" s="34">
        <v>18.84</v>
      </c>
      <c r="S253" s="31">
        <v>3</v>
      </c>
      <c r="T253" s="35">
        <v>0</v>
      </c>
      <c r="U253" s="31">
        <v>6.0288</v>
      </c>
    </row>
    <row r="254" spans="1:21">
      <c r="A254" s="31">
        <v>253</v>
      </c>
      <c r="B254" t="s">
        <v>39</v>
      </c>
      <c r="C254" s="32">
        <v>42946</v>
      </c>
      <c r="D254" s="32">
        <v>42950</v>
      </c>
      <c r="E254" t="s">
        <v>40</v>
      </c>
      <c r="F254" s="33" t="s">
        <v>1192</v>
      </c>
      <c r="G254" t="s">
        <v>1193</v>
      </c>
      <c r="H254" t="s">
        <v>16</v>
      </c>
      <c r="I254" t="s">
        <v>43</v>
      </c>
      <c r="J254" t="s">
        <v>1194</v>
      </c>
      <c r="K254" t="s">
        <v>52</v>
      </c>
      <c r="L254" s="31">
        <v>92691</v>
      </c>
      <c r="M254" t="s">
        <v>11</v>
      </c>
      <c r="N254" s="33" t="s">
        <v>1195</v>
      </c>
      <c r="O254" t="s">
        <v>21</v>
      </c>
      <c r="P254" t="s">
        <v>96</v>
      </c>
      <c r="Q254" t="s">
        <v>1196</v>
      </c>
      <c r="R254" s="34">
        <v>330.4</v>
      </c>
      <c r="S254" s="31">
        <v>2</v>
      </c>
      <c r="T254" s="35">
        <v>0</v>
      </c>
      <c r="U254" s="31">
        <v>85.904</v>
      </c>
    </row>
    <row r="255" spans="1:21">
      <c r="A255" s="31">
        <v>254</v>
      </c>
      <c r="B255" t="s">
        <v>39</v>
      </c>
      <c r="C255" s="32">
        <v>42896</v>
      </c>
      <c r="D255" s="32">
        <v>42901</v>
      </c>
      <c r="E255" t="s">
        <v>57</v>
      </c>
      <c r="F255" s="33" t="s">
        <v>1197</v>
      </c>
      <c r="G255" t="s">
        <v>1198</v>
      </c>
      <c r="H255" t="s">
        <v>16</v>
      </c>
      <c r="I255" t="s">
        <v>43</v>
      </c>
      <c r="J255" t="s">
        <v>1199</v>
      </c>
      <c r="K255" t="s">
        <v>176</v>
      </c>
      <c r="L255" s="31">
        <v>48307</v>
      </c>
      <c r="M255" t="s">
        <v>8</v>
      </c>
      <c r="N255" s="33" t="s">
        <v>1200</v>
      </c>
      <c r="O255" t="s">
        <v>22</v>
      </c>
      <c r="P255" t="s">
        <v>171</v>
      </c>
      <c r="Q255" t="s">
        <v>1201</v>
      </c>
      <c r="R255" s="34">
        <v>132.52</v>
      </c>
      <c r="S255" s="31">
        <v>4</v>
      </c>
      <c r="T255" s="35">
        <v>0</v>
      </c>
      <c r="U255" s="31">
        <v>54.3332</v>
      </c>
    </row>
    <row r="256" spans="1:21">
      <c r="A256" s="31">
        <v>255</v>
      </c>
      <c r="B256" t="s">
        <v>39</v>
      </c>
      <c r="C256" s="32">
        <v>43099</v>
      </c>
      <c r="D256" s="32">
        <v>43105</v>
      </c>
      <c r="E256" t="s">
        <v>57</v>
      </c>
      <c r="F256" s="33" t="s">
        <v>1202</v>
      </c>
      <c r="G256" t="s">
        <v>1203</v>
      </c>
      <c r="H256" t="s">
        <v>18</v>
      </c>
      <c r="I256" t="s">
        <v>43</v>
      </c>
      <c r="J256" t="s">
        <v>330</v>
      </c>
      <c r="K256" t="s">
        <v>188</v>
      </c>
      <c r="L256" s="31">
        <v>47201</v>
      </c>
      <c r="M256" t="s">
        <v>8</v>
      </c>
      <c r="N256" s="33" t="s">
        <v>1204</v>
      </c>
      <c r="O256" t="s">
        <v>21</v>
      </c>
      <c r="P256" t="s">
        <v>89</v>
      </c>
      <c r="Q256" t="s">
        <v>1205</v>
      </c>
      <c r="R256" s="34">
        <v>209.3</v>
      </c>
      <c r="S256" s="31">
        <v>2</v>
      </c>
      <c r="T256" s="35">
        <v>0</v>
      </c>
      <c r="U256" s="31">
        <v>56.511</v>
      </c>
    </row>
    <row r="257" spans="1:21">
      <c r="A257" s="31">
        <v>256</v>
      </c>
      <c r="B257" t="s">
        <v>39</v>
      </c>
      <c r="C257" s="32">
        <v>42715</v>
      </c>
      <c r="D257" s="32">
        <v>42720</v>
      </c>
      <c r="E257" t="s">
        <v>40</v>
      </c>
      <c r="F257" s="33" t="s">
        <v>1206</v>
      </c>
      <c r="G257" t="s">
        <v>1207</v>
      </c>
      <c r="H257" t="s">
        <v>17</v>
      </c>
      <c r="I257" t="s">
        <v>43</v>
      </c>
      <c r="J257" t="s">
        <v>1208</v>
      </c>
      <c r="K257" t="s">
        <v>80</v>
      </c>
      <c r="L257" s="31">
        <v>98661</v>
      </c>
      <c r="M257" t="s">
        <v>11</v>
      </c>
      <c r="N257" s="33" t="s">
        <v>1209</v>
      </c>
      <c r="O257" t="s">
        <v>20</v>
      </c>
      <c r="P257" t="s">
        <v>68</v>
      </c>
      <c r="Q257" t="s">
        <v>1210</v>
      </c>
      <c r="R257" s="34">
        <v>14.8</v>
      </c>
      <c r="S257" s="31">
        <v>4</v>
      </c>
      <c r="T257" s="35">
        <v>0</v>
      </c>
      <c r="U257" s="31">
        <v>6.068</v>
      </c>
    </row>
    <row r="258" spans="1:21">
      <c r="A258" s="31">
        <v>257</v>
      </c>
      <c r="B258" t="s">
        <v>39</v>
      </c>
      <c r="C258" s="32">
        <v>42666</v>
      </c>
      <c r="D258" s="32">
        <v>42672</v>
      </c>
      <c r="E258" t="s">
        <v>57</v>
      </c>
      <c r="F258" s="33" t="s">
        <v>1211</v>
      </c>
      <c r="G258" t="s">
        <v>1212</v>
      </c>
      <c r="H258" t="s">
        <v>18</v>
      </c>
      <c r="I258" t="s">
        <v>43</v>
      </c>
      <c r="J258" t="s">
        <v>193</v>
      </c>
      <c r="K258" t="s">
        <v>194</v>
      </c>
      <c r="L258" s="31">
        <v>10024</v>
      </c>
      <c r="M258" t="s">
        <v>9</v>
      </c>
      <c r="N258" s="33" t="s">
        <v>222</v>
      </c>
      <c r="O258" t="s">
        <v>21</v>
      </c>
      <c r="P258" t="s">
        <v>75</v>
      </c>
      <c r="Q258" t="s">
        <v>223</v>
      </c>
      <c r="R258" s="34">
        <v>379.4</v>
      </c>
      <c r="S258" s="31">
        <v>10</v>
      </c>
      <c r="T258" s="35">
        <v>0</v>
      </c>
      <c r="U258" s="31">
        <v>178.318</v>
      </c>
    </row>
    <row r="259" spans="1:21">
      <c r="A259" s="31">
        <v>258</v>
      </c>
      <c r="B259" t="s">
        <v>39</v>
      </c>
      <c r="C259" s="32">
        <v>42604</v>
      </c>
      <c r="D259" s="32">
        <v>42610</v>
      </c>
      <c r="E259" t="s">
        <v>57</v>
      </c>
      <c r="F259" s="33" t="s">
        <v>1213</v>
      </c>
      <c r="G259" t="s">
        <v>1214</v>
      </c>
      <c r="H259" t="s">
        <v>16</v>
      </c>
      <c r="I259" t="s">
        <v>43</v>
      </c>
      <c r="J259" t="s">
        <v>330</v>
      </c>
      <c r="K259" t="s">
        <v>331</v>
      </c>
      <c r="L259" s="31">
        <v>43229</v>
      </c>
      <c r="M259" t="s">
        <v>9</v>
      </c>
      <c r="N259" s="33" t="s">
        <v>1215</v>
      </c>
      <c r="O259" t="s">
        <v>21</v>
      </c>
      <c r="P259" t="s">
        <v>89</v>
      </c>
      <c r="Q259" t="s">
        <v>1216</v>
      </c>
      <c r="R259" s="34">
        <v>113.552</v>
      </c>
      <c r="S259" s="31">
        <v>2</v>
      </c>
      <c r="T259" s="35">
        <v>0.2</v>
      </c>
      <c r="U259" s="31">
        <v>8.5164</v>
      </c>
    </row>
    <row r="260" spans="1:21">
      <c r="A260" s="31">
        <v>259</v>
      </c>
      <c r="B260" t="s">
        <v>56</v>
      </c>
      <c r="C260" s="32">
        <v>42632</v>
      </c>
      <c r="D260" s="32">
        <v>42632</v>
      </c>
      <c r="E260" t="s">
        <v>755</v>
      </c>
      <c r="F260" s="33" t="s">
        <v>1217</v>
      </c>
      <c r="G260" t="s">
        <v>1218</v>
      </c>
      <c r="H260" t="s">
        <v>18</v>
      </c>
      <c r="I260" t="s">
        <v>43</v>
      </c>
      <c r="J260" t="s">
        <v>304</v>
      </c>
      <c r="K260" t="s">
        <v>154</v>
      </c>
      <c r="L260" s="31">
        <v>60505</v>
      </c>
      <c r="M260" t="s">
        <v>8</v>
      </c>
      <c r="N260" s="33" t="s">
        <v>1219</v>
      </c>
      <c r="O260" t="s">
        <v>20</v>
      </c>
      <c r="P260" t="s">
        <v>121</v>
      </c>
      <c r="Q260" t="s">
        <v>1220</v>
      </c>
      <c r="R260" s="34">
        <v>701.372</v>
      </c>
      <c r="S260" s="31">
        <v>2</v>
      </c>
      <c r="T260" s="35">
        <v>0.3</v>
      </c>
      <c r="U260" s="31">
        <v>-50.098</v>
      </c>
    </row>
    <row r="261" spans="1:21">
      <c r="A261" s="31">
        <v>260</v>
      </c>
      <c r="B261" t="s">
        <v>39</v>
      </c>
      <c r="C261" s="32">
        <v>42455</v>
      </c>
      <c r="D261" s="32">
        <v>42459</v>
      </c>
      <c r="E261" t="s">
        <v>57</v>
      </c>
      <c r="F261" s="33" t="s">
        <v>1221</v>
      </c>
      <c r="G261" t="s">
        <v>1222</v>
      </c>
      <c r="H261" t="s">
        <v>17</v>
      </c>
      <c r="I261" t="s">
        <v>43</v>
      </c>
      <c r="J261" t="s">
        <v>193</v>
      </c>
      <c r="K261" t="s">
        <v>194</v>
      </c>
      <c r="L261" s="31">
        <v>10011</v>
      </c>
      <c r="M261" t="s">
        <v>9</v>
      </c>
      <c r="N261" s="33" t="s">
        <v>1223</v>
      </c>
      <c r="O261" t="s">
        <v>21</v>
      </c>
      <c r="P261" t="s">
        <v>96</v>
      </c>
      <c r="Q261" t="s">
        <v>1224</v>
      </c>
      <c r="R261" s="34">
        <v>459.95</v>
      </c>
      <c r="S261" s="31">
        <v>5</v>
      </c>
      <c r="T261" s="35">
        <v>0</v>
      </c>
      <c r="U261" s="31">
        <v>18.398</v>
      </c>
    </row>
    <row r="262" spans="1:21">
      <c r="A262" s="31">
        <v>261</v>
      </c>
      <c r="B262" t="s">
        <v>39</v>
      </c>
      <c r="C262" s="32">
        <v>42894</v>
      </c>
      <c r="D262" s="32">
        <v>42896</v>
      </c>
      <c r="E262" t="s">
        <v>40</v>
      </c>
      <c r="F262" s="33" t="s">
        <v>1225</v>
      </c>
      <c r="G262" t="s">
        <v>1226</v>
      </c>
      <c r="H262" t="s">
        <v>17</v>
      </c>
      <c r="I262" t="s">
        <v>43</v>
      </c>
      <c r="J262" t="s">
        <v>523</v>
      </c>
      <c r="K262" t="s">
        <v>87</v>
      </c>
      <c r="L262" s="31">
        <v>75081</v>
      </c>
      <c r="M262" t="s">
        <v>8</v>
      </c>
      <c r="N262" s="33" t="s">
        <v>1227</v>
      </c>
      <c r="O262" t="s">
        <v>21</v>
      </c>
      <c r="P262" t="s">
        <v>1104</v>
      </c>
      <c r="Q262" t="s">
        <v>1228</v>
      </c>
      <c r="R262" s="34">
        <v>23.76</v>
      </c>
      <c r="S262" s="31">
        <v>3</v>
      </c>
      <c r="T262" s="35">
        <v>0.2</v>
      </c>
      <c r="U262" s="31">
        <v>2.079</v>
      </c>
    </row>
    <row r="263" spans="1:21">
      <c r="A263" s="31">
        <v>262</v>
      </c>
      <c r="B263" t="s">
        <v>39</v>
      </c>
      <c r="C263" s="32">
        <v>41997</v>
      </c>
      <c r="D263" s="32">
        <v>41999</v>
      </c>
      <c r="E263" t="s">
        <v>139</v>
      </c>
      <c r="F263" s="33" t="s">
        <v>1229</v>
      </c>
      <c r="G263" t="s">
        <v>1230</v>
      </c>
      <c r="H263" t="s">
        <v>16</v>
      </c>
      <c r="I263" t="s">
        <v>43</v>
      </c>
      <c r="J263" t="s">
        <v>1231</v>
      </c>
      <c r="K263" t="s">
        <v>331</v>
      </c>
      <c r="L263" s="31">
        <v>44105</v>
      </c>
      <c r="M263" t="s">
        <v>9</v>
      </c>
      <c r="N263" s="33" t="s">
        <v>1232</v>
      </c>
      <c r="O263" t="s">
        <v>20</v>
      </c>
      <c r="P263" t="s">
        <v>68</v>
      </c>
      <c r="Q263" t="s">
        <v>1233</v>
      </c>
      <c r="R263" s="34">
        <v>30.36</v>
      </c>
      <c r="S263" s="31">
        <v>5</v>
      </c>
      <c r="T263" s="35">
        <v>0.2</v>
      </c>
      <c r="U263" s="31">
        <v>8.7285</v>
      </c>
    </row>
    <row r="264" spans="1:21">
      <c r="A264" s="31">
        <v>263</v>
      </c>
      <c r="B264" t="s">
        <v>39</v>
      </c>
      <c r="C264" s="32">
        <v>43074</v>
      </c>
      <c r="D264" s="32">
        <v>43077</v>
      </c>
      <c r="E264" t="s">
        <v>139</v>
      </c>
      <c r="F264" s="33" t="s">
        <v>1234</v>
      </c>
      <c r="G264" t="s">
        <v>1235</v>
      </c>
      <c r="H264" t="s">
        <v>16</v>
      </c>
      <c r="I264" t="s">
        <v>43</v>
      </c>
      <c r="J264" t="s">
        <v>330</v>
      </c>
      <c r="K264" t="s">
        <v>188</v>
      </c>
      <c r="L264" s="31">
        <v>47201</v>
      </c>
      <c r="M264" t="s">
        <v>8</v>
      </c>
      <c r="N264" s="33" t="s">
        <v>1236</v>
      </c>
      <c r="O264" t="s">
        <v>21</v>
      </c>
      <c r="P264" t="s">
        <v>89</v>
      </c>
      <c r="Q264" t="s">
        <v>1237</v>
      </c>
      <c r="R264" s="34">
        <v>61.44</v>
      </c>
      <c r="S264" s="31">
        <v>3</v>
      </c>
      <c r="T264" s="35">
        <v>0</v>
      </c>
      <c r="U264" s="31">
        <v>16.5888</v>
      </c>
    </row>
    <row r="265" spans="1:21">
      <c r="A265" s="31">
        <v>264</v>
      </c>
      <c r="B265" t="s">
        <v>56</v>
      </c>
      <c r="C265" s="32">
        <v>42812</v>
      </c>
      <c r="D265" s="32">
        <v>42817</v>
      </c>
      <c r="E265" t="s">
        <v>57</v>
      </c>
      <c r="F265" s="33" t="s">
        <v>1238</v>
      </c>
      <c r="G265" t="s">
        <v>1239</v>
      </c>
      <c r="H265" t="s">
        <v>16</v>
      </c>
      <c r="I265" t="s">
        <v>43</v>
      </c>
      <c r="J265" t="s">
        <v>1240</v>
      </c>
      <c r="K265" t="s">
        <v>87</v>
      </c>
      <c r="L265" s="31">
        <v>75701</v>
      </c>
      <c r="M265" t="s">
        <v>8</v>
      </c>
      <c r="N265" s="33" t="s">
        <v>1241</v>
      </c>
      <c r="O265" t="s">
        <v>21</v>
      </c>
      <c r="P265" t="s">
        <v>89</v>
      </c>
      <c r="Q265" t="s">
        <v>1242</v>
      </c>
      <c r="R265" s="34">
        <v>2.688</v>
      </c>
      <c r="S265" s="31">
        <v>3</v>
      </c>
      <c r="T265" s="35">
        <v>0.8</v>
      </c>
      <c r="U265" s="31">
        <v>-7.392</v>
      </c>
    </row>
    <row r="266" spans="1:21">
      <c r="A266" s="31">
        <v>265</v>
      </c>
      <c r="B266" t="s">
        <v>39</v>
      </c>
      <c r="C266" s="32">
        <v>42693</v>
      </c>
      <c r="D266" s="32">
        <v>42698</v>
      </c>
      <c r="E266" t="s">
        <v>57</v>
      </c>
      <c r="F266" s="33" t="s">
        <v>1243</v>
      </c>
      <c r="G266" t="s">
        <v>1244</v>
      </c>
      <c r="H266" t="s">
        <v>16</v>
      </c>
      <c r="I266" t="s">
        <v>43</v>
      </c>
      <c r="J266" t="s">
        <v>193</v>
      </c>
      <c r="K266" t="s">
        <v>194</v>
      </c>
      <c r="L266" s="31">
        <v>10024</v>
      </c>
      <c r="M266" t="s">
        <v>9</v>
      </c>
      <c r="N266" s="33" t="s">
        <v>1245</v>
      </c>
      <c r="O266" t="s">
        <v>21</v>
      </c>
      <c r="P266" t="s">
        <v>82</v>
      </c>
      <c r="Q266" t="s">
        <v>1246</v>
      </c>
      <c r="R266" s="34">
        <v>14.352</v>
      </c>
      <c r="S266" s="31">
        <v>3</v>
      </c>
      <c r="T266" s="35">
        <v>0.2</v>
      </c>
      <c r="U266" s="31">
        <v>4.6644</v>
      </c>
    </row>
    <row r="267" spans="1:21">
      <c r="A267" s="31">
        <v>266</v>
      </c>
      <c r="B267" t="s">
        <v>56</v>
      </c>
      <c r="C267" s="32">
        <v>43043</v>
      </c>
      <c r="D267" s="32">
        <v>43043</v>
      </c>
      <c r="E267" t="s">
        <v>755</v>
      </c>
      <c r="F267" s="33" t="s">
        <v>1247</v>
      </c>
      <c r="G267" t="s">
        <v>1248</v>
      </c>
      <c r="H267" t="s">
        <v>17</v>
      </c>
      <c r="I267" t="s">
        <v>43</v>
      </c>
      <c r="J267" t="s">
        <v>1249</v>
      </c>
      <c r="K267" t="s">
        <v>73</v>
      </c>
      <c r="L267" s="31">
        <v>27217</v>
      </c>
      <c r="M267" t="s">
        <v>10</v>
      </c>
      <c r="N267" s="33" t="s">
        <v>1250</v>
      </c>
      <c r="O267" t="s">
        <v>22</v>
      </c>
      <c r="P267" t="s">
        <v>610</v>
      </c>
      <c r="Q267" t="s">
        <v>1251</v>
      </c>
      <c r="R267" s="34">
        <v>7999.98</v>
      </c>
      <c r="S267" s="31">
        <v>4</v>
      </c>
      <c r="T267" s="35">
        <v>0.5</v>
      </c>
      <c r="U267" s="31">
        <v>-3839.9904</v>
      </c>
    </row>
    <row r="268" spans="1:21">
      <c r="A268" s="31">
        <v>267</v>
      </c>
      <c r="B268" t="s">
        <v>39</v>
      </c>
      <c r="C268" s="32">
        <v>41825</v>
      </c>
      <c r="D268" s="32">
        <v>41828</v>
      </c>
      <c r="E268" t="s">
        <v>139</v>
      </c>
      <c r="F268" s="33" t="s">
        <v>1252</v>
      </c>
      <c r="G268" t="s">
        <v>1253</v>
      </c>
      <c r="H268" t="s">
        <v>16</v>
      </c>
      <c r="I268" t="s">
        <v>43</v>
      </c>
      <c r="J268" t="s">
        <v>869</v>
      </c>
      <c r="K268" t="s">
        <v>870</v>
      </c>
      <c r="L268" s="31">
        <v>39212</v>
      </c>
      <c r="M268" t="s">
        <v>10</v>
      </c>
      <c r="N268" s="33" t="s">
        <v>1254</v>
      </c>
      <c r="O268" t="s">
        <v>22</v>
      </c>
      <c r="P268" t="s">
        <v>171</v>
      </c>
      <c r="Q268" t="s">
        <v>1255</v>
      </c>
      <c r="R268" s="34">
        <v>479.97</v>
      </c>
      <c r="S268" s="31">
        <v>3</v>
      </c>
      <c r="T268" s="35">
        <v>0</v>
      </c>
      <c r="U268" s="31">
        <v>163.1898</v>
      </c>
    </row>
    <row r="269" spans="1:21">
      <c r="A269" s="31">
        <v>268</v>
      </c>
      <c r="B269" t="s">
        <v>39</v>
      </c>
      <c r="C269" s="32">
        <v>43094</v>
      </c>
      <c r="D269" s="32">
        <v>43098</v>
      </c>
      <c r="E269" t="s">
        <v>57</v>
      </c>
      <c r="F269" s="33" t="s">
        <v>1256</v>
      </c>
      <c r="G269" t="s">
        <v>1257</v>
      </c>
      <c r="H269" t="s">
        <v>16</v>
      </c>
      <c r="I269" t="s">
        <v>43</v>
      </c>
      <c r="J269" t="s">
        <v>193</v>
      </c>
      <c r="K269" t="s">
        <v>194</v>
      </c>
      <c r="L269" s="31">
        <v>10035</v>
      </c>
      <c r="M269" t="s">
        <v>9</v>
      </c>
      <c r="N269" s="33" t="s">
        <v>1258</v>
      </c>
      <c r="O269" t="s">
        <v>20</v>
      </c>
      <c r="P269" t="s">
        <v>47</v>
      </c>
      <c r="Q269" t="s">
        <v>1259</v>
      </c>
      <c r="R269" s="34">
        <v>191.984</v>
      </c>
      <c r="S269" s="31">
        <v>2</v>
      </c>
      <c r="T269" s="35">
        <v>0.2</v>
      </c>
      <c r="U269" s="31">
        <v>4.7996</v>
      </c>
    </row>
    <row r="270" spans="1:21">
      <c r="A270" s="31">
        <v>269</v>
      </c>
      <c r="B270" t="s">
        <v>56</v>
      </c>
      <c r="C270" s="32">
        <v>41811</v>
      </c>
      <c r="D270" s="32">
        <v>41813</v>
      </c>
      <c r="E270" t="s">
        <v>40</v>
      </c>
      <c r="F270" s="33" t="s">
        <v>1260</v>
      </c>
      <c r="G270" t="s">
        <v>1261</v>
      </c>
      <c r="H270" t="s">
        <v>16</v>
      </c>
      <c r="I270" t="s">
        <v>43</v>
      </c>
      <c r="J270" t="s">
        <v>1262</v>
      </c>
      <c r="K270" t="s">
        <v>221</v>
      </c>
      <c r="L270" s="31">
        <v>22980</v>
      </c>
      <c r="M270" t="s">
        <v>10</v>
      </c>
      <c r="N270" s="33" t="s">
        <v>1263</v>
      </c>
      <c r="O270" t="s">
        <v>20</v>
      </c>
      <c r="P270" t="s">
        <v>68</v>
      </c>
      <c r="Q270" t="s">
        <v>1264</v>
      </c>
      <c r="R270" s="34">
        <v>104.01</v>
      </c>
      <c r="S270" s="31">
        <v>1</v>
      </c>
      <c r="T270" s="35">
        <v>0</v>
      </c>
      <c r="U270" s="31">
        <v>14.5614</v>
      </c>
    </row>
    <row r="271" spans="1:21">
      <c r="A271" s="31">
        <v>270</v>
      </c>
      <c r="B271" t="s">
        <v>39</v>
      </c>
      <c r="C271" s="32">
        <v>42091</v>
      </c>
      <c r="D271" s="32">
        <v>42096</v>
      </c>
      <c r="E271" t="s">
        <v>57</v>
      </c>
      <c r="F271" s="33" t="s">
        <v>1265</v>
      </c>
      <c r="G271" t="s">
        <v>1266</v>
      </c>
      <c r="H271" t="s">
        <v>16</v>
      </c>
      <c r="I271" t="s">
        <v>43</v>
      </c>
      <c r="J271" t="s">
        <v>51</v>
      </c>
      <c r="K271" t="s">
        <v>52</v>
      </c>
      <c r="L271" s="31">
        <v>90036</v>
      </c>
      <c r="M271" t="s">
        <v>11</v>
      </c>
      <c r="N271" s="33" t="s">
        <v>1267</v>
      </c>
      <c r="O271" t="s">
        <v>22</v>
      </c>
      <c r="P271" t="s">
        <v>171</v>
      </c>
      <c r="Q271" t="s">
        <v>1268</v>
      </c>
      <c r="R271" s="34">
        <v>166.24</v>
      </c>
      <c r="S271" s="31">
        <v>1</v>
      </c>
      <c r="T271" s="35">
        <v>0</v>
      </c>
      <c r="U271" s="31">
        <v>24.936</v>
      </c>
    </row>
    <row r="272" spans="1:21">
      <c r="A272" s="31">
        <v>271</v>
      </c>
      <c r="B272" t="s">
        <v>39</v>
      </c>
      <c r="C272" s="32">
        <v>42138</v>
      </c>
      <c r="D272" s="32">
        <v>42141</v>
      </c>
      <c r="E272" t="s">
        <v>139</v>
      </c>
      <c r="F272" s="33" t="s">
        <v>1269</v>
      </c>
      <c r="G272" t="s">
        <v>1270</v>
      </c>
      <c r="H272" t="s">
        <v>18</v>
      </c>
      <c r="I272" t="s">
        <v>43</v>
      </c>
      <c r="J272" t="s">
        <v>1271</v>
      </c>
      <c r="K272" t="s">
        <v>119</v>
      </c>
      <c r="L272" s="31">
        <v>19013</v>
      </c>
      <c r="M272" t="s">
        <v>9</v>
      </c>
      <c r="N272" s="33" t="s">
        <v>693</v>
      </c>
      <c r="O272" t="s">
        <v>21</v>
      </c>
      <c r="P272" t="s">
        <v>108</v>
      </c>
      <c r="Q272" t="s">
        <v>694</v>
      </c>
      <c r="R272" s="34">
        <v>198.272</v>
      </c>
      <c r="S272" s="31">
        <v>8</v>
      </c>
      <c r="T272" s="35">
        <v>0.2</v>
      </c>
      <c r="U272" s="31">
        <v>17.3488</v>
      </c>
    </row>
    <row r="273" spans="1:21">
      <c r="A273" s="31">
        <v>272</v>
      </c>
      <c r="B273" t="s">
        <v>39</v>
      </c>
      <c r="C273" s="32">
        <v>42103</v>
      </c>
      <c r="D273" s="32">
        <v>42108</v>
      </c>
      <c r="E273" t="s">
        <v>57</v>
      </c>
      <c r="F273" s="33" t="s">
        <v>1272</v>
      </c>
      <c r="G273" t="s">
        <v>1273</v>
      </c>
      <c r="H273" t="s">
        <v>16</v>
      </c>
      <c r="I273" t="s">
        <v>43</v>
      </c>
      <c r="J273" t="s">
        <v>701</v>
      </c>
      <c r="K273" t="s">
        <v>52</v>
      </c>
      <c r="L273" s="31">
        <v>90805</v>
      </c>
      <c r="M273" t="s">
        <v>11</v>
      </c>
      <c r="N273" s="33" t="s">
        <v>1274</v>
      </c>
      <c r="O273" t="s">
        <v>20</v>
      </c>
      <c r="P273" t="s">
        <v>63</v>
      </c>
      <c r="Q273" t="s">
        <v>1275</v>
      </c>
      <c r="R273" s="34">
        <v>369.912</v>
      </c>
      <c r="S273" s="31">
        <v>3</v>
      </c>
      <c r="T273" s="35">
        <v>0.2</v>
      </c>
      <c r="U273" s="31">
        <v>-13.8717</v>
      </c>
    </row>
    <row r="274" spans="1:21">
      <c r="A274" s="31">
        <v>273</v>
      </c>
      <c r="B274" t="s">
        <v>39</v>
      </c>
      <c r="C274" s="32">
        <v>41894</v>
      </c>
      <c r="D274" s="32">
        <v>41899</v>
      </c>
      <c r="E274" t="s">
        <v>57</v>
      </c>
      <c r="F274" s="33" t="s">
        <v>1276</v>
      </c>
      <c r="G274" t="s">
        <v>1277</v>
      </c>
      <c r="H274" t="s">
        <v>17</v>
      </c>
      <c r="I274" t="s">
        <v>43</v>
      </c>
      <c r="J274" t="s">
        <v>1278</v>
      </c>
      <c r="K274" t="s">
        <v>73</v>
      </c>
      <c r="L274" s="31">
        <v>27511</v>
      </c>
      <c r="M274" t="s">
        <v>10</v>
      </c>
      <c r="N274" s="33" t="s">
        <v>1279</v>
      </c>
      <c r="O274" t="s">
        <v>21</v>
      </c>
      <c r="P274" t="s">
        <v>75</v>
      </c>
      <c r="Q274" t="s">
        <v>1280</v>
      </c>
      <c r="R274" s="34">
        <v>10.368</v>
      </c>
      <c r="S274" s="31">
        <v>2</v>
      </c>
      <c r="T274" s="35">
        <v>0.2</v>
      </c>
      <c r="U274" s="31">
        <v>3.6288</v>
      </c>
    </row>
    <row r="275" spans="1:21">
      <c r="A275" s="31">
        <v>274</v>
      </c>
      <c r="B275" t="s">
        <v>39</v>
      </c>
      <c r="C275" s="32">
        <v>41975</v>
      </c>
      <c r="D275" s="32">
        <v>41977</v>
      </c>
      <c r="E275" t="s">
        <v>139</v>
      </c>
      <c r="F275" s="33" t="s">
        <v>1281</v>
      </c>
      <c r="G275" t="s">
        <v>1282</v>
      </c>
      <c r="H275" t="s">
        <v>16</v>
      </c>
      <c r="I275" t="s">
        <v>43</v>
      </c>
      <c r="J275" t="s">
        <v>193</v>
      </c>
      <c r="K275" t="s">
        <v>194</v>
      </c>
      <c r="L275" s="31">
        <v>10035</v>
      </c>
      <c r="M275" t="s">
        <v>9</v>
      </c>
      <c r="N275" s="33" t="s">
        <v>1283</v>
      </c>
      <c r="O275" t="s">
        <v>22</v>
      </c>
      <c r="P275" t="s">
        <v>171</v>
      </c>
      <c r="Q275" t="s">
        <v>1284</v>
      </c>
      <c r="R275" s="34">
        <v>119.96</v>
      </c>
      <c r="S275" s="31">
        <v>4</v>
      </c>
      <c r="T275" s="35">
        <v>0</v>
      </c>
      <c r="U275" s="31">
        <v>52.7824</v>
      </c>
    </row>
    <row r="276" spans="1:21">
      <c r="A276" s="31">
        <v>275</v>
      </c>
      <c r="B276" t="s">
        <v>39</v>
      </c>
      <c r="C276" s="32">
        <v>41734</v>
      </c>
      <c r="D276" s="32">
        <v>41736</v>
      </c>
      <c r="E276" t="s">
        <v>139</v>
      </c>
      <c r="F276" s="33" t="s">
        <v>1285</v>
      </c>
      <c r="G276" t="s">
        <v>1286</v>
      </c>
      <c r="H276" t="s">
        <v>18</v>
      </c>
      <c r="I276" t="s">
        <v>43</v>
      </c>
      <c r="J276" t="s">
        <v>193</v>
      </c>
      <c r="K276" t="s">
        <v>194</v>
      </c>
      <c r="L276" s="31">
        <v>10035</v>
      </c>
      <c r="M276" t="s">
        <v>9</v>
      </c>
      <c r="N276" s="33" t="s">
        <v>929</v>
      </c>
      <c r="O276" t="s">
        <v>21</v>
      </c>
      <c r="P276" t="s">
        <v>75</v>
      </c>
      <c r="Q276" t="s">
        <v>930</v>
      </c>
      <c r="R276" s="34">
        <v>55.48</v>
      </c>
      <c r="S276" s="31">
        <v>1</v>
      </c>
      <c r="T276" s="35">
        <v>0</v>
      </c>
      <c r="U276" s="31">
        <v>26.6304</v>
      </c>
    </row>
    <row r="277" spans="1:21">
      <c r="A277" s="31">
        <v>276</v>
      </c>
      <c r="B277" t="s">
        <v>39</v>
      </c>
      <c r="C277" s="32">
        <v>42981</v>
      </c>
      <c r="D277" s="32">
        <v>42985</v>
      </c>
      <c r="E277" t="s">
        <v>57</v>
      </c>
      <c r="F277" s="33" t="s">
        <v>1287</v>
      </c>
      <c r="G277" t="s">
        <v>1288</v>
      </c>
      <c r="H277" t="s">
        <v>16</v>
      </c>
      <c r="I277" t="s">
        <v>43</v>
      </c>
      <c r="J277" t="s">
        <v>1289</v>
      </c>
      <c r="K277" t="s">
        <v>61</v>
      </c>
      <c r="L277" s="31">
        <v>32137</v>
      </c>
      <c r="M277" t="s">
        <v>10</v>
      </c>
      <c r="N277" s="33" t="s">
        <v>1290</v>
      </c>
      <c r="O277" t="s">
        <v>21</v>
      </c>
      <c r="P277" t="s">
        <v>149</v>
      </c>
      <c r="Q277" t="s">
        <v>1291</v>
      </c>
      <c r="R277" s="34">
        <v>24.448</v>
      </c>
      <c r="S277" s="31">
        <v>4</v>
      </c>
      <c r="T277" s="35">
        <v>0.2</v>
      </c>
      <c r="U277" s="31">
        <v>8.8624</v>
      </c>
    </row>
    <row r="278" spans="1:21">
      <c r="A278" s="31">
        <v>277</v>
      </c>
      <c r="B278" t="s">
        <v>56</v>
      </c>
      <c r="C278" s="32">
        <v>42874</v>
      </c>
      <c r="D278" s="32">
        <v>42879</v>
      </c>
      <c r="E278" t="s">
        <v>57</v>
      </c>
      <c r="F278" s="33" t="s">
        <v>1292</v>
      </c>
      <c r="G278" t="s">
        <v>1293</v>
      </c>
      <c r="H278" t="s">
        <v>17</v>
      </c>
      <c r="I278" t="s">
        <v>43</v>
      </c>
      <c r="J278" t="s">
        <v>1294</v>
      </c>
      <c r="K278" t="s">
        <v>194</v>
      </c>
      <c r="L278" s="31">
        <v>10550</v>
      </c>
      <c r="M278" t="s">
        <v>9</v>
      </c>
      <c r="N278" s="33" t="s">
        <v>1295</v>
      </c>
      <c r="O278" t="s">
        <v>21</v>
      </c>
      <c r="P278" t="s">
        <v>89</v>
      </c>
      <c r="Q278" t="s">
        <v>1296</v>
      </c>
      <c r="R278" s="34">
        <v>281.34</v>
      </c>
      <c r="S278" s="31">
        <v>6</v>
      </c>
      <c r="T278" s="35">
        <v>0</v>
      </c>
      <c r="U278" s="31">
        <v>109.7226</v>
      </c>
    </row>
    <row r="279" spans="1:21">
      <c r="A279" s="31">
        <v>278</v>
      </c>
      <c r="B279" t="s">
        <v>39</v>
      </c>
      <c r="C279" s="32">
        <v>41650</v>
      </c>
      <c r="D279" s="32">
        <v>41653</v>
      </c>
      <c r="E279" t="s">
        <v>139</v>
      </c>
      <c r="F279" s="33" t="s">
        <v>1297</v>
      </c>
      <c r="G279" t="s">
        <v>1298</v>
      </c>
      <c r="H279" t="s">
        <v>16</v>
      </c>
      <c r="I279" t="s">
        <v>43</v>
      </c>
      <c r="J279" t="s">
        <v>181</v>
      </c>
      <c r="K279" t="s">
        <v>182</v>
      </c>
      <c r="L279" s="31">
        <v>19901</v>
      </c>
      <c r="M279" t="s">
        <v>9</v>
      </c>
      <c r="N279" s="33" t="s">
        <v>1299</v>
      </c>
      <c r="O279" t="s">
        <v>20</v>
      </c>
      <c r="P279" t="s">
        <v>68</v>
      </c>
      <c r="Q279" t="s">
        <v>1300</v>
      </c>
      <c r="R279" s="34">
        <v>9.94</v>
      </c>
      <c r="S279" s="31">
        <v>2</v>
      </c>
      <c r="T279" s="35">
        <v>0</v>
      </c>
      <c r="U279" s="31">
        <v>3.0814</v>
      </c>
    </row>
    <row r="280" spans="1:21">
      <c r="A280" s="31">
        <v>279</v>
      </c>
      <c r="B280" t="s">
        <v>39</v>
      </c>
      <c r="C280" s="32">
        <v>41792</v>
      </c>
      <c r="D280" s="32">
        <v>41797</v>
      </c>
      <c r="E280" t="s">
        <v>57</v>
      </c>
      <c r="F280" s="33" t="s">
        <v>1301</v>
      </c>
      <c r="G280" t="s">
        <v>1302</v>
      </c>
      <c r="H280" t="s">
        <v>18</v>
      </c>
      <c r="I280" t="s">
        <v>43</v>
      </c>
      <c r="J280" t="s">
        <v>125</v>
      </c>
      <c r="K280" t="s">
        <v>101</v>
      </c>
      <c r="L280" s="31">
        <v>84057</v>
      </c>
      <c r="M280" t="s">
        <v>11</v>
      </c>
      <c r="N280" s="33" t="s">
        <v>1303</v>
      </c>
      <c r="O280" t="s">
        <v>21</v>
      </c>
      <c r="P280" t="s">
        <v>82</v>
      </c>
      <c r="Q280" t="s">
        <v>1304</v>
      </c>
      <c r="R280" s="34">
        <v>59.808</v>
      </c>
      <c r="S280" s="31">
        <v>3</v>
      </c>
      <c r="T280" s="35">
        <v>0.2</v>
      </c>
      <c r="U280" s="31">
        <v>19.4376</v>
      </c>
    </row>
    <row r="281" spans="1:21">
      <c r="A281" s="31">
        <v>280</v>
      </c>
      <c r="B281" t="s">
        <v>39</v>
      </c>
      <c r="C281" s="32">
        <v>42413</v>
      </c>
      <c r="D281" s="32">
        <v>42418</v>
      </c>
      <c r="E281" t="s">
        <v>57</v>
      </c>
      <c r="F281" s="33" t="s">
        <v>1305</v>
      </c>
      <c r="G281" t="s">
        <v>1306</v>
      </c>
      <c r="H281" t="s">
        <v>18</v>
      </c>
      <c r="I281" t="s">
        <v>43</v>
      </c>
      <c r="J281" t="s">
        <v>51</v>
      </c>
      <c r="K281" t="s">
        <v>52</v>
      </c>
      <c r="L281" s="31">
        <v>90045</v>
      </c>
      <c r="M281" t="s">
        <v>11</v>
      </c>
      <c r="N281" s="33" t="s">
        <v>1307</v>
      </c>
      <c r="O281" t="s">
        <v>21</v>
      </c>
      <c r="P281" t="s">
        <v>75</v>
      </c>
      <c r="Q281" t="s">
        <v>1308</v>
      </c>
      <c r="R281" s="34">
        <v>146.82</v>
      </c>
      <c r="S281" s="31">
        <v>3</v>
      </c>
      <c r="T281" s="35">
        <v>0</v>
      </c>
      <c r="U281" s="31">
        <v>73.41</v>
      </c>
    </row>
    <row r="282" spans="1:21">
      <c r="A282" s="31">
        <v>281</v>
      </c>
      <c r="B282" t="s">
        <v>39</v>
      </c>
      <c r="C282" s="32">
        <v>41919</v>
      </c>
      <c r="D282" s="32">
        <v>41925</v>
      </c>
      <c r="E282" t="s">
        <v>57</v>
      </c>
      <c r="F282" s="33" t="s">
        <v>1309</v>
      </c>
      <c r="G282" t="s">
        <v>1310</v>
      </c>
      <c r="H282" t="s">
        <v>18</v>
      </c>
      <c r="I282" t="s">
        <v>43</v>
      </c>
      <c r="J282" t="s">
        <v>118</v>
      </c>
      <c r="K282" t="s">
        <v>119</v>
      </c>
      <c r="L282" s="31">
        <v>19140</v>
      </c>
      <c r="M282" t="s">
        <v>9</v>
      </c>
      <c r="N282" s="33" t="s">
        <v>1311</v>
      </c>
      <c r="O282" t="s">
        <v>20</v>
      </c>
      <c r="P282" t="s">
        <v>68</v>
      </c>
      <c r="Q282" t="s">
        <v>1312</v>
      </c>
      <c r="R282" s="34">
        <v>129.92</v>
      </c>
      <c r="S282" s="31">
        <v>5</v>
      </c>
      <c r="T282" s="35">
        <v>0.2</v>
      </c>
      <c r="U282" s="31">
        <v>21.112</v>
      </c>
    </row>
    <row r="283" spans="1:21">
      <c r="A283" s="31">
        <v>282</v>
      </c>
      <c r="B283" t="s">
        <v>39</v>
      </c>
      <c r="C283" s="32">
        <v>42558</v>
      </c>
      <c r="D283" s="32">
        <v>42563</v>
      </c>
      <c r="E283" t="s">
        <v>57</v>
      </c>
      <c r="F283" s="33" t="s">
        <v>1313</v>
      </c>
      <c r="G283" t="s">
        <v>1314</v>
      </c>
      <c r="H283" t="s">
        <v>17</v>
      </c>
      <c r="I283" t="s">
        <v>43</v>
      </c>
      <c r="J283" t="s">
        <v>1315</v>
      </c>
      <c r="K283" t="s">
        <v>61</v>
      </c>
      <c r="L283" s="31">
        <v>33012</v>
      </c>
      <c r="M283" t="s">
        <v>10</v>
      </c>
      <c r="N283" s="33" t="s">
        <v>1316</v>
      </c>
      <c r="O283" t="s">
        <v>21</v>
      </c>
      <c r="P283" t="s">
        <v>1104</v>
      </c>
      <c r="Q283" t="s">
        <v>1317</v>
      </c>
      <c r="R283" s="34">
        <v>45.584</v>
      </c>
      <c r="S283" s="31">
        <v>7</v>
      </c>
      <c r="T283" s="35">
        <v>0.2</v>
      </c>
      <c r="U283" s="31">
        <v>5.1282</v>
      </c>
    </row>
    <row r="284" spans="1:21">
      <c r="A284" s="31">
        <v>283</v>
      </c>
      <c r="B284" t="s">
        <v>39</v>
      </c>
      <c r="C284" s="32">
        <v>42994</v>
      </c>
      <c r="D284" s="32">
        <v>42998</v>
      </c>
      <c r="E284" t="s">
        <v>57</v>
      </c>
      <c r="F284" s="33" t="s">
        <v>1318</v>
      </c>
      <c r="G284" t="s">
        <v>1319</v>
      </c>
      <c r="H284" t="s">
        <v>16</v>
      </c>
      <c r="I284" t="s">
        <v>43</v>
      </c>
      <c r="J284" t="s">
        <v>1320</v>
      </c>
      <c r="K284" t="s">
        <v>87</v>
      </c>
      <c r="L284" s="31">
        <v>78745</v>
      </c>
      <c r="M284" t="s">
        <v>8</v>
      </c>
      <c r="N284" s="33" t="s">
        <v>1321</v>
      </c>
      <c r="O284" t="s">
        <v>21</v>
      </c>
      <c r="P284" t="s">
        <v>149</v>
      </c>
      <c r="Q284" t="s">
        <v>1322</v>
      </c>
      <c r="R284" s="34">
        <v>17.568</v>
      </c>
      <c r="S284" s="31">
        <v>2</v>
      </c>
      <c r="T284" s="35">
        <v>0.2</v>
      </c>
      <c r="U284" s="31">
        <v>6.3684</v>
      </c>
    </row>
    <row r="285" spans="1:21">
      <c r="A285" s="31">
        <v>284</v>
      </c>
      <c r="B285" t="s">
        <v>56</v>
      </c>
      <c r="C285" s="32">
        <v>42707</v>
      </c>
      <c r="D285" s="32">
        <v>42710</v>
      </c>
      <c r="E285" t="s">
        <v>139</v>
      </c>
      <c r="F285" s="33" t="s">
        <v>1323</v>
      </c>
      <c r="G285" t="s">
        <v>1324</v>
      </c>
      <c r="H285" t="s">
        <v>16</v>
      </c>
      <c r="I285" t="s">
        <v>43</v>
      </c>
      <c r="J285" t="s">
        <v>1325</v>
      </c>
      <c r="K285" t="s">
        <v>194</v>
      </c>
      <c r="L285" s="31">
        <v>11572</v>
      </c>
      <c r="M285" t="s">
        <v>9</v>
      </c>
      <c r="N285" s="33" t="s">
        <v>1326</v>
      </c>
      <c r="O285" t="s">
        <v>21</v>
      </c>
      <c r="P285" t="s">
        <v>75</v>
      </c>
      <c r="Q285" t="s">
        <v>1327</v>
      </c>
      <c r="R285" s="34">
        <v>182.72</v>
      </c>
      <c r="S285" s="31">
        <v>8</v>
      </c>
      <c r="T285" s="35">
        <v>0</v>
      </c>
      <c r="U285" s="31">
        <v>84.0512</v>
      </c>
    </row>
    <row r="286" spans="1:21">
      <c r="A286" s="31">
        <v>285</v>
      </c>
      <c r="B286" t="s">
        <v>39</v>
      </c>
      <c r="C286" s="32">
        <v>42756</v>
      </c>
      <c r="D286" s="32">
        <v>42760</v>
      </c>
      <c r="E286" t="s">
        <v>57</v>
      </c>
      <c r="F286" s="33" t="s">
        <v>1328</v>
      </c>
      <c r="G286" t="s">
        <v>1329</v>
      </c>
      <c r="H286" t="s">
        <v>18</v>
      </c>
      <c r="I286" t="s">
        <v>43</v>
      </c>
      <c r="J286" t="s">
        <v>79</v>
      </c>
      <c r="K286" t="s">
        <v>80</v>
      </c>
      <c r="L286" s="31">
        <v>98115</v>
      </c>
      <c r="M286" t="s">
        <v>11</v>
      </c>
      <c r="N286" s="33" t="s">
        <v>1330</v>
      </c>
      <c r="O286" t="s">
        <v>21</v>
      </c>
      <c r="P286" t="s">
        <v>96</v>
      </c>
      <c r="Q286" t="s">
        <v>1331</v>
      </c>
      <c r="R286" s="34">
        <v>242.94</v>
      </c>
      <c r="S286" s="31">
        <v>3</v>
      </c>
      <c r="T286" s="35">
        <v>0</v>
      </c>
      <c r="U286" s="31">
        <v>9.7176</v>
      </c>
    </row>
    <row r="287" spans="1:21">
      <c r="A287" s="31">
        <v>286</v>
      </c>
      <c r="B287" t="s">
        <v>39</v>
      </c>
      <c r="C287" s="32">
        <v>41643</v>
      </c>
      <c r="D287" s="32">
        <v>41647</v>
      </c>
      <c r="E287" t="s">
        <v>57</v>
      </c>
      <c r="F287" s="33" t="s">
        <v>1332</v>
      </c>
      <c r="G287" t="s">
        <v>1333</v>
      </c>
      <c r="H287" t="s">
        <v>18</v>
      </c>
      <c r="I287" t="s">
        <v>43</v>
      </c>
      <c r="J287" t="s">
        <v>153</v>
      </c>
      <c r="K287" t="s">
        <v>154</v>
      </c>
      <c r="L287" s="31">
        <v>60540</v>
      </c>
      <c r="M287" t="s">
        <v>8</v>
      </c>
      <c r="N287" s="33" t="s">
        <v>1334</v>
      </c>
      <c r="O287" t="s">
        <v>21</v>
      </c>
      <c r="P287" t="s">
        <v>54</v>
      </c>
      <c r="Q287" t="s">
        <v>1335</v>
      </c>
      <c r="R287" s="34">
        <v>11.784</v>
      </c>
      <c r="S287" s="31">
        <v>3</v>
      </c>
      <c r="T287" s="35">
        <v>0.2</v>
      </c>
      <c r="U287" s="31">
        <v>4.2717</v>
      </c>
    </row>
    <row r="288" spans="1:21">
      <c r="A288" s="31">
        <v>287</v>
      </c>
      <c r="B288" t="s">
        <v>56</v>
      </c>
      <c r="C288" s="32">
        <v>42609</v>
      </c>
      <c r="D288" s="32">
        <v>42614</v>
      </c>
      <c r="E288" t="s">
        <v>57</v>
      </c>
      <c r="F288" s="33" t="s">
        <v>1336</v>
      </c>
      <c r="G288" t="s">
        <v>1337</v>
      </c>
      <c r="H288" t="s">
        <v>16</v>
      </c>
      <c r="I288" t="s">
        <v>43</v>
      </c>
      <c r="J288" t="s">
        <v>523</v>
      </c>
      <c r="K288" t="s">
        <v>87</v>
      </c>
      <c r="L288" s="31">
        <v>75220</v>
      </c>
      <c r="M288" t="s">
        <v>8</v>
      </c>
      <c r="N288" s="33" t="s">
        <v>1103</v>
      </c>
      <c r="O288" t="s">
        <v>21</v>
      </c>
      <c r="P288" t="s">
        <v>1104</v>
      </c>
      <c r="Q288" t="s">
        <v>1105</v>
      </c>
      <c r="R288" s="34">
        <v>51.52</v>
      </c>
      <c r="S288" s="31">
        <v>5</v>
      </c>
      <c r="T288" s="35">
        <v>0.2</v>
      </c>
      <c r="U288" s="31">
        <v>-10.948</v>
      </c>
    </row>
    <row r="289" spans="1:21">
      <c r="A289" s="31">
        <v>288</v>
      </c>
      <c r="B289" t="s">
        <v>39</v>
      </c>
      <c r="C289" s="32">
        <v>42449</v>
      </c>
      <c r="D289" s="32">
        <v>42451</v>
      </c>
      <c r="E289" t="s">
        <v>40</v>
      </c>
      <c r="F289" s="33" t="s">
        <v>1338</v>
      </c>
      <c r="G289" t="s">
        <v>1339</v>
      </c>
      <c r="H289" t="s">
        <v>16</v>
      </c>
      <c r="I289" t="s">
        <v>43</v>
      </c>
      <c r="J289" t="s">
        <v>1340</v>
      </c>
      <c r="K289" t="s">
        <v>154</v>
      </c>
      <c r="L289" s="31">
        <v>60201</v>
      </c>
      <c r="M289" t="s">
        <v>8</v>
      </c>
      <c r="N289" s="33" t="s">
        <v>1341</v>
      </c>
      <c r="O289" t="s">
        <v>22</v>
      </c>
      <c r="P289" t="s">
        <v>144</v>
      </c>
      <c r="Q289" t="s">
        <v>1342</v>
      </c>
      <c r="R289" s="34">
        <v>11.992</v>
      </c>
      <c r="S289" s="31">
        <v>1</v>
      </c>
      <c r="T289" s="35">
        <v>0.2</v>
      </c>
      <c r="U289" s="31">
        <v>0.8994</v>
      </c>
    </row>
    <row r="290" spans="1:21">
      <c r="A290" s="31">
        <v>289</v>
      </c>
      <c r="B290" t="s">
        <v>39</v>
      </c>
      <c r="C290" s="32">
        <v>43010</v>
      </c>
      <c r="D290" s="32">
        <v>43014</v>
      </c>
      <c r="E290" t="s">
        <v>57</v>
      </c>
      <c r="F290" s="33" t="s">
        <v>1343</v>
      </c>
      <c r="G290" t="s">
        <v>1344</v>
      </c>
      <c r="H290" t="s">
        <v>16</v>
      </c>
      <c r="I290" t="s">
        <v>43</v>
      </c>
      <c r="J290" t="s">
        <v>1345</v>
      </c>
      <c r="K290" t="s">
        <v>176</v>
      </c>
      <c r="L290" s="31">
        <v>48183</v>
      </c>
      <c r="M290" t="s">
        <v>8</v>
      </c>
      <c r="N290" s="33" t="s">
        <v>1346</v>
      </c>
      <c r="O290" t="s">
        <v>21</v>
      </c>
      <c r="P290" t="s">
        <v>82</v>
      </c>
      <c r="Q290" t="s">
        <v>1347</v>
      </c>
      <c r="R290" s="34">
        <v>58.05</v>
      </c>
      <c r="S290" s="31">
        <v>3</v>
      </c>
      <c r="T290" s="35">
        <v>0</v>
      </c>
      <c r="U290" s="31">
        <v>26.703</v>
      </c>
    </row>
    <row r="291" spans="1:21">
      <c r="A291" s="31">
        <v>290</v>
      </c>
      <c r="B291" t="s">
        <v>39</v>
      </c>
      <c r="C291" s="32">
        <v>42467</v>
      </c>
      <c r="D291" s="32">
        <v>42469</v>
      </c>
      <c r="E291" t="s">
        <v>139</v>
      </c>
      <c r="F291" s="33" t="s">
        <v>1348</v>
      </c>
      <c r="G291" t="s">
        <v>1349</v>
      </c>
      <c r="H291" t="s">
        <v>17</v>
      </c>
      <c r="I291" t="s">
        <v>43</v>
      </c>
      <c r="J291" t="s">
        <v>106</v>
      </c>
      <c r="K291" t="s">
        <v>52</v>
      </c>
      <c r="L291" s="31">
        <v>94110</v>
      </c>
      <c r="M291" t="s">
        <v>11</v>
      </c>
      <c r="N291" s="33" t="s">
        <v>1350</v>
      </c>
      <c r="O291" t="s">
        <v>22</v>
      </c>
      <c r="P291" t="s">
        <v>1351</v>
      </c>
      <c r="Q291" t="s">
        <v>1352</v>
      </c>
      <c r="R291" s="34">
        <v>1199.976</v>
      </c>
      <c r="S291" s="31">
        <v>3</v>
      </c>
      <c r="T291" s="35">
        <v>0.2</v>
      </c>
      <c r="U291" s="31">
        <v>374.9925</v>
      </c>
    </row>
    <row r="292" spans="1:21">
      <c r="A292" s="31">
        <v>291</v>
      </c>
      <c r="B292" t="s">
        <v>39</v>
      </c>
      <c r="C292" s="32">
        <v>42002</v>
      </c>
      <c r="D292" s="32">
        <v>42006</v>
      </c>
      <c r="E292" t="s">
        <v>57</v>
      </c>
      <c r="F292" s="33" t="s">
        <v>1353</v>
      </c>
      <c r="G292" t="s">
        <v>1354</v>
      </c>
      <c r="H292" t="s">
        <v>16</v>
      </c>
      <c r="I292" t="s">
        <v>43</v>
      </c>
      <c r="J292" t="s">
        <v>1355</v>
      </c>
      <c r="K292" t="s">
        <v>169</v>
      </c>
      <c r="L292" s="31">
        <v>55016</v>
      </c>
      <c r="M292" t="s">
        <v>8</v>
      </c>
      <c r="N292" s="33" t="s">
        <v>1356</v>
      </c>
      <c r="O292" t="s">
        <v>21</v>
      </c>
      <c r="P292" t="s">
        <v>96</v>
      </c>
      <c r="Q292" t="s">
        <v>1357</v>
      </c>
      <c r="R292" s="34">
        <v>24.56</v>
      </c>
      <c r="S292" s="31">
        <v>2</v>
      </c>
      <c r="T292" s="35">
        <v>0</v>
      </c>
      <c r="U292" s="31">
        <v>6.8768</v>
      </c>
    </row>
    <row r="293" spans="1:21">
      <c r="A293" s="31">
        <v>292</v>
      </c>
      <c r="B293" t="s">
        <v>39</v>
      </c>
      <c r="C293" s="32">
        <v>42939</v>
      </c>
      <c r="D293" s="32">
        <v>42944</v>
      </c>
      <c r="E293" t="s">
        <v>57</v>
      </c>
      <c r="F293" s="33" t="s">
        <v>1358</v>
      </c>
      <c r="G293" t="s">
        <v>1359</v>
      </c>
      <c r="H293" t="s">
        <v>17</v>
      </c>
      <c r="I293" t="s">
        <v>43</v>
      </c>
      <c r="J293" t="s">
        <v>193</v>
      </c>
      <c r="K293" t="s">
        <v>194</v>
      </c>
      <c r="L293" s="31">
        <v>10009</v>
      </c>
      <c r="M293" t="s">
        <v>9</v>
      </c>
      <c r="N293" s="33" t="s">
        <v>1141</v>
      </c>
      <c r="O293" t="s">
        <v>21</v>
      </c>
      <c r="P293" t="s">
        <v>82</v>
      </c>
      <c r="Q293" t="s">
        <v>1142</v>
      </c>
      <c r="R293" s="34">
        <v>13.128</v>
      </c>
      <c r="S293" s="31">
        <v>3</v>
      </c>
      <c r="T293" s="35">
        <v>0.2</v>
      </c>
      <c r="U293" s="31">
        <v>4.2666</v>
      </c>
    </row>
    <row r="294" spans="1:21">
      <c r="A294" s="31">
        <v>293</v>
      </c>
      <c r="B294" t="s">
        <v>39</v>
      </c>
      <c r="C294" s="32">
        <v>42996</v>
      </c>
      <c r="D294" s="32">
        <v>43000</v>
      </c>
      <c r="E294" t="s">
        <v>57</v>
      </c>
      <c r="F294" s="33" t="s">
        <v>1360</v>
      </c>
      <c r="G294" t="s">
        <v>1361</v>
      </c>
      <c r="H294" t="s">
        <v>17</v>
      </c>
      <c r="I294" t="s">
        <v>43</v>
      </c>
      <c r="J294" t="s">
        <v>1042</v>
      </c>
      <c r="K294" t="s">
        <v>94</v>
      </c>
      <c r="L294" s="31">
        <v>54302</v>
      </c>
      <c r="M294" t="s">
        <v>8</v>
      </c>
      <c r="N294" s="33" t="s">
        <v>1362</v>
      </c>
      <c r="O294" t="s">
        <v>21</v>
      </c>
      <c r="P294" t="s">
        <v>75</v>
      </c>
      <c r="Q294" t="s">
        <v>1363</v>
      </c>
      <c r="R294" s="34">
        <v>22.72</v>
      </c>
      <c r="S294" s="31">
        <v>4</v>
      </c>
      <c r="T294" s="35">
        <v>0</v>
      </c>
      <c r="U294" s="31">
        <v>10.224</v>
      </c>
    </row>
    <row r="295" spans="1:21">
      <c r="A295" s="31">
        <v>294</v>
      </c>
      <c r="B295" t="s">
        <v>39</v>
      </c>
      <c r="C295" s="32">
        <v>42043</v>
      </c>
      <c r="D295" s="32">
        <v>42048</v>
      </c>
      <c r="E295" t="s">
        <v>57</v>
      </c>
      <c r="F295" s="33" t="s">
        <v>1364</v>
      </c>
      <c r="G295" t="s">
        <v>1365</v>
      </c>
      <c r="H295" t="s">
        <v>16</v>
      </c>
      <c r="I295" t="s">
        <v>43</v>
      </c>
      <c r="J295" t="s">
        <v>330</v>
      </c>
      <c r="K295" t="s">
        <v>331</v>
      </c>
      <c r="L295" s="31">
        <v>43229</v>
      </c>
      <c r="M295" t="s">
        <v>9</v>
      </c>
      <c r="N295" s="33" t="s">
        <v>1366</v>
      </c>
      <c r="O295" t="s">
        <v>22</v>
      </c>
      <c r="P295" t="s">
        <v>144</v>
      </c>
      <c r="Q295" t="s">
        <v>1367</v>
      </c>
      <c r="R295" s="34">
        <v>107.982</v>
      </c>
      <c r="S295" s="31">
        <v>3</v>
      </c>
      <c r="T295" s="35">
        <v>0.4</v>
      </c>
      <c r="U295" s="31">
        <v>-26.9955</v>
      </c>
    </row>
    <row r="296" spans="1:21">
      <c r="A296" s="31">
        <v>295</v>
      </c>
      <c r="B296" t="s">
        <v>39</v>
      </c>
      <c r="C296" s="32">
        <v>41652</v>
      </c>
      <c r="D296" s="32">
        <v>41654</v>
      </c>
      <c r="E296" t="s">
        <v>40</v>
      </c>
      <c r="F296" s="33" t="s">
        <v>1368</v>
      </c>
      <c r="G296" t="s">
        <v>1369</v>
      </c>
      <c r="H296" t="s">
        <v>17</v>
      </c>
      <c r="I296" t="s">
        <v>43</v>
      </c>
      <c r="J296" t="s">
        <v>1370</v>
      </c>
      <c r="K296" t="s">
        <v>469</v>
      </c>
      <c r="L296" s="31">
        <v>71111</v>
      </c>
      <c r="M296" t="s">
        <v>10</v>
      </c>
      <c r="N296" s="33" t="s">
        <v>435</v>
      </c>
      <c r="O296" t="s">
        <v>21</v>
      </c>
      <c r="P296" t="s">
        <v>149</v>
      </c>
      <c r="Q296" t="s">
        <v>436</v>
      </c>
      <c r="R296" s="34">
        <v>11.36</v>
      </c>
      <c r="S296" s="31">
        <v>2</v>
      </c>
      <c r="T296" s="35">
        <v>0</v>
      </c>
      <c r="U296" s="31">
        <v>5.3392</v>
      </c>
    </row>
    <row r="297" spans="1:21">
      <c r="A297" s="31">
        <v>296</v>
      </c>
      <c r="B297" t="s">
        <v>39</v>
      </c>
      <c r="C297" s="32">
        <v>41773</v>
      </c>
      <c r="D297" s="32">
        <v>41779</v>
      </c>
      <c r="E297" t="s">
        <v>57</v>
      </c>
      <c r="F297" s="33" t="s">
        <v>1371</v>
      </c>
      <c r="G297" t="s">
        <v>1372</v>
      </c>
      <c r="H297" t="s">
        <v>17</v>
      </c>
      <c r="I297" t="s">
        <v>43</v>
      </c>
      <c r="J297" t="s">
        <v>688</v>
      </c>
      <c r="K297" t="s">
        <v>61</v>
      </c>
      <c r="L297" s="31">
        <v>33710</v>
      </c>
      <c r="M297" t="s">
        <v>10</v>
      </c>
      <c r="N297" s="33" t="s">
        <v>1373</v>
      </c>
      <c r="O297" t="s">
        <v>20</v>
      </c>
      <c r="P297" t="s">
        <v>68</v>
      </c>
      <c r="Q297" t="s">
        <v>1374</v>
      </c>
      <c r="R297" s="34">
        <v>310.88</v>
      </c>
      <c r="S297" s="31">
        <v>2</v>
      </c>
      <c r="T297" s="35">
        <v>0.2</v>
      </c>
      <c r="U297" s="31">
        <v>23.316</v>
      </c>
    </row>
    <row r="298" spans="1:21">
      <c r="A298" s="31">
        <v>297</v>
      </c>
      <c r="B298" t="s">
        <v>39</v>
      </c>
      <c r="C298" s="32">
        <v>42765</v>
      </c>
      <c r="D298" s="32">
        <v>42771</v>
      </c>
      <c r="E298" t="s">
        <v>57</v>
      </c>
      <c r="F298" s="33" t="s">
        <v>1375</v>
      </c>
      <c r="G298" t="s">
        <v>1376</v>
      </c>
      <c r="H298" t="s">
        <v>17</v>
      </c>
      <c r="I298" t="s">
        <v>43</v>
      </c>
      <c r="J298" t="s">
        <v>812</v>
      </c>
      <c r="K298" t="s">
        <v>325</v>
      </c>
      <c r="L298" s="31">
        <v>50315</v>
      </c>
      <c r="M298" t="s">
        <v>8</v>
      </c>
      <c r="N298" s="33" t="s">
        <v>1377</v>
      </c>
      <c r="O298" t="s">
        <v>21</v>
      </c>
      <c r="P298" t="s">
        <v>82</v>
      </c>
      <c r="Q298" t="s">
        <v>1378</v>
      </c>
      <c r="R298" s="34">
        <v>18.28</v>
      </c>
      <c r="S298" s="31">
        <v>2</v>
      </c>
      <c r="T298" s="35">
        <v>0</v>
      </c>
      <c r="U298" s="31">
        <v>9.14</v>
      </c>
    </row>
    <row r="299" spans="1:21">
      <c r="A299" s="31">
        <v>298</v>
      </c>
      <c r="B299" t="s">
        <v>39</v>
      </c>
      <c r="C299" s="32">
        <v>41819</v>
      </c>
      <c r="D299" s="32">
        <v>41826</v>
      </c>
      <c r="E299" t="s">
        <v>57</v>
      </c>
      <c r="F299" s="33" t="s">
        <v>1379</v>
      </c>
      <c r="G299" t="s">
        <v>1380</v>
      </c>
      <c r="H299" t="s">
        <v>16</v>
      </c>
      <c r="I299" t="s">
        <v>43</v>
      </c>
      <c r="J299" t="s">
        <v>628</v>
      </c>
      <c r="K299" t="s">
        <v>331</v>
      </c>
      <c r="L299" s="31">
        <v>45231</v>
      </c>
      <c r="M299" t="s">
        <v>9</v>
      </c>
      <c r="N299" s="33" t="s">
        <v>1381</v>
      </c>
      <c r="O299" t="s">
        <v>21</v>
      </c>
      <c r="P299" t="s">
        <v>108</v>
      </c>
      <c r="Q299" t="s">
        <v>1382</v>
      </c>
      <c r="R299" s="34">
        <v>32.76</v>
      </c>
      <c r="S299" s="31">
        <v>7</v>
      </c>
      <c r="T299" s="35">
        <v>0.2</v>
      </c>
      <c r="U299" s="31">
        <v>3.6855</v>
      </c>
    </row>
    <row r="300" spans="1:21">
      <c r="A300" s="31">
        <v>299</v>
      </c>
      <c r="B300" t="s">
        <v>56</v>
      </c>
      <c r="C300" s="32">
        <v>42280</v>
      </c>
      <c r="D300" s="32">
        <v>42283</v>
      </c>
      <c r="E300" t="s">
        <v>40</v>
      </c>
      <c r="F300" s="33" t="s">
        <v>1383</v>
      </c>
      <c r="G300" t="s">
        <v>1384</v>
      </c>
      <c r="H300" t="s">
        <v>16</v>
      </c>
      <c r="I300" t="s">
        <v>43</v>
      </c>
      <c r="J300" t="s">
        <v>330</v>
      </c>
      <c r="K300" t="s">
        <v>331</v>
      </c>
      <c r="L300" s="31">
        <v>43229</v>
      </c>
      <c r="M300" t="s">
        <v>9</v>
      </c>
      <c r="N300" s="33" t="s">
        <v>1385</v>
      </c>
      <c r="O300" t="s">
        <v>21</v>
      </c>
      <c r="P300" t="s">
        <v>82</v>
      </c>
      <c r="Q300" t="s">
        <v>1386</v>
      </c>
      <c r="R300" s="34">
        <v>32.07</v>
      </c>
      <c r="S300" s="31">
        <v>5</v>
      </c>
      <c r="T300" s="35">
        <v>0.7</v>
      </c>
      <c r="U300" s="31">
        <v>-22.449</v>
      </c>
    </row>
    <row r="301" spans="1:21">
      <c r="A301" s="31">
        <v>300</v>
      </c>
      <c r="B301" t="s">
        <v>39</v>
      </c>
      <c r="C301" s="32">
        <v>42350</v>
      </c>
      <c r="D301" s="32">
        <v>42354</v>
      </c>
      <c r="E301" t="s">
        <v>57</v>
      </c>
      <c r="F301" s="33" t="s">
        <v>1387</v>
      </c>
      <c r="G301" t="s">
        <v>1388</v>
      </c>
      <c r="H301" t="s">
        <v>16</v>
      </c>
      <c r="I301" t="s">
        <v>43</v>
      </c>
      <c r="J301" t="s">
        <v>1389</v>
      </c>
      <c r="K301" t="s">
        <v>52</v>
      </c>
      <c r="L301" s="31">
        <v>93534</v>
      </c>
      <c r="M301" t="s">
        <v>11</v>
      </c>
      <c r="N301" s="33" t="s">
        <v>1390</v>
      </c>
      <c r="O301" t="s">
        <v>20</v>
      </c>
      <c r="P301" t="s">
        <v>121</v>
      </c>
      <c r="Q301" t="s">
        <v>1391</v>
      </c>
      <c r="R301" s="34">
        <v>348.928</v>
      </c>
      <c r="S301" s="31">
        <v>2</v>
      </c>
      <c r="T301" s="35">
        <v>0.2</v>
      </c>
      <c r="U301" s="31">
        <v>34.8928</v>
      </c>
    </row>
    <row r="302" spans="1:21">
      <c r="A302" s="31">
        <v>301</v>
      </c>
      <c r="B302" t="s">
        <v>39</v>
      </c>
      <c r="C302" s="32">
        <v>42510</v>
      </c>
      <c r="D302" s="32">
        <v>42510</v>
      </c>
      <c r="E302" t="s">
        <v>755</v>
      </c>
      <c r="F302" s="33" t="s">
        <v>1392</v>
      </c>
      <c r="G302" t="s">
        <v>1393</v>
      </c>
      <c r="H302" t="s">
        <v>16</v>
      </c>
      <c r="I302" t="s">
        <v>43</v>
      </c>
      <c r="J302" t="s">
        <v>1394</v>
      </c>
      <c r="K302" t="s">
        <v>73</v>
      </c>
      <c r="L302" s="31">
        <v>28806</v>
      </c>
      <c r="M302" t="s">
        <v>10</v>
      </c>
      <c r="N302" s="33" t="s">
        <v>1395</v>
      </c>
      <c r="O302" t="s">
        <v>22</v>
      </c>
      <c r="P302" t="s">
        <v>144</v>
      </c>
      <c r="Q302" t="s">
        <v>1396</v>
      </c>
      <c r="R302" s="34">
        <v>1363.96</v>
      </c>
      <c r="S302" s="31">
        <v>5</v>
      </c>
      <c r="T302" s="35">
        <v>0.2</v>
      </c>
      <c r="U302" s="31">
        <v>85.2475</v>
      </c>
    </row>
    <row r="303" spans="1:21">
      <c r="A303" s="31">
        <v>302</v>
      </c>
      <c r="B303" t="s">
        <v>39</v>
      </c>
      <c r="C303" s="32">
        <v>41902</v>
      </c>
      <c r="D303" s="32">
        <v>41908</v>
      </c>
      <c r="E303" t="s">
        <v>57</v>
      </c>
      <c r="F303" s="33" t="s">
        <v>1397</v>
      </c>
      <c r="G303" t="s">
        <v>1398</v>
      </c>
      <c r="H303" t="s">
        <v>16</v>
      </c>
      <c r="I303" t="s">
        <v>43</v>
      </c>
      <c r="J303" t="s">
        <v>106</v>
      </c>
      <c r="K303" t="s">
        <v>52</v>
      </c>
      <c r="L303" s="31">
        <v>94110</v>
      </c>
      <c r="M303" t="s">
        <v>11</v>
      </c>
      <c r="N303" s="33" t="s">
        <v>1399</v>
      </c>
      <c r="O303" t="s">
        <v>21</v>
      </c>
      <c r="P303" t="s">
        <v>54</v>
      </c>
      <c r="Q303" t="s">
        <v>1400</v>
      </c>
      <c r="R303" s="34">
        <v>9.96</v>
      </c>
      <c r="S303" s="31">
        <v>2</v>
      </c>
      <c r="T303" s="35">
        <v>0</v>
      </c>
      <c r="U303" s="31">
        <v>4.5816</v>
      </c>
    </row>
    <row r="304" spans="1:21">
      <c r="A304" s="31">
        <v>303</v>
      </c>
      <c r="B304" t="s">
        <v>39</v>
      </c>
      <c r="C304" s="32">
        <v>42999</v>
      </c>
      <c r="D304" s="32">
        <v>43004</v>
      </c>
      <c r="E304" t="s">
        <v>57</v>
      </c>
      <c r="F304" s="33" t="s">
        <v>1401</v>
      </c>
      <c r="G304" t="s">
        <v>1402</v>
      </c>
      <c r="H304" t="s">
        <v>16</v>
      </c>
      <c r="I304" t="s">
        <v>43</v>
      </c>
      <c r="J304" t="s">
        <v>259</v>
      </c>
      <c r="K304" t="s">
        <v>169</v>
      </c>
      <c r="L304" s="31">
        <v>55901</v>
      </c>
      <c r="M304" t="s">
        <v>8</v>
      </c>
      <c r="N304" s="33" t="s">
        <v>1403</v>
      </c>
      <c r="O304" t="s">
        <v>21</v>
      </c>
      <c r="P304" t="s">
        <v>82</v>
      </c>
      <c r="Q304" t="s">
        <v>1404</v>
      </c>
      <c r="R304" s="34">
        <v>20.16</v>
      </c>
      <c r="S304" s="31">
        <v>7</v>
      </c>
      <c r="T304" s="35">
        <v>0</v>
      </c>
      <c r="U304" s="31">
        <v>9.8784</v>
      </c>
    </row>
    <row r="305" spans="1:21">
      <c r="A305" s="31">
        <v>304</v>
      </c>
      <c r="B305" t="s">
        <v>39</v>
      </c>
      <c r="C305" s="32">
        <v>42335</v>
      </c>
      <c r="D305" s="32">
        <v>42341</v>
      </c>
      <c r="E305" t="s">
        <v>57</v>
      </c>
      <c r="F305" s="33" t="s">
        <v>1405</v>
      </c>
      <c r="G305" t="s">
        <v>1406</v>
      </c>
      <c r="H305" t="s">
        <v>16</v>
      </c>
      <c r="I305" t="s">
        <v>43</v>
      </c>
      <c r="J305" t="s">
        <v>1407</v>
      </c>
      <c r="K305" t="s">
        <v>52</v>
      </c>
      <c r="L305" s="31">
        <v>92530</v>
      </c>
      <c r="M305" t="s">
        <v>11</v>
      </c>
      <c r="N305" s="33" t="s">
        <v>1408</v>
      </c>
      <c r="O305" t="s">
        <v>20</v>
      </c>
      <c r="P305" t="s">
        <v>121</v>
      </c>
      <c r="Q305" t="s">
        <v>1409</v>
      </c>
      <c r="R305" s="34">
        <v>283.92</v>
      </c>
      <c r="S305" s="31">
        <v>5</v>
      </c>
      <c r="T305" s="35">
        <v>0.2</v>
      </c>
      <c r="U305" s="31">
        <v>17.745</v>
      </c>
    </row>
    <row r="306" spans="1:21">
      <c r="A306" s="31">
        <v>305</v>
      </c>
      <c r="B306" t="s">
        <v>39</v>
      </c>
      <c r="C306" s="32">
        <v>42786</v>
      </c>
      <c r="D306" s="32">
        <v>42789</v>
      </c>
      <c r="E306" t="s">
        <v>139</v>
      </c>
      <c r="F306" s="33" t="s">
        <v>1410</v>
      </c>
      <c r="G306" t="s">
        <v>1411</v>
      </c>
      <c r="H306" t="s">
        <v>17</v>
      </c>
      <c r="I306" t="s">
        <v>43</v>
      </c>
      <c r="J306" t="s">
        <v>588</v>
      </c>
      <c r="K306" t="s">
        <v>52</v>
      </c>
      <c r="L306" s="31">
        <v>92105</v>
      </c>
      <c r="M306" t="s">
        <v>11</v>
      </c>
      <c r="N306" s="33" t="s">
        <v>1412</v>
      </c>
      <c r="O306" t="s">
        <v>20</v>
      </c>
      <c r="P306" t="s">
        <v>68</v>
      </c>
      <c r="Q306" t="s">
        <v>1413</v>
      </c>
      <c r="R306" s="34">
        <v>22.23</v>
      </c>
      <c r="S306" s="31">
        <v>1</v>
      </c>
      <c r="T306" s="35">
        <v>0</v>
      </c>
      <c r="U306" s="31">
        <v>7.3359</v>
      </c>
    </row>
    <row r="307" spans="1:21">
      <c r="A307" s="31">
        <v>306</v>
      </c>
      <c r="B307" t="s">
        <v>39</v>
      </c>
      <c r="C307" s="32">
        <v>42441</v>
      </c>
      <c r="D307" s="32">
        <v>42446</v>
      </c>
      <c r="E307" t="s">
        <v>57</v>
      </c>
      <c r="F307" s="33" t="s">
        <v>1414</v>
      </c>
      <c r="G307" t="s">
        <v>1415</v>
      </c>
      <c r="H307" t="s">
        <v>17</v>
      </c>
      <c r="I307" t="s">
        <v>43</v>
      </c>
      <c r="J307" t="s">
        <v>468</v>
      </c>
      <c r="K307" t="s">
        <v>469</v>
      </c>
      <c r="L307" s="31">
        <v>71203</v>
      </c>
      <c r="M307" t="s">
        <v>10</v>
      </c>
      <c r="N307" s="33" t="s">
        <v>1416</v>
      </c>
      <c r="O307" t="s">
        <v>21</v>
      </c>
      <c r="P307" t="s">
        <v>75</v>
      </c>
      <c r="Q307" t="s">
        <v>1417</v>
      </c>
      <c r="R307" s="34">
        <v>12.96</v>
      </c>
      <c r="S307" s="31">
        <v>2</v>
      </c>
      <c r="T307" s="35">
        <v>0</v>
      </c>
      <c r="U307" s="31">
        <v>6.2208</v>
      </c>
    </row>
    <row r="308" spans="1:21">
      <c r="A308" s="31">
        <v>307</v>
      </c>
      <c r="B308" t="s">
        <v>39</v>
      </c>
      <c r="C308" s="32">
        <v>42847</v>
      </c>
      <c r="D308" s="32">
        <v>42849</v>
      </c>
      <c r="E308" t="s">
        <v>139</v>
      </c>
      <c r="F308" s="33" t="s">
        <v>1418</v>
      </c>
      <c r="G308" t="s">
        <v>1419</v>
      </c>
      <c r="H308" t="s">
        <v>16</v>
      </c>
      <c r="I308" t="s">
        <v>43</v>
      </c>
      <c r="J308" t="s">
        <v>106</v>
      </c>
      <c r="K308" t="s">
        <v>52</v>
      </c>
      <c r="L308" s="31">
        <v>94122</v>
      </c>
      <c r="M308" t="s">
        <v>11</v>
      </c>
      <c r="N308" s="33" t="s">
        <v>1420</v>
      </c>
      <c r="O308" t="s">
        <v>20</v>
      </c>
      <c r="P308" t="s">
        <v>68</v>
      </c>
      <c r="Q308" t="s">
        <v>1421</v>
      </c>
      <c r="R308" s="34">
        <v>18.28</v>
      </c>
      <c r="S308" s="31">
        <v>2</v>
      </c>
      <c r="T308" s="35">
        <v>0</v>
      </c>
      <c r="U308" s="31">
        <v>6.2152</v>
      </c>
    </row>
    <row r="309" spans="1:21">
      <c r="A309" s="31">
        <v>308</v>
      </c>
      <c r="B309" t="s">
        <v>39</v>
      </c>
      <c r="C309" s="32">
        <v>42869</v>
      </c>
      <c r="D309" s="32">
        <v>42869</v>
      </c>
      <c r="E309" t="s">
        <v>755</v>
      </c>
      <c r="F309" s="33" t="s">
        <v>1422</v>
      </c>
      <c r="G309" t="s">
        <v>1423</v>
      </c>
      <c r="H309" t="s">
        <v>16</v>
      </c>
      <c r="I309" t="s">
        <v>43</v>
      </c>
      <c r="J309" t="s">
        <v>1424</v>
      </c>
      <c r="K309" t="s">
        <v>52</v>
      </c>
      <c r="L309" s="31">
        <v>92704</v>
      </c>
      <c r="M309" t="s">
        <v>11</v>
      </c>
      <c r="N309" s="33" t="s">
        <v>1420</v>
      </c>
      <c r="O309" t="s">
        <v>20</v>
      </c>
      <c r="P309" t="s">
        <v>68</v>
      </c>
      <c r="Q309" t="s">
        <v>1421</v>
      </c>
      <c r="R309" s="34">
        <v>18.28</v>
      </c>
      <c r="S309" s="31">
        <v>2</v>
      </c>
      <c r="T309" s="35">
        <v>0</v>
      </c>
      <c r="U309" s="31">
        <v>6.2152</v>
      </c>
    </row>
    <row r="310" spans="1:21">
      <c r="A310" s="31">
        <v>309</v>
      </c>
      <c r="B310" t="s">
        <v>39</v>
      </c>
      <c r="C310" s="32">
        <v>42083</v>
      </c>
      <c r="D310" s="32">
        <v>42086</v>
      </c>
      <c r="E310" t="s">
        <v>139</v>
      </c>
      <c r="F310" s="33" t="s">
        <v>1425</v>
      </c>
      <c r="G310" t="s">
        <v>1426</v>
      </c>
      <c r="H310" t="s">
        <v>17</v>
      </c>
      <c r="I310" t="s">
        <v>43</v>
      </c>
      <c r="J310" t="s">
        <v>1427</v>
      </c>
      <c r="K310" t="s">
        <v>94</v>
      </c>
      <c r="L310" s="31">
        <v>53209</v>
      </c>
      <c r="M310" t="s">
        <v>8</v>
      </c>
      <c r="N310" s="33" t="s">
        <v>1428</v>
      </c>
      <c r="O310" t="s">
        <v>21</v>
      </c>
      <c r="P310" t="s">
        <v>75</v>
      </c>
      <c r="Q310" t="s">
        <v>1429</v>
      </c>
      <c r="R310" s="34">
        <v>51.84</v>
      </c>
      <c r="S310" s="31">
        <v>8</v>
      </c>
      <c r="T310" s="35">
        <v>0</v>
      </c>
      <c r="U310" s="31">
        <v>24.8832</v>
      </c>
    </row>
    <row r="311" spans="1:21">
      <c r="A311" s="31">
        <v>310</v>
      </c>
      <c r="B311" t="s">
        <v>39</v>
      </c>
      <c r="C311" s="32">
        <v>42906</v>
      </c>
      <c r="D311" s="32">
        <v>42913</v>
      </c>
      <c r="E311" t="s">
        <v>57</v>
      </c>
      <c r="F311" s="33" t="s">
        <v>1430</v>
      </c>
      <c r="G311" t="s">
        <v>1431</v>
      </c>
      <c r="H311" t="s">
        <v>16</v>
      </c>
      <c r="I311" t="s">
        <v>43</v>
      </c>
      <c r="J311" t="s">
        <v>1432</v>
      </c>
      <c r="K311" t="s">
        <v>504</v>
      </c>
      <c r="L311" s="31">
        <v>7109</v>
      </c>
      <c r="M311" t="s">
        <v>9</v>
      </c>
      <c r="N311" s="33" t="s">
        <v>1433</v>
      </c>
      <c r="O311" t="s">
        <v>22</v>
      </c>
      <c r="P311" t="s">
        <v>171</v>
      </c>
      <c r="Q311" t="s">
        <v>1434</v>
      </c>
      <c r="R311" s="34">
        <v>239.97</v>
      </c>
      <c r="S311" s="31">
        <v>3</v>
      </c>
      <c r="T311" s="35">
        <v>0</v>
      </c>
      <c r="U311" s="31">
        <v>71.991</v>
      </c>
    </row>
    <row r="312" spans="1:21">
      <c r="A312" s="31">
        <v>311</v>
      </c>
      <c r="B312" t="s">
        <v>56</v>
      </c>
      <c r="C312" s="32">
        <v>41768</v>
      </c>
      <c r="D312" s="32">
        <v>41774</v>
      </c>
      <c r="E312" t="s">
        <v>57</v>
      </c>
      <c r="F312" s="33" t="s">
        <v>1435</v>
      </c>
      <c r="G312" t="s">
        <v>1436</v>
      </c>
      <c r="H312" t="s">
        <v>16</v>
      </c>
      <c r="I312" t="s">
        <v>43</v>
      </c>
      <c r="J312" t="s">
        <v>106</v>
      </c>
      <c r="K312" t="s">
        <v>52</v>
      </c>
      <c r="L312" s="31">
        <v>94110</v>
      </c>
      <c r="M312" t="s">
        <v>11</v>
      </c>
      <c r="N312" s="33" t="s">
        <v>1437</v>
      </c>
      <c r="O312" t="s">
        <v>22</v>
      </c>
      <c r="P312" t="s">
        <v>171</v>
      </c>
      <c r="Q312" t="s">
        <v>1438</v>
      </c>
      <c r="R312" s="34">
        <v>67.8</v>
      </c>
      <c r="S312" s="31">
        <v>4</v>
      </c>
      <c r="T312" s="35">
        <v>0</v>
      </c>
      <c r="U312" s="31">
        <v>4.068</v>
      </c>
    </row>
    <row r="313" spans="1:21">
      <c r="A313" s="31">
        <v>312</v>
      </c>
      <c r="B313" t="s">
        <v>56</v>
      </c>
      <c r="C313" s="32">
        <v>43043</v>
      </c>
      <c r="D313" s="32">
        <v>43050</v>
      </c>
      <c r="E313" t="s">
        <v>57</v>
      </c>
      <c r="F313" s="33" t="s">
        <v>1439</v>
      </c>
      <c r="G313" t="s">
        <v>1440</v>
      </c>
      <c r="H313" t="s">
        <v>18</v>
      </c>
      <c r="I313" t="s">
        <v>43</v>
      </c>
      <c r="J313" t="s">
        <v>563</v>
      </c>
      <c r="K313" t="s">
        <v>231</v>
      </c>
      <c r="L313" s="31">
        <v>38401</v>
      </c>
      <c r="M313" t="s">
        <v>10</v>
      </c>
      <c r="N313" s="33" t="s">
        <v>1441</v>
      </c>
      <c r="O313" t="s">
        <v>21</v>
      </c>
      <c r="P313" t="s">
        <v>75</v>
      </c>
      <c r="Q313" t="s">
        <v>1442</v>
      </c>
      <c r="R313" s="34">
        <v>9.664</v>
      </c>
      <c r="S313" s="31">
        <v>2</v>
      </c>
      <c r="T313" s="35">
        <v>0.2</v>
      </c>
      <c r="U313" s="31">
        <v>3.2616</v>
      </c>
    </row>
    <row r="314" spans="1:21">
      <c r="A314" s="31">
        <v>313</v>
      </c>
      <c r="B314" t="s">
        <v>39</v>
      </c>
      <c r="C314" s="32">
        <v>42328</v>
      </c>
      <c r="D314" s="32">
        <v>42333</v>
      </c>
      <c r="E314" t="s">
        <v>57</v>
      </c>
      <c r="F314" s="33" t="s">
        <v>1443</v>
      </c>
      <c r="G314" t="s">
        <v>1444</v>
      </c>
      <c r="H314" t="s">
        <v>17</v>
      </c>
      <c r="I314" t="s">
        <v>43</v>
      </c>
      <c r="J314" t="s">
        <v>193</v>
      </c>
      <c r="K314" t="s">
        <v>194</v>
      </c>
      <c r="L314" s="31">
        <v>10035</v>
      </c>
      <c r="M314" t="s">
        <v>9</v>
      </c>
      <c r="N314" s="33" t="s">
        <v>1445</v>
      </c>
      <c r="O314" t="s">
        <v>21</v>
      </c>
      <c r="P314" t="s">
        <v>108</v>
      </c>
      <c r="Q314" t="s">
        <v>1446</v>
      </c>
      <c r="R314" s="34">
        <v>60.45</v>
      </c>
      <c r="S314" s="31">
        <v>3</v>
      </c>
      <c r="T314" s="35">
        <v>0</v>
      </c>
      <c r="U314" s="31">
        <v>16.3215</v>
      </c>
    </row>
    <row r="315" spans="1:21">
      <c r="A315" s="31">
        <v>314</v>
      </c>
      <c r="B315" t="s">
        <v>39</v>
      </c>
      <c r="C315" s="32">
        <v>42681</v>
      </c>
      <c r="D315" s="32">
        <v>42683</v>
      </c>
      <c r="E315" t="s">
        <v>139</v>
      </c>
      <c r="F315" s="33" t="s">
        <v>1447</v>
      </c>
      <c r="G315" t="s">
        <v>1448</v>
      </c>
      <c r="H315" t="s">
        <v>17</v>
      </c>
      <c r="I315" t="s">
        <v>43</v>
      </c>
      <c r="J315" t="s">
        <v>51</v>
      </c>
      <c r="K315" t="s">
        <v>52</v>
      </c>
      <c r="L315" s="31">
        <v>90036</v>
      </c>
      <c r="M315" t="s">
        <v>11</v>
      </c>
      <c r="N315" s="33" t="s">
        <v>1449</v>
      </c>
      <c r="O315" t="s">
        <v>21</v>
      </c>
      <c r="P315" t="s">
        <v>82</v>
      </c>
      <c r="Q315" t="s">
        <v>1450</v>
      </c>
      <c r="R315" s="34">
        <v>37.44</v>
      </c>
      <c r="S315" s="31">
        <v>4</v>
      </c>
      <c r="T315" s="35">
        <v>0.2</v>
      </c>
      <c r="U315" s="31">
        <v>11.7</v>
      </c>
    </row>
    <row r="316" spans="1:21">
      <c r="A316" s="31">
        <v>315</v>
      </c>
      <c r="B316" t="s">
        <v>39</v>
      </c>
      <c r="C316" s="32">
        <v>42290</v>
      </c>
      <c r="D316" s="32">
        <v>42294</v>
      </c>
      <c r="E316" t="s">
        <v>57</v>
      </c>
      <c r="F316" s="33" t="s">
        <v>1451</v>
      </c>
      <c r="G316" t="s">
        <v>1452</v>
      </c>
      <c r="H316" t="s">
        <v>16</v>
      </c>
      <c r="I316" t="s">
        <v>43</v>
      </c>
      <c r="J316" t="s">
        <v>1453</v>
      </c>
      <c r="K316" t="s">
        <v>45</v>
      </c>
      <c r="L316" s="31">
        <v>40214</v>
      </c>
      <c r="M316" t="s">
        <v>10</v>
      </c>
      <c r="N316" s="33" t="s">
        <v>1454</v>
      </c>
      <c r="O316" t="s">
        <v>22</v>
      </c>
      <c r="P316" t="s">
        <v>144</v>
      </c>
      <c r="Q316" t="s">
        <v>1455</v>
      </c>
      <c r="R316" s="34">
        <v>83.72</v>
      </c>
      <c r="S316" s="31">
        <v>7</v>
      </c>
      <c r="T316" s="35">
        <v>0</v>
      </c>
      <c r="U316" s="31">
        <v>23.4416</v>
      </c>
    </row>
    <row r="317" spans="1:21">
      <c r="A317" s="31">
        <v>316</v>
      </c>
      <c r="B317" t="s">
        <v>39</v>
      </c>
      <c r="C317" s="32">
        <v>42736</v>
      </c>
      <c r="D317" s="32">
        <v>42741</v>
      </c>
      <c r="E317" t="s">
        <v>57</v>
      </c>
      <c r="F317" s="33" t="s">
        <v>1456</v>
      </c>
      <c r="G317" t="s">
        <v>1457</v>
      </c>
      <c r="H317" t="s">
        <v>16</v>
      </c>
      <c r="I317" t="s">
        <v>43</v>
      </c>
      <c r="J317" t="s">
        <v>1458</v>
      </c>
      <c r="K317" t="s">
        <v>331</v>
      </c>
      <c r="L317" s="31">
        <v>44052</v>
      </c>
      <c r="M317" t="s">
        <v>9</v>
      </c>
      <c r="N317" s="33" t="s">
        <v>1459</v>
      </c>
      <c r="O317" t="s">
        <v>20</v>
      </c>
      <c r="P317" t="s">
        <v>68</v>
      </c>
      <c r="Q317" t="s">
        <v>1460</v>
      </c>
      <c r="R317" s="34">
        <v>48.896</v>
      </c>
      <c r="S317" s="31">
        <v>4</v>
      </c>
      <c r="T317" s="35">
        <v>0.2</v>
      </c>
      <c r="U317" s="31">
        <v>8.5568</v>
      </c>
    </row>
    <row r="318" spans="1:21">
      <c r="A318" s="31">
        <v>317</v>
      </c>
      <c r="B318" t="s">
        <v>39</v>
      </c>
      <c r="C318" s="32">
        <v>41677</v>
      </c>
      <c r="D318" s="32">
        <v>41682</v>
      </c>
      <c r="E318" t="s">
        <v>57</v>
      </c>
      <c r="F318" s="33" t="s">
        <v>1461</v>
      </c>
      <c r="G318" t="s">
        <v>1462</v>
      </c>
      <c r="H318" t="s">
        <v>17</v>
      </c>
      <c r="I318" t="s">
        <v>43</v>
      </c>
      <c r="J318" t="s">
        <v>1463</v>
      </c>
      <c r="K318" t="s">
        <v>504</v>
      </c>
      <c r="L318" s="31">
        <v>7036</v>
      </c>
      <c r="M318" t="s">
        <v>9</v>
      </c>
      <c r="N318" s="33" t="s">
        <v>1464</v>
      </c>
      <c r="O318" t="s">
        <v>22</v>
      </c>
      <c r="P318" t="s">
        <v>171</v>
      </c>
      <c r="Q318" t="s">
        <v>1465</v>
      </c>
      <c r="R318" s="34">
        <v>115.36</v>
      </c>
      <c r="S318" s="31">
        <v>7</v>
      </c>
      <c r="T318" s="35">
        <v>0</v>
      </c>
      <c r="U318" s="31">
        <v>49.6048</v>
      </c>
    </row>
    <row r="319" spans="1:21">
      <c r="A319" s="31">
        <v>318</v>
      </c>
      <c r="B319" t="s">
        <v>39</v>
      </c>
      <c r="C319" s="32">
        <v>42541</v>
      </c>
      <c r="D319" s="32">
        <v>42546</v>
      </c>
      <c r="E319" t="s">
        <v>40</v>
      </c>
      <c r="F319" s="33" t="s">
        <v>1466</v>
      </c>
      <c r="G319" t="s">
        <v>1467</v>
      </c>
      <c r="H319" t="s">
        <v>17</v>
      </c>
      <c r="I319" t="s">
        <v>43</v>
      </c>
      <c r="J319" t="s">
        <v>1468</v>
      </c>
      <c r="K319" t="s">
        <v>52</v>
      </c>
      <c r="L319" s="31">
        <v>93905</v>
      </c>
      <c r="M319" t="s">
        <v>11</v>
      </c>
      <c r="N319" s="33" t="s">
        <v>1469</v>
      </c>
      <c r="O319" t="s">
        <v>21</v>
      </c>
      <c r="P319" t="s">
        <v>108</v>
      </c>
      <c r="Q319" t="s">
        <v>1470</v>
      </c>
      <c r="R319" s="34">
        <v>5.16</v>
      </c>
      <c r="S319" s="31">
        <v>2</v>
      </c>
      <c r="T319" s="35">
        <v>0</v>
      </c>
      <c r="U319" s="31">
        <v>1.3416</v>
      </c>
    </row>
    <row r="320" spans="1:21">
      <c r="A320" s="31">
        <v>319</v>
      </c>
      <c r="B320" t="s">
        <v>39</v>
      </c>
      <c r="C320" s="32">
        <v>41854</v>
      </c>
      <c r="D320" s="32">
        <v>41859</v>
      </c>
      <c r="E320" t="s">
        <v>57</v>
      </c>
      <c r="F320" s="33" t="s">
        <v>1471</v>
      </c>
      <c r="G320" t="s">
        <v>1472</v>
      </c>
      <c r="H320" t="s">
        <v>16</v>
      </c>
      <c r="I320" t="s">
        <v>43</v>
      </c>
      <c r="J320" t="s">
        <v>193</v>
      </c>
      <c r="K320" t="s">
        <v>194</v>
      </c>
      <c r="L320" s="31">
        <v>10035</v>
      </c>
      <c r="M320" t="s">
        <v>9</v>
      </c>
      <c r="N320" s="33" t="s">
        <v>1473</v>
      </c>
      <c r="O320" t="s">
        <v>21</v>
      </c>
      <c r="P320" t="s">
        <v>75</v>
      </c>
      <c r="Q320" t="s">
        <v>1474</v>
      </c>
      <c r="R320" s="34">
        <v>39.96</v>
      </c>
      <c r="S320" s="31">
        <v>2</v>
      </c>
      <c r="T320" s="35">
        <v>0</v>
      </c>
      <c r="U320" s="31">
        <v>18.7812</v>
      </c>
    </row>
    <row r="321" spans="1:21">
      <c r="A321" s="31">
        <v>320</v>
      </c>
      <c r="B321" t="s">
        <v>39</v>
      </c>
      <c r="C321" s="32">
        <v>42835</v>
      </c>
      <c r="D321" s="32">
        <v>42840</v>
      </c>
      <c r="E321" t="s">
        <v>57</v>
      </c>
      <c r="F321" s="33" t="s">
        <v>1475</v>
      </c>
      <c r="G321" t="s">
        <v>1476</v>
      </c>
      <c r="H321" t="s">
        <v>18</v>
      </c>
      <c r="I321" t="s">
        <v>43</v>
      </c>
      <c r="J321" t="s">
        <v>1477</v>
      </c>
      <c r="K321" t="s">
        <v>504</v>
      </c>
      <c r="L321" s="31">
        <v>8901</v>
      </c>
      <c r="M321" t="s">
        <v>9</v>
      </c>
      <c r="N321" s="33" t="s">
        <v>589</v>
      </c>
      <c r="O321" t="s">
        <v>21</v>
      </c>
      <c r="P321" t="s">
        <v>75</v>
      </c>
      <c r="Q321" t="s">
        <v>590</v>
      </c>
      <c r="R321" s="34">
        <v>7.61</v>
      </c>
      <c r="S321" s="31">
        <v>1</v>
      </c>
      <c r="T321" s="35">
        <v>0</v>
      </c>
      <c r="U321" s="31">
        <v>3.5767</v>
      </c>
    </row>
    <row r="322" spans="1:21">
      <c r="A322" s="31">
        <v>321</v>
      </c>
      <c r="B322" t="s">
        <v>39</v>
      </c>
      <c r="C322" s="32">
        <v>41799</v>
      </c>
      <c r="D322" s="32">
        <v>41806</v>
      </c>
      <c r="E322" t="s">
        <v>57</v>
      </c>
      <c r="F322" s="33" t="s">
        <v>1478</v>
      </c>
      <c r="G322" t="s">
        <v>1479</v>
      </c>
      <c r="H322" t="s">
        <v>16</v>
      </c>
      <c r="I322" t="s">
        <v>43</v>
      </c>
      <c r="J322" t="s">
        <v>106</v>
      </c>
      <c r="K322" t="s">
        <v>52</v>
      </c>
      <c r="L322" s="31">
        <v>94122</v>
      </c>
      <c r="M322" t="s">
        <v>11</v>
      </c>
      <c r="N322" s="33" t="s">
        <v>1480</v>
      </c>
      <c r="O322" t="s">
        <v>21</v>
      </c>
      <c r="P322" t="s">
        <v>1104</v>
      </c>
      <c r="Q322" t="s">
        <v>1481</v>
      </c>
      <c r="R322" s="34">
        <v>7.36</v>
      </c>
      <c r="S322" s="31">
        <v>2</v>
      </c>
      <c r="T322" s="35">
        <v>0</v>
      </c>
      <c r="U322" s="31">
        <v>0.1472</v>
      </c>
    </row>
    <row r="323" spans="1:21">
      <c r="A323" s="31">
        <v>322</v>
      </c>
      <c r="B323" t="s">
        <v>39</v>
      </c>
      <c r="C323" s="32">
        <v>41649</v>
      </c>
      <c r="D323" s="32">
        <v>41654</v>
      </c>
      <c r="E323" t="s">
        <v>57</v>
      </c>
      <c r="F323" s="33" t="s">
        <v>1482</v>
      </c>
      <c r="G323" t="s">
        <v>1483</v>
      </c>
      <c r="H323" t="s">
        <v>17</v>
      </c>
      <c r="I323" t="s">
        <v>43</v>
      </c>
      <c r="J323" t="s">
        <v>220</v>
      </c>
      <c r="K323" t="s">
        <v>221</v>
      </c>
      <c r="L323" s="31">
        <v>22153</v>
      </c>
      <c r="M323" t="s">
        <v>10</v>
      </c>
      <c r="N323" s="33" t="s">
        <v>1484</v>
      </c>
      <c r="O323" t="s">
        <v>21</v>
      </c>
      <c r="P323" t="s">
        <v>54</v>
      </c>
      <c r="Q323" t="s">
        <v>1485</v>
      </c>
      <c r="R323" s="34">
        <v>2.89</v>
      </c>
      <c r="S323" s="31">
        <v>1</v>
      </c>
      <c r="T323" s="35">
        <v>0</v>
      </c>
      <c r="U323" s="31">
        <v>1.3583</v>
      </c>
    </row>
    <row r="324" spans="1:21">
      <c r="A324" s="31">
        <v>323</v>
      </c>
      <c r="B324" t="s">
        <v>39</v>
      </c>
      <c r="C324" s="32">
        <v>42642</v>
      </c>
      <c r="D324" s="32">
        <v>42645</v>
      </c>
      <c r="E324" t="s">
        <v>139</v>
      </c>
      <c r="F324" s="33" t="s">
        <v>1486</v>
      </c>
      <c r="G324" t="s">
        <v>1487</v>
      </c>
      <c r="H324" t="s">
        <v>17</v>
      </c>
      <c r="I324" t="s">
        <v>43</v>
      </c>
      <c r="J324" t="s">
        <v>118</v>
      </c>
      <c r="K324" t="s">
        <v>119</v>
      </c>
      <c r="L324" s="31">
        <v>19140</v>
      </c>
      <c r="M324" t="s">
        <v>9</v>
      </c>
      <c r="N324" s="33" t="s">
        <v>1488</v>
      </c>
      <c r="O324" t="s">
        <v>21</v>
      </c>
      <c r="P324" t="s">
        <v>54</v>
      </c>
      <c r="Q324" t="s">
        <v>1489</v>
      </c>
      <c r="R324" s="34">
        <v>15.936</v>
      </c>
      <c r="S324" s="31">
        <v>4</v>
      </c>
      <c r="T324" s="35">
        <v>0.2</v>
      </c>
      <c r="U324" s="31">
        <v>5.1792</v>
      </c>
    </row>
    <row r="325" spans="1:21">
      <c r="A325" s="31">
        <v>324</v>
      </c>
      <c r="B325" t="s">
        <v>39</v>
      </c>
      <c r="C325" s="32">
        <v>41735</v>
      </c>
      <c r="D325" s="32">
        <v>41739</v>
      </c>
      <c r="E325" t="s">
        <v>57</v>
      </c>
      <c r="F325" s="33" t="s">
        <v>1490</v>
      </c>
      <c r="G325" t="s">
        <v>1491</v>
      </c>
      <c r="H325" t="s">
        <v>17</v>
      </c>
      <c r="I325" t="s">
        <v>43</v>
      </c>
      <c r="J325" t="s">
        <v>1389</v>
      </c>
      <c r="K325" t="s">
        <v>119</v>
      </c>
      <c r="L325" s="31">
        <v>17602</v>
      </c>
      <c r="M325" t="s">
        <v>9</v>
      </c>
      <c r="N325" s="33" t="s">
        <v>1492</v>
      </c>
      <c r="O325" t="s">
        <v>21</v>
      </c>
      <c r="P325" t="s">
        <v>82</v>
      </c>
      <c r="Q325" t="s">
        <v>1493</v>
      </c>
      <c r="R325" s="34">
        <v>44.91</v>
      </c>
      <c r="S325" s="31">
        <v>6</v>
      </c>
      <c r="T325" s="35">
        <v>0.7</v>
      </c>
      <c r="U325" s="31">
        <v>-35.928</v>
      </c>
    </row>
    <row r="326" spans="1:21">
      <c r="A326" s="31">
        <v>325</v>
      </c>
      <c r="B326" t="s">
        <v>39</v>
      </c>
      <c r="C326" s="32">
        <v>42616</v>
      </c>
      <c r="D326" s="32">
        <v>42618</v>
      </c>
      <c r="E326" t="s">
        <v>139</v>
      </c>
      <c r="F326" s="33" t="s">
        <v>1494</v>
      </c>
      <c r="G326" t="s">
        <v>1495</v>
      </c>
      <c r="H326" t="s">
        <v>18</v>
      </c>
      <c r="I326" t="s">
        <v>43</v>
      </c>
      <c r="J326" t="s">
        <v>118</v>
      </c>
      <c r="K326" t="s">
        <v>119</v>
      </c>
      <c r="L326" s="31">
        <v>19143</v>
      </c>
      <c r="M326" t="s">
        <v>9</v>
      </c>
      <c r="N326" s="33" t="s">
        <v>1496</v>
      </c>
      <c r="O326" t="s">
        <v>21</v>
      </c>
      <c r="P326" t="s">
        <v>82</v>
      </c>
      <c r="Q326" t="s">
        <v>1497</v>
      </c>
      <c r="R326" s="34">
        <v>1141.47</v>
      </c>
      <c r="S326" s="31">
        <v>5</v>
      </c>
      <c r="T326" s="35">
        <v>0.7</v>
      </c>
      <c r="U326" s="31">
        <v>-760.98</v>
      </c>
    </row>
    <row r="327" spans="1:21">
      <c r="A327" s="31">
        <v>326</v>
      </c>
      <c r="B327" t="s">
        <v>39</v>
      </c>
      <c r="C327" s="32">
        <v>41983</v>
      </c>
      <c r="D327" s="32">
        <v>41988</v>
      </c>
      <c r="E327" t="s">
        <v>57</v>
      </c>
      <c r="F327" s="33" t="s">
        <v>1498</v>
      </c>
      <c r="G327" t="s">
        <v>1499</v>
      </c>
      <c r="H327" t="s">
        <v>16</v>
      </c>
      <c r="I327" t="s">
        <v>43</v>
      </c>
      <c r="J327" t="s">
        <v>193</v>
      </c>
      <c r="K327" t="s">
        <v>194</v>
      </c>
      <c r="L327" s="31">
        <v>10009</v>
      </c>
      <c r="M327" t="s">
        <v>9</v>
      </c>
      <c r="N327" s="33" t="s">
        <v>1500</v>
      </c>
      <c r="O327" t="s">
        <v>21</v>
      </c>
      <c r="P327" t="s">
        <v>75</v>
      </c>
      <c r="Q327" t="s">
        <v>1501</v>
      </c>
      <c r="R327" s="34">
        <v>11.36</v>
      </c>
      <c r="S327" s="31">
        <v>2</v>
      </c>
      <c r="T327" s="35">
        <v>0</v>
      </c>
      <c r="U327" s="31">
        <v>5.2256</v>
      </c>
    </row>
    <row r="328" spans="1:21">
      <c r="A328" s="31">
        <v>327</v>
      </c>
      <c r="B328" t="s">
        <v>56</v>
      </c>
      <c r="C328" s="32">
        <v>41899</v>
      </c>
      <c r="D328" s="32">
        <v>41903</v>
      </c>
      <c r="E328" t="s">
        <v>57</v>
      </c>
      <c r="F328" s="33" t="s">
        <v>1502</v>
      </c>
      <c r="G328" t="s">
        <v>1503</v>
      </c>
      <c r="H328" t="s">
        <v>18</v>
      </c>
      <c r="I328" t="s">
        <v>43</v>
      </c>
      <c r="J328" t="s">
        <v>118</v>
      </c>
      <c r="K328" t="s">
        <v>119</v>
      </c>
      <c r="L328" s="31">
        <v>19120</v>
      </c>
      <c r="M328" t="s">
        <v>9</v>
      </c>
      <c r="N328" s="33" t="s">
        <v>1504</v>
      </c>
      <c r="O328" t="s">
        <v>21</v>
      </c>
      <c r="P328" t="s">
        <v>82</v>
      </c>
      <c r="Q328" t="s">
        <v>1505</v>
      </c>
      <c r="R328" s="34">
        <v>5.892</v>
      </c>
      <c r="S328" s="31">
        <v>4</v>
      </c>
      <c r="T328" s="35">
        <v>0.7</v>
      </c>
      <c r="U328" s="31">
        <v>-4.1244</v>
      </c>
    </row>
    <row r="329" spans="1:21">
      <c r="A329" s="31">
        <v>328</v>
      </c>
      <c r="B329" t="s">
        <v>39</v>
      </c>
      <c r="C329" s="32">
        <v>42665</v>
      </c>
      <c r="D329" s="32">
        <v>42667</v>
      </c>
      <c r="E329" t="s">
        <v>139</v>
      </c>
      <c r="F329" s="33" t="s">
        <v>1506</v>
      </c>
      <c r="G329" t="s">
        <v>1507</v>
      </c>
      <c r="H329" t="s">
        <v>18</v>
      </c>
      <c r="I329" t="s">
        <v>43</v>
      </c>
      <c r="J329" t="s">
        <v>558</v>
      </c>
      <c r="K329" t="s">
        <v>176</v>
      </c>
      <c r="L329" s="31">
        <v>48227</v>
      </c>
      <c r="M329" t="s">
        <v>8</v>
      </c>
      <c r="N329" s="33" t="s">
        <v>1190</v>
      </c>
      <c r="O329" t="s">
        <v>20</v>
      </c>
      <c r="P329" t="s">
        <v>68</v>
      </c>
      <c r="Q329" t="s">
        <v>1191</v>
      </c>
      <c r="R329" s="34">
        <v>31.4</v>
      </c>
      <c r="S329" s="31">
        <v>5</v>
      </c>
      <c r="T329" s="35">
        <v>0</v>
      </c>
      <c r="U329" s="31">
        <v>10.048</v>
      </c>
    </row>
    <row r="330" spans="1:21">
      <c r="A330" s="31">
        <v>329</v>
      </c>
      <c r="B330" t="s">
        <v>39</v>
      </c>
      <c r="C330" s="32">
        <v>41758</v>
      </c>
      <c r="D330" s="32">
        <v>41763</v>
      </c>
      <c r="E330" t="s">
        <v>57</v>
      </c>
      <c r="F330" s="33" t="s">
        <v>1508</v>
      </c>
      <c r="G330" t="s">
        <v>1509</v>
      </c>
      <c r="H330" t="s">
        <v>16</v>
      </c>
      <c r="I330" t="s">
        <v>43</v>
      </c>
      <c r="J330" t="s">
        <v>259</v>
      </c>
      <c r="K330" t="s">
        <v>194</v>
      </c>
      <c r="L330" s="31">
        <v>14609</v>
      </c>
      <c r="M330" t="s">
        <v>9</v>
      </c>
      <c r="N330" s="33" t="s">
        <v>1510</v>
      </c>
      <c r="O330" t="s">
        <v>20</v>
      </c>
      <c r="P330" t="s">
        <v>68</v>
      </c>
      <c r="Q330" t="s">
        <v>1511</v>
      </c>
      <c r="R330" s="34">
        <v>17.46</v>
      </c>
      <c r="S330" s="31">
        <v>2</v>
      </c>
      <c r="T330" s="35">
        <v>0</v>
      </c>
      <c r="U330" s="31">
        <v>5.9364</v>
      </c>
    </row>
    <row r="331" spans="1:21">
      <c r="A331" s="31">
        <v>330</v>
      </c>
      <c r="B331" t="s">
        <v>39</v>
      </c>
      <c r="C331" s="32">
        <v>42119</v>
      </c>
      <c r="D331" s="32">
        <v>42122</v>
      </c>
      <c r="E331" t="s">
        <v>40</v>
      </c>
      <c r="F331" s="33" t="s">
        <v>1512</v>
      </c>
      <c r="G331" t="s">
        <v>1513</v>
      </c>
      <c r="H331" t="s">
        <v>17</v>
      </c>
      <c r="I331" t="s">
        <v>43</v>
      </c>
      <c r="J331" t="s">
        <v>51</v>
      </c>
      <c r="K331" t="s">
        <v>52</v>
      </c>
      <c r="L331" s="31">
        <v>90045</v>
      </c>
      <c r="M331" t="s">
        <v>11</v>
      </c>
      <c r="N331" s="33" t="s">
        <v>1514</v>
      </c>
      <c r="O331" t="s">
        <v>21</v>
      </c>
      <c r="P331" t="s">
        <v>82</v>
      </c>
      <c r="Q331" t="s">
        <v>1515</v>
      </c>
      <c r="R331" s="34">
        <v>13.944</v>
      </c>
      <c r="S331" s="31">
        <v>3</v>
      </c>
      <c r="T331" s="35">
        <v>0.2</v>
      </c>
      <c r="U331" s="31">
        <v>4.5318</v>
      </c>
    </row>
    <row r="332" spans="1:21">
      <c r="A332" s="31">
        <v>331</v>
      </c>
      <c r="B332" t="s">
        <v>39</v>
      </c>
      <c r="C332" s="32">
        <v>43022</v>
      </c>
      <c r="D332" s="32">
        <v>43027</v>
      </c>
      <c r="E332" t="s">
        <v>57</v>
      </c>
      <c r="F332" s="33" t="s">
        <v>1516</v>
      </c>
      <c r="G332" t="s">
        <v>1517</v>
      </c>
      <c r="H332" t="s">
        <v>18</v>
      </c>
      <c r="I332" t="s">
        <v>43</v>
      </c>
      <c r="J332" t="s">
        <v>563</v>
      </c>
      <c r="K332" t="s">
        <v>1518</v>
      </c>
      <c r="L332" s="31">
        <v>21044</v>
      </c>
      <c r="M332" t="s">
        <v>9</v>
      </c>
      <c r="N332" s="33" t="s">
        <v>1519</v>
      </c>
      <c r="O332" t="s">
        <v>21</v>
      </c>
      <c r="P332" t="s">
        <v>82</v>
      </c>
      <c r="Q332" t="s">
        <v>1520</v>
      </c>
      <c r="R332" s="34">
        <v>37.66</v>
      </c>
      <c r="S332" s="31">
        <v>7</v>
      </c>
      <c r="T332" s="35">
        <v>0</v>
      </c>
      <c r="U332" s="31">
        <v>18.4534</v>
      </c>
    </row>
    <row r="333" spans="1:21">
      <c r="A333" s="31">
        <v>332</v>
      </c>
      <c r="B333" t="s">
        <v>39</v>
      </c>
      <c r="C333" s="32">
        <v>42684</v>
      </c>
      <c r="D333" s="32">
        <v>42686</v>
      </c>
      <c r="E333" t="s">
        <v>139</v>
      </c>
      <c r="F333" s="33" t="s">
        <v>1521</v>
      </c>
      <c r="G333" t="s">
        <v>1522</v>
      </c>
      <c r="H333" t="s">
        <v>17</v>
      </c>
      <c r="I333" t="s">
        <v>43</v>
      </c>
      <c r="J333" t="s">
        <v>106</v>
      </c>
      <c r="K333" t="s">
        <v>52</v>
      </c>
      <c r="L333" s="31">
        <v>94122</v>
      </c>
      <c r="M333" t="s">
        <v>11</v>
      </c>
      <c r="N333" s="33" t="s">
        <v>1523</v>
      </c>
      <c r="O333" t="s">
        <v>21</v>
      </c>
      <c r="P333" t="s">
        <v>96</v>
      </c>
      <c r="Q333" t="s">
        <v>1524</v>
      </c>
      <c r="R333" s="34">
        <v>155.82</v>
      </c>
      <c r="S333" s="31">
        <v>7</v>
      </c>
      <c r="T333" s="35">
        <v>0</v>
      </c>
      <c r="U333" s="31">
        <v>42.0714</v>
      </c>
    </row>
    <row r="334" spans="1:21">
      <c r="A334" s="31">
        <v>333</v>
      </c>
      <c r="B334" t="s">
        <v>39</v>
      </c>
      <c r="C334" s="32">
        <v>42646</v>
      </c>
      <c r="D334" s="32">
        <v>42649</v>
      </c>
      <c r="E334" t="s">
        <v>40</v>
      </c>
      <c r="F334" s="33" t="s">
        <v>1525</v>
      </c>
      <c r="G334" t="s">
        <v>1526</v>
      </c>
      <c r="H334" t="s">
        <v>16</v>
      </c>
      <c r="I334" t="s">
        <v>43</v>
      </c>
      <c r="J334" t="s">
        <v>136</v>
      </c>
      <c r="K334" t="s">
        <v>87</v>
      </c>
      <c r="L334" s="31">
        <v>77095</v>
      </c>
      <c r="M334" t="s">
        <v>8</v>
      </c>
      <c r="N334" s="33" t="s">
        <v>1527</v>
      </c>
      <c r="O334" t="s">
        <v>21</v>
      </c>
      <c r="P334" t="s">
        <v>149</v>
      </c>
      <c r="Q334" t="s">
        <v>436</v>
      </c>
      <c r="R334" s="34">
        <v>15.648</v>
      </c>
      <c r="S334" s="31">
        <v>2</v>
      </c>
      <c r="T334" s="35">
        <v>0.2</v>
      </c>
      <c r="U334" s="31">
        <v>5.0856</v>
      </c>
    </row>
    <row r="335" spans="1:21">
      <c r="A335" s="31">
        <v>334</v>
      </c>
      <c r="B335" t="s">
        <v>39</v>
      </c>
      <c r="C335" s="32">
        <v>41891</v>
      </c>
      <c r="D335" s="32">
        <v>41897</v>
      </c>
      <c r="E335" t="s">
        <v>57</v>
      </c>
      <c r="F335" s="33" t="s">
        <v>1528</v>
      </c>
      <c r="G335" t="s">
        <v>1529</v>
      </c>
      <c r="H335" t="s">
        <v>16</v>
      </c>
      <c r="I335" t="s">
        <v>43</v>
      </c>
      <c r="J335" t="s">
        <v>558</v>
      </c>
      <c r="K335" t="s">
        <v>176</v>
      </c>
      <c r="L335" s="31">
        <v>48227</v>
      </c>
      <c r="M335" t="s">
        <v>8</v>
      </c>
      <c r="N335" s="33" t="s">
        <v>949</v>
      </c>
      <c r="O335" t="s">
        <v>21</v>
      </c>
      <c r="P335" t="s">
        <v>54</v>
      </c>
      <c r="Q335" t="s">
        <v>950</v>
      </c>
      <c r="R335" s="34">
        <v>103.6</v>
      </c>
      <c r="S335" s="31">
        <v>7</v>
      </c>
      <c r="T335" s="35">
        <v>0</v>
      </c>
      <c r="U335" s="31">
        <v>51.8</v>
      </c>
    </row>
    <row r="336" spans="1:21">
      <c r="A336" s="31">
        <v>335</v>
      </c>
      <c r="B336" t="s">
        <v>39</v>
      </c>
      <c r="C336" s="32">
        <v>43037</v>
      </c>
      <c r="D336" s="32">
        <v>43039</v>
      </c>
      <c r="E336" t="s">
        <v>40</v>
      </c>
      <c r="F336" s="33" t="s">
        <v>1530</v>
      </c>
      <c r="G336" t="s">
        <v>1531</v>
      </c>
      <c r="H336" t="s">
        <v>17</v>
      </c>
      <c r="I336" t="s">
        <v>43</v>
      </c>
      <c r="J336" t="s">
        <v>906</v>
      </c>
      <c r="K336" t="s">
        <v>194</v>
      </c>
      <c r="L336" s="31">
        <v>13021</v>
      </c>
      <c r="M336" t="s">
        <v>9</v>
      </c>
      <c r="N336" s="33" t="s">
        <v>1532</v>
      </c>
      <c r="O336" t="s">
        <v>21</v>
      </c>
      <c r="P336" t="s">
        <v>75</v>
      </c>
      <c r="Q336" t="s">
        <v>1533</v>
      </c>
      <c r="R336" s="34">
        <v>46.96</v>
      </c>
      <c r="S336" s="31">
        <v>8</v>
      </c>
      <c r="T336" s="35">
        <v>0</v>
      </c>
      <c r="U336" s="31">
        <v>22.5408</v>
      </c>
    </row>
    <row r="337" spans="1:21">
      <c r="A337" s="31">
        <v>336</v>
      </c>
      <c r="B337" t="s">
        <v>56</v>
      </c>
      <c r="C337" s="32">
        <v>42470</v>
      </c>
      <c r="D337" s="32">
        <v>42472</v>
      </c>
      <c r="E337" t="s">
        <v>139</v>
      </c>
      <c r="F337" s="33" t="s">
        <v>1534</v>
      </c>
      <c r="G337" t="s">
        <v>1535</v>
      </c>
      <c r="H337" t="s">
        <v>17</v>
      </c>
      <c r="I337" t="s">
        <v>43</v>
      </c>
      <c r="J337" t="s">
        <v>220</v>
      </c>
      <c r="K337" t="s">
        <v>331</v>
      </c>
      <c r="L337" s="31">
        <v>45503</v>
      </c>
      <c r="M337" t="s">
        <v>9</v>
      </c>
      <c r="N337" s="33" t="s">
        <v>1536</v>
      </c>
      <c r="O337" t="s">
        <v>21</v>
      </c>
      <c r="P337" t="s">
        <v>82</v>
      </c>
      <c r="Q337" t="s">
        <v>1537</v>
      </c>
      <c r="R337" s="34">
        <v>8.904</v>
      </c>
      <c r="S337" s="31">
        <v>2</v>
      </c>
      <c r="T337" s="35">
        <v>0.7</v>
      </c>
      <c r="U337" s="31">
        <v>-6.5296</v>
      </c>
    </row>
    <row r="338" spans="1:21">
      <c r="A338" s="31">
        <v>337</v>
      </c>
      <c r="B338" t="s">
        <v>39</v>
      </c>
      <c r="C338" s="32">
        <v>42980</v>
      </c>
      <c r="D338" s="32">
        <v>42985</v>
      </c>
      <c r="E338" t="s">
        <v>57</v>
      </c>
      <c r="F338" s="33" t="s">
        <v>1538</v>
      </c>
      <c r="G338" t="s">
        <v>1539</v>
      </c>
      <c r="H338" t="s">
        <v>18</v>
      </c>
      <c r="I338" t="s">
        <v>43</v>
      </c>
      <c r="J338" t="s">
        <v>869</v>
      </c>
      <c r="K338" t="s">
        <v>176</v>
      </c>
      <c r="L338" s="31">
        <v>49201</v>
      </c>
      <c r="M338" t="s">
        <v>8</v>
      </c>
      <c r="N338" s="33" t="s">
        <v>1540</v>
      </c>
      <c r="O338" t="s">
        <v>22</v>
      </c>
      <c r="P338" t="s">
        <v>144</v>
      </c>
      <c r="Q338" t="s">
        <v>1541</v>
      </c>
      <c r="R338" s="34">
        <v>1199.8</v>
      </c>
      <c r="S338" s="31">
        <v>4</v>
      </c>
      <c r="T338" s="35">
        <v>0</v>
      </c>
      <c r="U338" s="31">
        <v>323.946</v>
      </c>
    </row>
    <row r="339" spans="1:21">
      <c r="A339" s="31">
        <v>338</v>
      </c>
      <c r="B339" t="s">
        <v>39</v>
      </c>
      <c r="C339" s="32">
        <v>42155</v>
      </c>
      <c r="D339" s="32">
        <v>42162</v>
      </c>
      <c r="E339" t="s">
        <v>57</v>
      </c>
      <c r="F339" s="33" t="s">
        <v>1542</v>
      </c>
      <c r="G339" t="s">
        <v>1543</v>
      </c>
      <c r="H339" t="s">
        <v>18</v>
      </c>
      <c r="I339" t="s">
        <v>43</v>
      </c>
      <c r="J339" t="s">
        <v>1544</v>
      </c>
      <c r="K339" t="s">
        <v>475</v>
      </c>
      <c r="L339" s="31">
        <v>6360</v>
      </c>
      <c r="M339" t="s">
        <v>9</v>
      </c>
      <c r="N339" s="33" t="s">
        <v>1209</v>
      </c>
      <c r="O339" t="s">
        <v>20</v>
      </c>
      <c r="P339" t="s">
        <v>68</v>
      </c>
      <c r="Q339" t="s">
        <v>1210</v>
      </c>
      <c r="R339" s="34">
        <v>22.2</v>
      </c>
      <c r="S339" s="31">
        <v>6</v>
      </c>
      <c r="T339" s="35">
        <v>0</v>
      </c>
      <c r="U339" s="31">
        <v>9.102</v>
      </c>
    </row>
    <row r="340" spans="1:21">
      <c r="A340" s="31">
        <v>339</v>
      </c>
      <c r="B340" t="s">
        <v>39</v>
      </c>
      <c r="C340" s="32">
        <v>42434</v>
      </c>
      <c r="D340" s="32">
        <v>42440</v>
      </c>
      <c r="E340" t="s">
        <v>57</v>
      </c>
      <c r="F340" s="33" t="s">
        <v>1545</v>
      </c>
      <c r="G340" t="s">
        <v>1546</v>
      </c>
      <c r="H340" t="s">
        <v>17</v>
      </c>
      <c r="I340" t="s">
        <v>43</v>
      </c>
      <c r="J340" t="s">
        <v>523</v>
      </c>
      <c r="K340" t="s">
        <v>87</v>
      </c>
      <c r="L340" s="31">
        <v>75220</v>
      </c>
      <c r="M340" t="s">
        <v>8</v>
      </c>
      <c r="N340" s="33" t="s">
        <v>1547</v>
      </c>
      <c r="O340" t="s">
        <v>21</v>
      </c>
      <c r="P340" t="s">
        <v>149</v>
      </c>
      <c r="Q340" t="s">
        <v>1548</v>
      </c>
      <c r="R340" s="34">
        <v>149.352</v>
      </c>
      <c r="S340" s="31">
        <v>3</v>
      </c>
      <c r="T340" s="35">
        <v>0.2</v>
      </c>
      <c r="U340" s="31">
        <v>50.4063</v>
      </c>
    </row>
    <row r="341" spans="1:21">
      <c r="A341" s="31">
        <v>340</v>
      </c>
      <c r="B341" t="s">
        <v>39</v>
      </c>
      <c r="C341" s="32">
        <v>42105</v>
      </c>
      <c r="D341" s="32">
        <v>42109</v>
      </c>
      <c r="E341" t="s">
        <v>57</v>
      </c>
      <c r="F341" s="33" t="s">
        <v>1549</v>
      </c>
      <c r="G341" t="s">
        <v>1550</v>
      </c>
      <c r="H341" t="s">
        <v>16</v>
      </c>
      <c r="I341" t="s">
        <v>43</v>
      </c>
      <c r="J341" t="s">
        <v>193</v>
      </c>
      <c r="K341" t="s">
        <v>194</v>
      </c>
      <c r="L341" s="31">
        <v>10009</v>
      </c>
      <c r="M341" t="s">
        <v>9</v>
      </c>
      <c r="N341" s="33" t="s">
        <v>1551</v>
      </c>
      <c r="O341" t="s">
        <v>22</v>
      </c>
      <c r="P341" t="s">
        <v>171</v>
      </c>
      <c r="Q341" t="s">
        <v>1552</v>
      </c>
      <c r="R341" s="34">
        <v>85.14</v>
      </c>
      <c r="S341" s="31">
        <v>3</v>
      </c>
      <c r="T341" s="35">
        <v>0</v>
      </c>
      <c r="U341" s="31">
        <v>34.9074</v>
      </c>
    </row>
    <row r="342" spans="1:21">
      <c r="A342" s="31">
        <v>341</v>
      </c>
      <c r="B342" t="s">
        <v>39</v>
      </c>
      <c r="C342" s="32">
        <v>42628</v>
      </c>
      <c r="D342" s="32">
        <v>42633</v>
      </c>
      <c r="E342" t="s">
        <v>57</v>
      </c>
      <c r="F342" s="33" t="s">
        <v>1553</v>
      </c>
      <c r="G342" t="s">
        <v>1554</v>
      </c>
      <c r="H342" t="s">
        <v>17</v>
      </c>
      <c r="I342" t="s">
        <v>43</v>
      </c>
      <c r="J342" t="s">
        <v>193</v>
      </c>
      <c r="K342" t="s">
        <v>194</v>
      </c>
      <c r="L342" s="31">
        <v>10011</v>
      </c>
      <c r="M342" t="s">
        <v>9</v>
      </c>
      <c r="N342" s="33" t="s">
        <v>341</v>
      </c>
      <c r="O342" t="s">
        <v>21</v>
      </c>
      <c r="P342" t="s">
        <v>82</v>
      </c>
      <c r="Q342" t="s">
        <v>342</v>
      </c>
      <c r="R342" s="34">
        <v>841.568</v>
      </c>
      <c r="S342" s="31">
        <v>2</v>
      </c>
      <c r="T342" s="35">
        <v>0.2</v>
      </c>
      <c r="U342" s="31">
        <v>294.5488</v>
      </c>
    </row>
    <row r="343" spans="1:21">
      <c r="A343" s="31">
        <v>342</v>
      </c>
      <c r="B343" t="s">
        <v>39</v>
      </c>
      <c r="C343" s="32">
        <v>41895</v>
      </c>
      <c r="D343" s="32">
        <v>41898</v>
      </c>
      <c r="E343" t="s">
        <v>139</v>
      </c>
      <c r="F343" s="33" t="s">
        <v>1555</v>
      </c>
      <c r="G343" t="s">
        <v>1556</v>
      </c>
      <c r="H343" t="s">
        <v>16</v>
      </c>
      <c r="I343" t="s">
        <v>43</v>
      </c>
      <c r="J343" t="s">
        <v>118</v>
      </c>
      <c r="K343" t="s">
        <v>119</v>
      </c>
      <c r="L343" s="31">
        <v>19143</v>
      </c>
      <c r="M343" t="s">
        <v>9</v>
      </c>
      <c r="N343" s="33" t="s">
        <v>1557</v>
      </c>
      <c r="O343" t="s">
        <v>21</v>
      </c>
      <c r="P343" t="s">
        <v>75</v>
      </c>
      <c r="Q343" t="s">
        <v>1558</v>
      </c>
      <c r="R343" s="34">
        <v>15.552</v>
      </c>
      <c r="S343" s="31">
        <v>3</v>
      </c>
      <c r="T343" s="35">
        <v>0.2</v>
      </c>
      <c r="U343" s="31">
        <v>5.4432</v>
      </c>
    </row>
    <row r="344" spans="1:21">
      <c r="A344" s="31">
        <v>343</v>
      </c>
      <c r="B344" t="s">
        <v>39</v>
      </c>
      <c r="C344" s="32">
        <v>42282</v>
      </c>
      <c r="D344" s="32">
        <v>42286</v>
      </c>
      <c r="E344" t="s">
        <v>57</v>
      </c>
      <c r="F344" s="33" t="s">
        <v>1559</v>
      </c>
      <c r="G344" t="s">
        <v>1560</v>
      </c>
      <c r="H344" t="s">
        <v>18</v>
      </c>
      <c r="I344" t="s">
        <v>43</v>
      </c>
      <c r="J344" t="s">
        <v>220</v>
      </c>
      <c r="K344" t="s">
        <v>221</v>
      </c>
      <c r="L344" s="31">
        <v>22153</v>
      </c>
      <c r="M344" t="s">
        <v>10</v>
      </c>
      <c r="N344" s="33" t="s">
        <v>1561</v>
      </c>
      <c r="O344" t="s">
        <v>21</v>
      </c>
      <c r="P344" t="s">
        <v>108</v>
      </c>
      <c r="Q344" t="s">
        <v>1562</v>
      </c>
      <c r="R344" s="34">
        <v>46.2</v>
      </c>
      <c r="S344" s="31">
        <v>4</v>
      </c>
      <c r="T344" s="35">
        <v>0</v>
      </c>
      <c r="U344" s="31">
        <v>12.936</v>
      </c>
    </row>
    <row r="345" spans="1:21">
      <c r="A345" s="31">
        <v>344</v>
      </c>
      <c r="B345" t="s">
        <v>39</v>
      </c>
      <c r="C345" s="32">
        <v>42980</v>
      </c>
      <c r="D345" s="32">
        <v>42984</v>
      </c>
      <c r="E345" t="s">
        <v>57</v>
      </c>
      <c r="F345" s="33" t="s">
        <v>1563</v>
      </c>
      <c r="G345" t="s">
        <v>1564</v>
      </c>
      <c r="H345" t="s">
        <v>16</v>
      </c>
      <c r="I345" t="s">
        <v>43</v>
      </c>
      <c r="J345" t="s">
        <v>118</v>
      </c>
      <c r="K345" t="s">
        <v>119</v>
      </c>
      <c r="L345" s="31">
        <v>19140</v>
      </c>
      <c r="M345" t="s">
        <v>9</v>
      </c>
      <c r="N345" s="33" t="s">
        <v>1565</v>
      </c>
      <c r="O345" t="s">
        <v>21</v>
      </c>
      <c r="P345" t="s">
        <v>75</v>
      </c>
      <c r="Q345" t="s">
        <v>1566</v>
      </c>
      <c r="R345" s="34">
        <v>12.192</v>
      </c>
      <c r="S345" s="31">
        <v>3</v>
      </c>
      <c r="T345" s="35">
        <v>0.2</v>
      </c>
      <c r="U345" s="31">
        <v>4.1148</v>
      </c>
    </row>
    <row r="346" spans="1:21">
      <c r="A346" s="31">
        <v>345</v>
      </c>
      <c r="B346" t="s">
        <v>39</v>
      </c>
      <c r="C346" s="32">
        <v>42541</v>
      </c>
      <c r="D346" s="32">
        <v>42545</v>
      </c>
      <c r="E346" t="s">
        <v>57</v>
      </c>
      <c r="F346" s="33" t="s">
        <v>1567</v>
      </c>
      <c r="G346" t="s">
        <v>1568</v>
      </c>
      <c r="H346" t="s">
        <v>18</v>
      </c>
      <c r="I346" t="s">
        <v>43</v>
      </c>
      <c r="J346" t="s">
        <v>118</v>
      </c>
      <c r="K346" t="s">
        <v>119</v>
      </c>
      <c r="L346" s="31">
        <v>19120</v>
      </c>
      <c r="M346" t="s">
        <v>9</v>
      </c>
      <c r="N346" s="33" t="s">
        <v>1569</v>
      </c>
      <c r="O346" t="s">
        <v>21</v>
      </c>
      <c r="P346" t="s">
        <v>75</v>
      </c>
      <c r="Q346" t="s">
        <v>1570</v>
      </c>
      <c r="R346" s="34">
        <v>45.056</v>
      </c>
      <c r="S346" s="31">
        <v>8</v>
      </c>
      <c r="T346" s="35">
        <v>0.2</v>
      </c>
      <c r="U346" s="31">
        <v>15.2064</v>
      </c>
    </row>
    <row r="347" spans="1:21">
      <c r="A347" s="31">
        <v>346</v>
      </c>
      <c r="B347" t="s">
        <v>39</v>
      </c>
      <c r="C347" s="32">
        <v>42351</v>
      </c>
      <c r="D347" s="32">
        <v>42355</v>
      </c>
      <c r="E347" t="s">
        <v>57</v>
      </c>
      <c r="F347" s="33" t="s">
        <v>1571</v>
      </c>
      <c r="G347" t="s">
        <v>1572</v>
      </c>
      <c r="H347" t="s">
        <v>17</v>
      </c>
      <c r="I347" t="s">
        <v>43</v>
      </c>
      <c r="J347" t="s">
        <v>1573</v>
      </c>
      <c r="K347" t="s">
        <v>52</v>
      </c>
      <c r="L347" s="31">
        <v>92503</v>
      </c>
      <c r="M347" t="s">
        <v>11</v>
      </c>
      <c r="N347" s="33" t="s">
        <v>1574</v>
      </c>
      <c r="O347" t="s">
        <v>21</v>
      </c>
      <c r="P347" t="s">
        <v>75</v>
      </c>
      <c r="Q347" t="s">
        <v>1575</v>
      </c>
      <c r="R347" s="34">
        <v>12.96</v>
      </c>
      <c r="S347" s="31">
        <v>2</v>
      </c>
      <c r="T347" s="35">
        <v>0</v>
      </c>
      <c r="U347" s="31">
        <v>6.2208</v>
      </c>
    </row>
    <row r="348" spans="1:21">
      <c r="A348" s="31">
        <v>347</v>
      </c>
      <c r="B348" t="s">
        <v>39</v>
      </c>
      <c r="C348" s="32">
        <v>42540</v>
      </c>
      <c r="D348" s="32">
        <v>42541</v>
      </c>
      <c r="E348" t="s">
        <v>139</v>
      </c>
      <c r="F348" s="33" t="s">
        <v>1576</v>
      </c>
      <c r="G348" t="s">
        <v>1577</v>
      </c>
      <c r="H348" t="s">
        <v>17</v>
      </c>
      <c r="I348" t="s">
        <v>43</v>
      </c>
      <c r="J348" t="s">
        <v>106</v>
      </c>
      <c r="K348" t="s">
        <v>52</v>
      </c>
      <c r="L348" s="31">
        <v>94110</v>
      </c>
      <c r="M348" t="s">
        <v>11</v>
      </c>
      <c r="N348" s="33" t="s">
        <v>1578</v>
      </c>
      <c r="O348" t="s">
        <v>21</v>
      </c>
      <c r="P348" t="s">
        <v>75</v>
      </c>
      <c r="Q348" t="s">
        <v>1579</v>
      </c>
      <c r="R348" s="34">
        <v>17.12</v>
      </c>
      <c r="S348" s="31">
        <v>2</v>
      </c>
      <c r="T348" s="35">
        <v>0</v>
      </c>
      <c r="U348" s="31">
        <v>8.0464</v>
      </c>
    </row>
    <row r="349" spans="1:21">
      <c r="A349" s="31">
        <v>348</v>
      </c>
      <c r="B349" t="s">
        <v>39</v>
      </c>
      <c r="C349" s="32">
        <v>42828</v>
      </c>
      <c r="D349" s="32">
        <v>42832</v>
      </c>
      <c r="E349" t="s">
        <v>57</v>
      </c>
      <c r="F349" s="33" t="s">
        <v>1580</v>
      </c>
      <c r="G349" t="s">
        <v>1581</v>
      </c>
      <c r="H349" t="s">
        <v>16</v>
      </c>
      <c r="I349" t="s">
        <v>43</v>
      </c>
      <c r="J349" t="s">
        <v>118</v>
      </c>
      <c r="K349" t="s">
        <v>119</v>
      </c>
      <c r="L349" s="31">
        <v>19143</v>
      </c>
      <c r="M349" t="s">
        <v>9</v>
      </c>
      <c r="N349" s="33" t="s">
        <v>1582</v>
      </c>
      <c r="O349" t="s">
        <v>20</v>
      </c>
      <c r="P349" t="s">
        <v>68</v>
      </c>
      <c r="Q349" t="s">
        <v>1583</v>
      </c>
      <c r="R349" s="34">
        <v>25.472</v>
      </c>
      <c r="S349" s="31">
        <v>4</v>
      </c>
      <c r="T349" s="35">
        <v>0.2</v>
      </c>
      <c r="U349" s="31">
        <v>7.6416</v>
      </c>
    </row>
    <row r="350" spans="1:21">
      <c r="A350" s="31">
        <v>349</v>
      </c>
      <c r="B350" t="s">
        <v>39</v>
      </c>
      <c r="C350" s="32">
        <v>43097</v>
      </c>
      <c r="D350" s="32">
        <v>43101</v>
      </c>
      <c r="E350" t="s">
        <v>57</v>
      </c>
      <c r="F350" s="33" t="s">
        <v>1584</v>
      </c>
      <c r="G350" t="s">
        <v>1585</v>
      </c>
      <c r="H350" t="s">
        <v>16</v>
      </c>
      <c r="I350" t="s">
        <v>43</v>
      </c>
      <c r="J350" t="s">
        <v>1586</v>
      </c>
      <c r="K350" t="s">
        <v>87</v>
      </c>
      <c r="L350" s="31">
        <v>78664</v>
      </c>
      <c r="M350" t="s">
        <v>8</v>
      </c>
      <c r="N350" s="33" t="s">
        <v>1587</v>
      </c>
      <c r="O350" t="s">
        <v>21</v>
      </c>
      <c r="P350" t="s">
        <v>108</v>
      </c>
      <c r="Q350" t="s">
        <v>1588</v>
      </c>
      <c r="R350" s="34">
        <v>27.168</v>
      </c>
      <c r="S350" s="31">
        <v>2</v>
      </c>
      <c r="T350" s="35">
        <v>0.2</v>
      </c>
      <c r="U350" s="31">
        <v>2.7168</v>
      </c>
    </row>
    <row r="351" spans="1:21">
      <c r="A351" s="31">
        <v>350</v>
      </c>
      <c r="B351" t="s">
        <v>39</v>
      </c>
      <c r="C351" s="32">
        <v>43069</v>
      </c>
      <c r="D351" s="32">
        <v>43073</v>
      </c>
      <c r="E351" t="s">
        <v>57</v>
      </c>
      <c r="F351" s="33" t="s">
        <v>1589</v>
      </c>
      <c r="G351" t="s">
        <v>1590</v>
      </c>
      <c r="H351" t="s">
        <v>16</v>
      </c>
      <c r="I351" t="s">
        <v>43</v>
      </c>
      <c r="J351" t="s">
        <v>869</v>
      </c>
      <c r="K351" t="s">
        <v>870</v>
      </c>
      <c r="L351" s="31">
        <v>39212</v>
      </c>
      <c r="M351" t="s">
        <v>10</v>
      </c>
      <c r="N351" s="33" t="s">
        <v>201</v>
      </c>
      <c r="O351" t="s">
        <v>21</v>
      </c>
      <c r="P351" t="s">
        <v>96</v>
      </c>
      <c r="Q351" t="s">
        <v>202</v>
      </c>
      <c r="R351" s="34">
        <v>173.8</v>
      </c>
      <c r="S351" s="31">
        <v>5</v>
      </c>
      <c r="T351" s="35">
        <v>0</v>
      </c>
      <c r="U351" s="31">
        <v>43.45</v>
      </c>
    </row>
    <row r="352" spans="1:21">
      <c r="A352" s="31">
        <v>351</v>
      </c>
      <c r="B352" t="s">
        <v>39</v>
      </c>
      <c r="C352" s="32">
        <v>42870</v>
      </c>
      <c r="D352" s="32">
        <v>42873</v>
      </c>
      <c r="E352" t="s">
        <v>40</v>
      </c>
      <c r="F352" s="33" t="s">
        <v>1591</v>
      </c>
      <c r="G352" t="s">
        <v>1592</v>
      </c>
      <c r="H352" t="s">
        <v>16</v>
      </c>
      <c r="I352" t="s">
        <v>43</v>
      </c>
      <c r="J352" t="s">
        <v>359</v>
      </c>
      <c r="K352" t="s">
        <v>215</v>
      </c>
      <c r="L352" s="31">
        <v>85023</v>
      </c>
      <c r="M352" t="s">
        <v>11</v>
      </c>
      <c r="N352" s="33" t="s">
        <v>1593</v>
      </c>
      <c r="O352" t="s">
        <v>22</v>
      </c>
      <c r="P352" t="s">
        <v>144</v>
      </c>
      <c r="Q352" t="s">
        <v>1594</v>
      </c>
      <c r="R352" s="34">
        <v>29.592</v>
      </c>
      <c r="S352" s="31">
        <v>1</v>
      </c>
      <c r="T352" s="35">
        <v>0.2</v>
      </c>
      <c r="U352" s="31">
        <v>2.5893</v>
      </c>
    </row>
    <row r="353" spans="1:21">
      <c r="A353" s="31">
        <v>352</v>
      </c>
      <c r="B353" t="s">
        <v>39</v>
      </c>
      <c r="C353" s="32">
        <v>42269</v>
      </c>
      <c r="D353" s="32">
        <v>42269</v>
      </c>
      <c r="E353" t="s">
        <v>755</v>
      </c>
      <c r="F353" s="33" t="s">
        <v>1595</v>
      </c>
      <c r="G353" t="s">
        <v>1596</v>
      </c>
      <c r="H353" t="s">
        <v>16</v>
      </c>
      <c r="I353" t="s">
        <v>43</v>
      </c>
      <c r="J353" t="s">
        <v>1325</v>
      </c>
      <c r="K353" t="s">
        <v>52</v>
      </c>
      <c r="L353" s="31">
        <v>92054</v>
      </c>
      <c r="M353" t="s">
        <v>11</v>
      </c>
      <c r="N353" s="33" t="s">
        <v>1597</v>
      </c>
      <c r="O353" t="s">
        <v>20</v>
      </c>
      <c r="P353" t="s">
        <v>68</v>
      </c>
      <c r="Q353" t="s">
        <v>1598</v>
      </c>
      <c r="R353" s="34">
        <v>204.6</v>
      </c>
      <c r="S353" s="31">
        <v>2</v>
      </c>
      <c r="T353" s="35">
        <v>0</v>
      </c>
      <c r="U353" s="31">
        <v>53.196</v>
      </c>
    </row>
    <row r="354" spans="1:21">
      <c r="A354" s="31">
        <v>353</v>
      </c>
      <c r="B354" t="s">
        <v>39</v>
      </c>
      <c r="C354" s="32">
        <v>43053</v>
      </c>
      <c r="D354" s="32">
        <v>43058</v>
      </c>
      <c r="E354" t="s">
        <v>57</v>
      </c>
      <c r="F354" s="33" t="s">
        <v>1599</v>
      </c>
      <c r="G354" t="s">
        <v>1600</v>
      </c>
      <c r="H354" t="s">
        <v>17</v>
      </c>
      <c r="I354" t="s">
        <v>43</v>
      </c>
      <c r="J354" t="s">
        <v>106</v>
      </c>
      <c r="K354" t="s">
        <v>52</v>
      </c>
      <c r="L354" s="31">
        <v>94110</v>
      </c>
      <c r="M354" t="s">
        <v>11</v>
      </c>
      <c r="N354" s="33" t="s">
        <v>584</v>
      </c>
      <c r="O354" t="s">
        <v>20</v>
      </c>
      <c r="P354" t="s">
        <v>121</v>
      </c>
      <c r="Q354" t="s">
        <v>585</v>
      </c>
      <c r="R354" s="34">
        <v>321.568</v>
      </c>
      <c r="S354" s="31">
        <v>2</v>
      </c>
      <c r="T354" s="35">
        <v>0.2</v>
      </c>
      <c r="U354" s="31">
        <v>28.1372</v>
      </c>
    </row>
    <row r="355" spans="1:21">
      <c r="A355" s="31">
        <v>354</v>
      </c>
      <c r="B355" t="s">
        <v>39</v>
      </c>
      <c r="C355" s="32">
        <v>42335</v>
      </c>
      <c r="D355" s="32">
        <v>42339</v>
      </c>
      <c r="E355" t="s">
        <v>57</v>
      </c>
      <c r="F355" s="33" t="s">
        <v>1601</v>
      </c>
      <c r="G355" t="s">
        <v>1602</v>
      </c>
      <c r="H355" t="s">
        <v>18</v>
      </c>
      <c r="I355" t="s">
        <v>43</v>
      </c>
      <c r="J355" t="s">
        <v>974</v>
      </c>
      <c r="K355" t="s">
        <v>975</v>
      </c>
      <c r="L355" s="31">
        <v>72701</v>
      </c>
      <c r="M355" t="s">
        <v>10</v>
      </c>
      <c r="N355" s="33" t="s">
        <v>1603</v>
      </c>
      <c r="O355" t="s">
        <v>21</v>
      </c>
      <c r="P355" t="s">
        <v>82</v>
      </c>
      <c r="Q355" t="s">
        <v>1604</v>
      </c>
      <c r="R355" s="34">
        <v>6.24</v>
      </c>
      <c r="S355" s="31">
        <v>2</v>
      </c>
      <c r="T355" s="35">
        <v>0</v>
      </c>
      <c r="U355" s="31">
        <v>3.0576</v>
      </c>
    </row>
    <row r="356" spans="1:21">
      <c r="A356" s="31">
        <v>355</v>
      </c>
      <c r="B356" t="s">
        <v>39</v>
      </c>
      <c r="C356" s="32">
        <v>42834</v>
      </c>
      <c r="D356" s="32">
        <v>42836</v>
      </c>
      <c r="E356" t="s">
        <v>139</v>
      </c>
      <c r="F356" s="33" t="s">
        <v>1605</v>
      </c>
      <c r="G356" t="s">
        <v>1606</v>
      </c>
      <c r="H356" t="s">
        <v>18</v>
      </c>
      <c r="I356" t="s">
        <v>43</v>
      </c>
      <c r="J356" t="s">
        <v>193</v>
      </c>
      <c r="K356" t="s">
        <v>194</v>
      </c>
      <c r="L356" s="31">
        <v>10011</v>
      </c>
      <c r="M356" t="s">
        <v>9</v>
      </c>
      <c r="N356" s="33" t="s">
        <v>1607</v>
      </c>
      <c r="O356" t="s">
        <v>21</v>
      </c>
      <c r="P356" t="s">
        <v>54</v>
      </c>
      <c r="Q356" t="s">
        <v>1608</v>
      </c>
      <c r="R356" s="34">
        <v>9.82</v>
      </c>
      <c r="S356" s="31">
        <v>2</v>
      </c>
      <c r="T356" s="35">
        <v>0</v>
      </c>
      <c r="U356" s="31">
        <v>4.8118</v>
      </c>
    </row>
    <row r="357" spans="1:21">
      <c r="A357" s="31">
        <v>356</v>
      </c>
      <c r="B357" t="s">
        <v>39</v>
      </c>
      <c r="C357" s="32">
        <v>42520</v>
      </c>
      <c r="D357" s="32">
        <v>42521</v>
      </c>
      <c r="E357" t="s">
        <v>139</v>
      </c>
      <c r="F357" s="33" t="s">
        <v>1609</v>
      </c>
      <c r="G357" t="s">
        <v>1610</v>
      </c>
      <c r="H357" t="s">
        <v>16</v>
      </c>
      <c r="I357" t="s">
        <v>43</v>
      </c>
      <c r="J357" t="s">
        <v>345</v>
      </c>
      <c r="K357" t="s">
        <v>73</v>
      </c>
      <c r="L357" s="31">
        <v>28403</v>
      </c>
      <c r="M357" t="s">
        <v>10</v>
      </c>
      <c r="N357" s="33" t="s">
        <v>1141</v>
      </c>
      <c r="O357" t="s">
        <v>21</v>
      </c>
      <c r="P357" t="s">
        <v>82</v>
      </c>
      <c r="Q357" t="s">
        <v>1142</v>
      </c>
      <c r="R357" s="34">
        <v>3.282</v>
      </c>
      <c r="S357" s="31">
        <v>2</v>
      </c>
      <c r="T357" s="35">
        <v>0.7</v>
      </c>
      <c r="U357" s="31">
        <v>-2.6256</v>
      </c>
    </row>
    <row r="358" spans="1:21">
      <c r="A358" s="31">
        <v>357</v>
      </c>
      <c r="B358" t="s">
        <v>39</v>
      </c>
      <c r="C358" s="32">
        <v>41954</v>
      </c>
      <c r="D358" s="32">
        <v>41957</v>
      </c>
      <c r="E358" t="s">
        <v>40</v>
      </c>
      <c r="F358" s="33" t="s">
        <v>1611</v>
      </c>
      <c r="G358" t="s">
        <v>1612</v>
      </c>
      <c r="H358" t="s">
        <v>16</v>
      </c>
      <c r="I358" t="s">
        <v>43</v>
      </c>
      <c r="J358" t="s">
        <v>1453</v>
      </c>
      <c r="K358" t="s">
        <v>305</v>
      </c>
      <c r="L358" s="31">
        <v>80027</v>
      </c>
      <c r="M358" t="s">
        <v>11</v>
      </c>
      <c r="N358" s="33" t="s">
        <v>1613</v>
      </c>
      <c r="O358" t="s">
        <v>21</v>
      </c>
      <c r="P358" t="s">
        <v>108</v>
      </c>
      <c r="Q358" t="s">
        <v>1614</v>
      </c>
      <c r="R358" s="34">
        <v>3.392</v>
      </c>
      <c r="S358" s="31">
        <v>1</v>
      </c>
      <c r="T358" s="35">
        <v>0.2</v>
      </c>
      <c r="U358" s="31">
        <v>0.8056</v>
      </c>
    </row>
    <row r="359" spans="1:21">
      <c r="A359" s="31">
        <v>358</v>
      </c>
      <c r="B359" t="s">
        <v>39</v>
      </c>
      <c r="C359" s="32">
        <v>43007</v>
      </c>
      <c r="D359" s="32">
        <v>43013</v>
      </c>
      <c r="E359" t="s">
        <v>57</v>
      </c>
      <c r="F359" s="33" t="s">
        <v>1615</v>
      </c>
      <c r="G359" t="s">
        <v>1616</v>
      </c>
      <c r="H359" t="s">
        <v>18</v>
      </c>
      <c r="I359" t="s">
        <v>43</v>
      </c>
      <c r="J359" t="s">
        <v>390</v>
      </c>
      <c r="K359" t="s">
        <v>87</v>
      </c>
      <c r="L359" s="31">
        <v>77506</v>
      </c>
      <c r="M359" t="s">
        <v>8</v>
      </c>
      <c r="N359" s="33" t="s">
        <v>1399</v>
      </c>
      <c r="O359" t="s">
        <v>21</v>
      </c>
      <c r="P359" t="s">
        <v>54</v>
      </c>
      <c r="Q359" t="s">
        <v>1400</v>
      </c>
      <c r="R359" s="34">
        <v>7.968</v>
      </c>
      <c r="S359" s="31">
        <v>2</v>
      </c>
      <c r="T359" s="35">
        <v>0.2</v>
      </c>
      <c r="U359" s="31">
        <v>2.5896</v>
      </c>
    </row>
    <row r="360" spans="1:21">
      <c r="A360" s="31">
        <v>359</v>
      </c>
      <c r="B360" t="s">
        <v>39</v>
      </c>
      <c r="C360" s="32">
        <v>42073</v>
      </c>
      <c r="D360" s="32">
        <v>42073</v>
      </c>
      <c r="E360" t="s">
        <v>755</v>
      </c>
      <c r="F360" s="33" t="s">
        <v>1617</v>
      </c>
      <c r="G360" t="s">
        <v>1618</v>
      </c>
      <c r="H360" t="s">
        <v>16</v>
      </c>
      <c r="I360" t="s">
        <v>43</v>
      </c>
      <c r="J360" t="s">
        <v>136</v>
      </c>
      <c r="K360" t="s">
        <v>87</v>
      </c>
      <c r="L360" s="31">
        <v>77041</v>
      </c>
      <c r="M360" t="s">
        <v>8</v>
      </c>
      <c r="N360" s="33" t="s">
        <v>1619</v>
      </c>
      <c r="O360" t="s">
        <v>21</v>
      </c>
      <c r="P360" t="s">
        <v>82</v>
      </c>
      <c r="Q360" t="s">
        <v>1620</v>
      </c>
      <c r="R360" s="34">
        <v>1.112</v>
      </c>
      <c r="S360" s="31">
        <v>2</v>
      </c>
      <c r="T360" s="35">
        <v>0.8</v>
      </c>
      <c r="U360" s="31">
        <v>-1.8904</v>
      </c>
    </row>
    <row r="361" spans="1:21">
      <c r="A361" s="31">
        <v>360</v>
      </c>
      <c r="B361" t="s">
        <v>39</v>
      </c>
      <c r="C361" s="32">
        <v>42092</v>
      </c>
      <c r="D361" s="32">
        <v>42094</v>
      </c>
      <c r="E361" t="s">
        <v>40</v>
      </c>
      <c r="F361" s="33" t="s">
        <v>1621</v>
      </c>
      <c r="G361" t="s">
        <v>1622</v>
      </c>
      <c r="H361" t="s">
        <v>18</v>
      </c>
      <c r="I361" t="s">
        <v>43</v>
      </c>
      <c r="J361" t="s">
        <v>889</v>
      </c>
      <c r="K361" t="s">
        <v>61</v>
      </c>
      <c r="L361" s="31">
        <v>32216</v>
      </c>
      <c r="M361" t="s">
        <v>10</v>
      </c>
      <c r="N361" s="33" t="s">
        <v>1623</v>
      </c>
      <c r="O361" t="s">
        <v>20</v>
      </c>
      <c r="P361" t="s">
        <v>121</v>
      </c>
      <c r="Q361" t="s">
        <v>1624</v>
      </c>
      <c r="R361" s="34">
        <v>1166.92</v>
      </c>
      <c r="S361" s="31">
        <v>5</v>
      </c>
      <c r="T361" s="35">
        <v>0.2</v>
      </c>
      <c r="U361" s="31">
        <v>131.2785</v>
      </c>
    </row>
    <row r="362" spans="1:21">
      <c r="A362" s="31">
        <v>361</v>
      </c>
      <c r="B362" t="s">
        <v>39</v>
      </c>
      <c r="C362" s="32">
        <v>41780</v>
      </c>
      <c r="D362" s="32">
        <v>41784</v>
      </c>
      <c r="E362" t="s">
        <v>57</v>
      </c>
      <c r="F362" s="33" t="s">
        <v>1625</v>
      </c>
      <c r="G362" t="s">
        <v>1626</v>
      </c>
      <c r="H362" t="s">
        <v>17</v>
      </c>
      <c r="I362" t="s">
        <v>43</v>
      </c>
      <c r="J362" t="s">
        <v>1627</v>
      </c>
      <c r="K362" t="s">
        <v>221</v>
      </c>
      <c r="L362" s="31">
        <v>23464</v>
      </c>
      <c r="M362" t="s">
        <v>10</v>
      </c>
      <c r="N362" s="33" t="s">
        <v>1628</v>
      </c>
      <c r="O362" t="s">
        <v>21</v>
      </c>
      <c r="P362" t="s">
        <v>82</v>
      </c>
      <c r="Q362" t="s">
        <v>1629</v>
      </c>
      <c r="R362" s="34">
        <v>2715.93</v>
      </c>
      <c r="S362" s="31">
        <v>7</v>
      </c>
      <c r="T362" s="35">
        <v>0</v>
      </c>
      <c r="U362" s="31">
        <v>1276.4871</v>
      </c>
    </row>
    <row r="363" spans="1:21">
      <c r="A363" s="31">
        <v>362</v>
      </c>
      <c r="B363" t="s">
        <v>39</v>
      </c>
      <c r="C363" s="32">
        <v>42305</v>
      </c>
      <c r="D363" s="32">
        <v>42311</v>
      </c>
      <c r="E363" t="s">
        <v>57</v>
      </c>
      <c r="F363" s="33" t="s">
        <v>1630</v>
      </c>
      <c r="G363" t="s">
        <v>1631</v>
      </c>
      <c r="H363" t="s">
        <v>16</v>
      </c>
      <c r="I363" t="s">
        <v>43</v>
      </c>
      <c r="J363" t="s">
        <v>44</v>
      </c>
      <c r="K363" t="s">
        <v>45</v>
      </c>
      <c r="L363" s="31">
        <v>42420</v>
      </c>
      <c r="M363" t="s">
        <v>10</v>
      </c>
      <c r="N363" s="33" t="s">
        <v>1632</v>
      </c>
      <c r="O363" t="s">
        <v>21</v>
      </c>
      <c r="P363" t="s">
        <v>149</v>
      </c>
      <c r="Q363" t="s">
        <v>1633</v>
      </c>
      <c r="R363" s="34">
        <v>10.67</v>
      </c>
      <c r="S363" s="31">
        <v>1</v>
      </c>
      <c r="T363" s="35">
        <v>0</v>
      </c>
      <c r="U363" s="31">
        <v>4.9082</v>
      </c>
    </row>
    <row r="364" spans="1:21">
      <c r="A364" s="31">
        <v>363</v>
      </c>
      <c r="B364" t="s">
        <v>39</v>
      </c>
      <c r="C364" s="32">
        <v>42243</v>
      </c>
      <c r="D364" s="32">
        <v>42247</v>
      </c>
      <c r="E364" t="s">
        <v>57</v>
      </c>
      <c r="F364" s="33" t="s">
        <v>1634</v>
      </c>
      <c r="G364" t="s">
        <v>1635</v>
      </c>
      <c r="H364" t="s">
        <v>16</v>
      </c>
      <c r="I364" t="s">
        <v>43</v>
      </c>
      <c r="J364" t="s">
        <v>1636</v>
      </c>
      <c r="K364" t="s">
        <v>52</v>
      </c>
      <c r="L364" s="31">
        <v>92563</v>
      </c>
      <c r="M364" t="s">
        <v>11</v>
      </c>
      <c r="N364" s="33" t="s">
        <v>1637</v>
      </c>
      <c r="O364" t="s">
        <v>21</v>
      </c>
      <c r="P364" t="s">
        <v>96</v>
      </c>
      <c r="Q364" t="s">
        <v>1638</v>
      </c>
      <c r="R364" s="34">
        <v>484.65</v>
      </c>
      <c r="S364" s="31">
        <v>3</v>
      </c>
      <c r="T364" s="35">
        <v>0</v>
      </c>
      <c r="U364" s="31">
        <v>92.0835</v>
      </c>
    </row>
    <row r="365" spans="1:21">
      <c r="A365" s="31">
        <v>364</v>
      </c>
      <c r="B365" t="s">
        <v>39</v>
      </c>
      <c r="C365" s="32">
        <v>42314</v>
      </c>
      <c r="D365" s="32">
        <v>42317</v>
      </c>
      <c r="E365" t="s">
        <v>139</v>
      </c>
      <c r="F365" s="33" t="s">
        <v>1639</v>
      </c>
      <c r="G365" t="s">
        <v>1640</v>
      </c>
      <c r="H365" t="s">
        <v>16</v>
      </c>
      <c r="I365" t="s">
        <v>43</v>
      </c>
      <c r="J365" t="s">
        <v>403</v>
      </c>
      <c r="K365" t="s">
        <v>215</v>
      </c>
      <c r="L365" s="31">
        <v>85254</v>
      </c>
      <c r="M365" t="s">
        <v>11</v>
      </c>
      <c r="N365" s="33" t="s">
        <v>1641</v>
      </c>
      <c r="O365" t="s">
        <v>21</v>
      </c>
      <c r="P365" t="s">
        <v>149</v>
      </c>
      <c r="Q365" t="s">
        <v>1642</v>
      </c>
      <c r="R365" s="34">
        <v>7.08</v>
      </c>
      <c r="S365" s="31">
        <v>3</v>
      </c>
      <c r="T365" s="35">
        <v>0.2</v>
      </c>
      <c r="U365" s="31">
        <v>2.478</v>
      </c>
    </row>
    <row r="366" spans="1:21">
      <c r="A366" s="31">
        <v>365</v>
      </c>
      <c r="B366" t="s">
        <v>39</v>
      </c>
      <c r="C366" s="32">
        <v>41967</v>
      </c>
      <c r="D366" s="32">
        <v>41969</v>
      </c>
      <c r="E366" t="s">
        <v>139</v>
      </c>
      <c r="F366" s="33" t="s">
        <v>1643</v>
      </c>
      <c r="G366" t="s">
        <v>1644</v>
      </c>
      <c r="H366" t="s">
        <v>16</v>
      </c>
      <c r="I366" t="s">
        <v>43</v>
      </c>
      <c r="J366" t="s">
        <v>588</v>
      </c>
      <c r="K366" t="s">
        <v>52</v>
      </c>
      <c r="L366" s="31">
        <v>92037</v>
      </c>
      <c r="M366" t="s">
        <v>11</v>
      </c>
      <c r="N366" s="33" t="s">
        <v>1645</v>
      </c>
      <c r="O366" t="s">
        <v>20</v>
      </c>
      <c r="P366" t="s">
        <v>68</v>
      </c>
      <c r="Q366" t="s">
        <v>1646</v>
      </c>
      <c r="R366" s="34">
        <v>151.72</v>
      </c>
      <c r="S366" s="31">
        <v>4</v>
      </c>
      <c r="T366" s="35">
        <v>0</v>
      </c>
      <c r="U366" s="31">
        <v>27.3096</v>
      </c>
    </row>
    <row r="367" spans="1:21">
      <c r="A367" s="31">
        <v>366</v>
      </c>
      <c r="B367" t="s">
        <v>56</v>
      </c>
      <c r="C367" s="32">
        <v>42359</v>
      </c>
      <c r="D367" s="32">
        <v>42362</v>
      </c>
      <c r="E367" t="s">
        <v>40</v>
      </c>
      <c r="F367" s="33" t="s">
        <v>1647</v>
      </c>
      <c r="G367" t="s">
        <v>1648</v>
      </c>
      <c r="H367" t="s">
        <v>16</v>
      </c>
      <c r="I367" t="s">
        <v>43</v>
      </c>
      <c r="J367" t="s">
        <v>79</v>
      </c>
      <c r="K367" t="s">
        <v>80</v>
      </c>
      <c r="L367" s="31">
        <v>98103</v>
      </c>
      <c r="M367" t="s">
        <v>11</v>
      </c>
      <c r="N367" s="33" t="s">
        <v>1649</v>
      </c>
      <c r="O367" t="s">
        <v>20</v>
      </c>
      <c r="P367" t="s">
        <v>63</v>
      </c>
      <c r="Q367" t="s">
        <v>1650</v>
      </c>
      <c r="R367" s="34">
        <v>1618.37</v>
      </c>
      <c r="S367" s="31">
        <v>13</v>
      </c>
      <c r="T367" s="35">
        <v>0</v>
      </c>
      <c r="U367" s="31">
        <v>356.0414</v>
      </c>
    </row>
    <row r="368" spans="1:21">
      <c r="A368" s="31">
        <v>367</v>
      </c>
      <c r="B368" t="s">
        <v>39</v>
      </c>
      <c r="C368" s="32">
        <v>42191</v>
      </c>
      <c r="D368" s="32">
        <v>42195</v>
      </c>
      <c r="E368" t="s">
        <v>57</v>
      </c>
      <c r="F368" s="33" t="s">
        <v>1651</v>
      </c>
      <c r="G368" t="s">
        <v>1652</v>
      </c>
      <c r="H368" t="s">
        <v>17</v>
      </c>
      <c r="I368" t="s">
        <v>43</v>
      </c>
      <c r="J368" t="s">
        <v>193</v>
      </c>
      <c r="K368" t="s">
        <v>194</v>
      </c>
      <c r="L368" s="31">
        <v>10011</v>
      </c>
      <c r="M368" t="s">
        <v>9</v>
      </c>
      <c r="N368" s="33" t="s">
        <v>1653</v>
      </c>
      <c r="O368" t="s">
        <v>20</v>
      </c>
      <c r="P368" t="s">
        <v>68</v>
      </c>
      <c r="Q368" t="s">
        <v>1654</v>
      </c>
      <c r="R368" s="34">
        <v>13.96</v>
      </c>
      <c r="S368" s="31">
        <v>2</v>
      </c>
      <c r="T368" s="35">
        <v>0</v>
      </c>
      <c r="U368" s="31">
        <v>6.7008</v>
      </c>
    </row>
    <row r="369" spans="1:21">
      <c r="A369" s="31">
        <v>368</v>
      </c>
      <c r="B369" t="s">
        <v>39</v>
      </c>
      <c r="C369" s="32">
        <v>43086</v>
      </c>
      <c r="D369" s="32">
        <v>43089</v>
      </c>
      <c r="E369" t="s">
        <v>139</v>
      </c>
      <c r="F369" s="33" t="s">
        <v>1655</v>
      </c>
      <c r="G369" t="s">
        <v>1656</v>
      </c>
      <c r="H369" t="s">
        <v>18</v>
      </c>
      <c r="I369" t="s">
        <v>43</v>
      </c>
      <c r="J369" t="s">
        <v>51</v>
      </c>
      <c r="K369" t="s">
        <v>52</v>
      </c>
      <c r="L369" s="31">
        <v>90045</v>
      </c>
      <c r="M369" t="s">
        <v>11</v>
      </c>
      <c r="N369" s="33" t="s">
        <v>1657</v>
      </c>
      <c r="O369" t="s">
        <v>21</v>
      </c>
      <c r="P369" t="s">
        <v>82</v>
      </c>
      <c r="Q369" t="s">
        <v>1658</v>
      </c>
      <c r="R369" s="34">
        <v>11.808</v>
      </c>
      <c r="S369" s="31">
        <v>2</v>
      </c>
      <c r="T369" s="35">
        <v>0.2</v>
      </c>
      <c r="U369" s="31">
        <v>4.2804</v>
      </c>
    </row>
    <row r="370" spans="1:21">
      <c r="A370" s="31">
        <v>369</v>
      </c>
      <c r="B370" t="s">
        <v>39</v>
      </c>
      <c r="C370" s="32">
        <v>42380</v>
      </c>
      <c r="D370" s="32">
        <v>42382</v>
      </c>
      <c r="E370" t="s">
        <v>40</v>
      </c>
      <c r="F370" s="33" t="s">
        <v>1659</v>
      </c>
      <c r="G370" t="s">
        <v>1660</v>
      </c>
      <c r="H370" t="s">
        <v>18</v>
      </c>
      <c r="I370" t="s">
        <v>43</v>
      </c>
      <c r="J370" t="s">
        <v>220</v>
      </c>
      <c r="K370" t="s">
        <v>331</v>
      </c>
      <c r="L370" s="31">
        <v>45503</v>
      </c>
      <c r="M370" t="s">
        <v>9</v>
      </c>
      <c r="N370" s="33" t="s">
        <v>1661</v>
      </c>
      <c r="O370" t="s">
        <v>21</v>
      </c>
      <c r="P370" t="s">
        <v>75</v>
      </c>
      <c r="Q370" t="s">
        <v>1662</v>
      </c>
      <c r="R370" s="34">
        <v>15.552</v>
      </c>
      <c r="S370" s="31">
        <v>3</v>
      </c>
      <c r="T370" s="35">
        <v>0.2</v>
      </c>
      <c r="U370" s="31">
        <v>5.4432</v>
      </c>
    </row>
    <row r="371" spans="1:21">
      <c r="A371" s="31">
        <v>370</v>
      </c>
      <c r="B371" t="s">
        <v>39</v>
      </c>
      <c r="C371" s="32">
        <v>42694</v>
      </c>
      <c r="D371" s="32">
        <v>42696</v>
      </c>
      <c r="E371" t="s">
        <v>139</v>
      </c>
      <c r="F371" s="33" t="s">
        <v>1663</v>
      </c>
      <c r="G371" t="s">
        <v>1664</v>
      </c>
      <c r="H371" t="s">
        <v>16</v>
      </c>
      <c r="I371" t="s">
        <v>43</v>
      </c>
      <c r="J371" t="s">
        <v>628</v>
      </c>
      <c r="K371" t="s">
        <v>331</v>
      </c>
      <c r="L371" s="31">
        <v>45231</v>
      </c>
      <c r="M371" t="s">
        <v>9</v>
      </c>
      <c r="N371" s="33" t="s">
        <v>1665</v>
      </c>
      <c r="O371" t="s">
        <v>21</v>
      </c>
      <c r="P371" t="s">
        <v>75</v>
      </c>
      <c r="Q371" t="s">
        <v>1666</v>
      </c>
      <c r="R371" s="34">
        <v>15.696</v>
      </c>
      <c r="S371" s="31">
        <v>3</v>
      </c>
      <c r="T371" s="35">
        <v>0.2</v>
      </c>
      <c r="U371" s="31">
        <v>5.1012</v>
      </c>
    </row>
    <row r="372" spans="1:21">
      <c r="A372" s="31">
        <v>371</v>
      </c>
      <c r="B372" t="s">
        <v>39</v>
      </c>
      <c r="C372" s="32">
        <v>42168</v>
      </c>
      <c r="D372" s="32">
        <v>42169</v>
      </c>
      <c r="E372" t="s">
        <v>139</v>
      </c>
      <c r="F372" s="33" t="s">
        <v>1667</v>
      </c>
      <c r="G372" t="s">
        <v>1668</v>
      </c>
      <c r="H372" t="s">
        <v>16</v>
      </c>
      <c r="I372" t="s">
        <v>43</v>
      </c>
      <c r="J372" t="s">
        <v>51</v>
      </c>
      <c r="K372" t="s">
        <v>52</v>
      </c>
      <c r="L372" s="31">
        <v>90004</v>
      </c>
      <c r="M372" t="s">
        <v>11</v>
      </c>
      <c r="N372" s="33" t="s">
        <v>1669</v>
      </c>
      <c r="O372" t="s">
        <v>21</v>
      </c>
      <c r="P372" t="s">
        <v>82</v>
      </c>
      <c r="Q372" t="s">
        <v>1670</v>
      </c>
      <c r="R372" s="34">
        <v>36.624</v>
      </c>
      <c r="S372" s="31">
        <v>3</v>
      </c>
      <c r="T372" s="35">
        <v>0.2</v>
      </c>
      <c r="U372" s="31">
        <v>13.734</v>
      </c>
    </row>
    <row r="373" spans="1:21">
      <c r="A373" s="31">
        <v>372</v>
      </c>
      <c r="B373" t="s">
        <v>39</v>
      </c>
      <c r="C373" s="32">
        <v>43059</v>
      </c>
      <c r="D373" s="32">
        <v>43060</v>
      </c>
      <c r="E373" t="s">
        <v>139</v>
      </c>
      <c r="F373" s="33" t="s">
        <v>1671</v>
      </c>
      <c r="G373" t="s">
        <v>1672</v>
      </c>
      <c r="H373" t="s">
        <v>16</v>
      </c>
      <c r="I373" t="s">
        <v>43</v>
      </c>
      <c r="J373" t="s">
        <v>1249</v>
      </c>
      <c r="K373" t="s">
        <v>73</v>
      </c>
      <c r="L373" s="31">
        <v>27217</v>
      </c>
      <c r="M373" t="s">
        <v>10</v>
      </c>
      <c r="N373" s="33" t="s">
        <v>1673</v>
      </c>
      <c r="O373" t="s">
        <v>21</v>
      </c>
      <c r="P373" t="s">
        <v>108</v>
      </c>
      <c r="Q373" t="s">
        <v>1674</v>
      </c>
      <c r="R373" s="34">
        <v>23.968</v>
      </c>
      <c r="S373" s="31">
        <v>7</v>
      </c>
      <c r="T373" s="35">
        <v>0.2</v>
      </c>
      <c r="U373" s="31">
        <v>2.6964</v>
      </c>
    </row>
    <row r="374" spans="1:21">
      <c r="A374" s="31">
        <v>373</v>
      </c>
      <c r="B374" t="s">
        <v>39</v>
      </c>
      <c r="C374" s="32">
        <v>42449</v>
      </c>
      <c r="D374" s="32">
        <v>42453</v>
      </c>
      <c r="E374" t="s">
        <v>57</v>
      </c>
      <c r="F374" s="33" t="s">
        <v>1675</v>
      </c>
      <c r="G374" t="s">
        <v>1676</v>
      </c>
      <c r="H374" t="s">
        <v>18</v>
      </c>
      <c r="I374" t="s">
        <v>43</v>
      </c>
      <c r="J374" t="s">
        <v>1677</v>
      </c>
      <c r="K374" t="s">
        <v>385</v>
      </c>
      <c r="L374" s="31">
        <v>63376</v>
      </c>
      <c r="M374" t="s">
        <v>8</v>
      </c>
      <c r="N374" s="33" t="s">
        <v>1678</v>
      </c>
      <c r="O374" t="s">
        <v>20</v>
      </c>
      <c r="P374" t="s">
        <v>63</v>
      </c>
      <c r="Q374" t="s">
        <v>1679</v>
      </c>
      <c r="R374" s="34">
        <v>697.16</v>
      </c>
      <c r="S374" s="31">
        <v>4</v>
      </c>
      <c r="T374" s="35">
        <v>0</v>
      </c>
      <c r="U374" s="31">
        <v>146.4036</v>
      </c>
    </row>
    <row r="375" spans="1:21">
      <c r="A375" s="31">
        <v>374</v>
      </c>
      <c r="B375" t="s">
        <v>39</v>
      </c>
      <c r="C375" s="32">
        <v>42619</v>
      </c>
      <c r="D375" s="32">
        <v>42622</v>
      </c>
      <c r="E375" t="s">
        <v>40</v>
      </c>
      <c r="F375" s="33" t="s">
        <v>1680</v>
      </c>
      <c r="G375" t="s">
        <v>1681</v>
      </c>
      <c r="H375" t="s">
        <v>16</v>
      </c>
      <c r="I375" t="s">
        <v>43</v>
      </c>
      <c r="J375" t="s">
        <v>193</v>
      </c>
      <c r="K375" t="s">
        <v>194</v>
      </c>
      <c r="L375" s="31">
        <v>10035</v>
      </c>
      <c r="M375" t="s">
        <v>9</v>
      </c>
      <c r="N375" s="33" t="s">
        <v>1682</v>
      </c>
      <c r="O375" t="s">
        <v>22</v>
      </c>
      <c r="P375" t="s">
        <v>171</v>
      </c>
      <c r="Q375" t="s">
        <v>1683</v>
      </c>
      <c r="R375" s="34">
        <v>31.86</v>
      </c>
      <c r="S375" s="31">
        <v>2</v>
      </c>
      <c r="T375" s="35">
        <v>0</v>
      </c>
      <c r="U375" s="31">
        <v>11.151</v>
      </c>
    </row>
    <row r="376" spans="1:21">
      <c r="A376" s="31">
        <v>375</v>
      </c>
      <c r="B376" t="s">
        <v>39</v>
      </c>
      <c r="C376" s="32">
        <v>42925</v>
      </c>
      <c r="D376" s="32">
        <v>42928</v>
      </c>
      <c r="E376" t="s">
        <v>139</v>
      </c>
      <c r="F376" s="33" t="s">
        <v>1684</v>
      </c>
      <c r="G376" t="s">
        <v>1685</v>
      </c>
      <c r="H376" t="s">
        <v>17</v>
      </c>
      <c r="I376" t="s">
        <v>43</v>
      </c>
      <c r="J376" t="s">
        <v>209</v>
      </c>
      <c r="K376" t="s">
        <v>154</v>
      </c>
      <c r="L376" s="31">
        <v>60610</v>
      </c>
      <c r="M376" t="s">
        <v>8</v>
      </c>
      <c r="N376" s="33" t="s">
        <v>1686</v>
      </c>
      <c r="O376" t="s">
        <v>21</v>
      </c>
      <c r="P376" t="s">
        <v>108</v>
      </c>
      <c r="Q376" t="s">
        <v>1687</v>
      </c>
      <c r="R376" s="34">
        <v>8.84</v>
      </c>
      <c r="S376" s="31">
        <v>5</v>
      </c>
      <c r="T376" s="35">
        <v>0.2</v>
      </c>
      <c r="U376" s="31">
        <v>2.9835</v>
      </c>
    </row>
    <row r="377" spans="1:21">
      <c r="A377" s="31">
        <v>376</v>
      </c>
      <c r="B377" t="s">
        <v>56</v>
      </c>
      <c r="C377" s="32">
        <v>42188</v>
      </c>
      <c r="D377" s="32">
        <v>42190</v>
      </c>
      <c r="E377" t="s">
        <v>139</v>
      </c>
      <c r="F377" s="33" t="s">
        <v>1688</v>
      </c>
      <c r="G377" t="s">
        <v>1689</v>
      </c>
      <c r="H377" t="s">
        <v>17</v>
      </c>
      <c r="I377" t="s">
        <v>43</v>
      </c>
      <c r="J377" t="s">
        <v>118</v>
      </c>
      <c r="K377" t="s">
        <v>119</v>
      </c>
      <c r="L377" s="31">
        <v>19134</v>
      </c>
      <c r="M377" t="s">
        <v>9</v>
      </c>
      <c r="N377" s="33" t="s">
        <v>1690</v>
      </c>
      <c r="O377" t="s">
        <v>20</v>
      </c>
      <c r="P377" t="s">
        <v>68</v>
      </c>
      <c r="Q377" t="s">
        <v>1691</v>
      </c>
      <c r="R377" s="34">
        <v>168.464</v>
      </c>
      <c r="S377" s="31">
        <v>2</v>
      </c>
      <c r="T377" s="35">
        <v>0.2</v>
      </c>
      <c r="U377" s="31">
        <v>-29.4812</v>
      </c>
    </row>
    <row r="378" spans="1:21">
      <c r="A378" s="31">
        <v>377</v>
      </c>
      <c r="B378" t="s">
        <v>39</v>
      </c>
      <c r="C378" s="32">
        <v>42098</v>
      </c>
      <c r="D378" s="32">
        <v>42102</v>
      </c>
      <c r="E378" t="s">
        <v>57</v>
      </c>
      <c r="F378" s="33" t="s">
        <v>1692</v>
      </c>
      <c r="G378" t="s">
        <v>1693</v>
      </c>
      <c r="H378" t="s">
        <v>18</v>
      </c>
      <c r="I378" t="s">
        <v>43</v>
      </c>
      <c r="J378" t="s">
        <v>193</v>
      </c>
      <c r="K378" t="s">
        <v>194</v>
      </c>
      <c r="L378" s="31">
        <v>10009</v>
      </c>
      <c r="M378" t="s">
        <v>9</v>
      </c>
      <c r="N378" s="33" t="s">
        <v>1694</v>
      </c>
      <c r="O378" t="s">
        <v>21</v>
      </c>
      <c r="P378" t="s">
        <v>108</v>
      </c>
      <c r="Q378" t="s">
        <v>1695</v>
      </c>
      <c r="R378" s="34">
        <v>11.16</v>
      </c>
      <c r="S378" s="31">
        <v>2</v>
      </c>
      <c r="T378" s="35">
        <v>0</v>
      </c>
      <c r="U378" s="31">
        <v>4.3524</v>
      </c>
    </row>
    <row r="379" spans="1:21">
      <c r="A379" s="31">
        <v>378</v>
      </c>
      <c r="B379" t="s">
        <v>39</v>
      </c>
      <c r="C379" s="32">
        <v>42698</v>
      </c>
      <c r="D379" s="32">
        <v>42705</v>
      </c>
      <c r="E379" t="s">
        <v>57</v>
      </c>
      <c r="F379" s="33" t="s">
        <v>1696</v>
      </c>
      <c r="G379" t="s">
        <v>1697</v>
      </c>
      <c r="H379" t="s">
        <v>18</v>
      </c>
      <c r="I379" t="s">
        <v>43</v>
      </c>
      <c r="J379" t="s">
        <v>118</v>
      </c>
      <c r="K379" t="s">
        <v>119</v>
      </c>
      <c r="L379" s="31">
        <v>19143</v>
      </c>
      <c r="M379" t="s">
        <v>9</v>
      </c>
      <c r="N379" s="33" t="s">
        <v>1698</v>
      </c>
      <c r="O379" t="s">
        <v>21</v>
      </c>
      <c r="P379" t="s">
        <v>196</v>
      </c>
      <c r="Q379" t="s">
        <v>1699</v>
      </c>
      <c r="R379" s="34">
        <v>4.416</v>
      </c>
      <c r="S379" s="31">
        <v>3</v>
      </c>
      <c r="T379" s="35">
        <v>0.2</v>
      </c>
      <c r="U379" s="31">
        <v>1.6008</v>
      </c>
    </row>
    <row r="380" spans="1:21">
      <c r="A380" s="31">
        <v>379</v>
      </c>
      <c r="B380" t="s">
        <v>39</v>
      </c>
      <c r="C380" s="32">
        <v>42110</v>
      </c>
      <c r="D380" s="32">
        <v>42115</v>
      </c>
      <c r="E380" t="s">
        <v>57</v>
      </c>
      <c r="F380" s="33" t="s">
        <v>1700</v>
      </c>
      <c r="G380" t="s">
        <v>1701</v>
      </c>
      <c r="H380" t="s">
        <v>17</v>
      </c>
      <c r="I380" t="s">
        <v>43</v>
      </c>
      <c r="J380" t="s">
        <v>1702</v>
      </c>
      <c r="K380" t="s">
        <v>331</v>
      </c>
      <c r="L380" s="31">
        <v>43615</v>
      </c>
      <c r="M380" t="s">
        <v>9</v>
      </c>
      <c r="N380" s="33" t="s">
        <v>1703</v>
      </c>
      <c r="O380" t="s">
        <v>21</v>
      </c>
      <c r="P380" t="s">
        <v>89</v>
      </c>
      <c r="Q380" t="s">
        <v>1704</v>
      </c>
      <c r="R380" s="34">
        <v>45.216</v>
      </c>
      <c r="S380" s="31">
        <v>3</v>
      </c>
      <c r="T380" s="35">
        <v>0.2</v>
      </c>
      <c r="U380" s="31">
        <v>4.5216</v>
      </c>
    </row>
    <row r="381" spans="1:21">
      <c r="A381" s="31">
        <v>380</v>
      </c>
      <c r="B381" t="s">
        <v>39</v>
      </c>
      <c r="C381" s="32">
        <v>42644</v>
      </c>
      <c r="D381" s="32">
        <v>42645</v>
      </c>
      <c r="E381" t="s">
        <v>139</v>
      </c>
      <c r="F381" s="33" t="s">
        <v>1705</v>
      </c>
      <c r="G381" t="s">
        <v>1706</v>
      </c>
      <c r="H381" t="s">
        <v>16</v>
      </c>
      <c r="I381" t="s">
        <v>43</v>
      </c>
      <c r="J381" t="s">
        <v>106</v>
      </c>
      <c r="K381" t="s">
        <v>52</v>
      </c>
      <c r="L381" s="31">
        <v>94122</v>
      </c>
      <c r="M381" t="s">
        <v>11</v>
      </c>
      <c r="N381" s="33" t="s">
        <v>210</v>
      </c>
      <c r="O381" t="s">
        <v>20</v>
      </c>
      <c r="P381" t="s">
        <v>121</v>
      </c>
      <c r="Q381" t="s">
        <v>211</v>
      </c>
      <c r="R381" s="34">
        <v>194.848</v>
      </c>
      <c r="S381" s="31">
        <v>4</v>
      </c>
      <c r="T381" s="35">
        <v>0.2</v>
      </c>
      <c r="U381" s="31">
        <v>12.178</v>
      </c>
    </row>
    <row r="382" spans="1:21">
      <c r="A382" s="31">
        <v>381</v>
      </c>
      <c r="B382" t="s">
        <v>56</v>
      </c>
      <c r="C382" s="32">
        <v>43006</v>
      </c>
      <c r="D382" s="32">
        <v>43008</v>
      </c>
      <c r="E382" t="s">
        <v>40</v>
      </c>
      <c r="F382" s="33" t="s">
        <v>1707</v>
      </c>
      <c r="G382" t="s">
        <v>1708</v>
      </c>
      <c r="H382" t="s">
        <v>16</v>
      </c>
      <c r="I382" t="s">
        <v>43</v>
      </c>
      <c r="J382" t="s">
        <v>1709</v>
      </c>
      <c r="K382" t="s">
        <v>87</v>
      </c>
      <c r="L382" s="31">
        <v>78521</v>
      </c>
      <c r="M382" t="s">
        <v>8</v>
      </c>
      <c r="N382" s="33" t="s">
        <v>1710</v>
      </c>
      <c r="O382" t="s">
        <v>21</v>
      </c>
      <c r="P382" t="s">
        <v>1104</v>
      </c>
      <c r="Q382" t="s">
        <v>1481</v>
      </c>
      <c r="R382" s="34">
        <v>1.744</v>
      </c>
      <c r="S382" s="31">
        <v>1</v>
      </c>
      <c r="T382" s="35">
        <v>0.2</v>
      </c>
      <c r="U382" s="31">
        <v>-0.3488</v>
      </c>
    </row>
    <row r="383" spans="1:21">
      <c r="A383" s="31">
        <v>382</v>
      </c>
      <c r="B383" t="s">
        <v>39</v>
      </c>
      <c r="C383" s="32">
        <v>42328</v>
      </c>
      <c r="D383" s="32">
        <v>42334</v>
      </c>
      <c r="E383" t="s">
        <v>57</v>
      </c>
      <c r="F383" s="33" t="s">
        <v>1711</v>
      </c>
      <c r="G383" t="s">
        <v>1712</v>
      </c>
      <c r="H383" t="s">
        <v>18</v>
      </c>
      <c r="I383" t="s">
        <v>43</v>
      </c>
      <c r="J383" t="s">
        <v>51</v>
      </c>
      <c r="K383" t="s">
        <v>52</v>
      </c>
      <c r="L383" s="31">
        <v>90008</v>
      </c>
      <c r="M383" t="s">
        <v>11</v>
      </c>
      <c r="N383" s="33" t="s">
        <v>1713</v>
      </c>
      <c r="O383" t="s">
        <v>21</v>
      </c>
      <c r="P383" t="s">
        <v>108</v>
      </c>
      <c r="Q383" t="s">
        <v>1714</v>
      </c>
      <c r="R383" s="34">
        <v>19.46</v>
      </c>
      <c r="S383" s="31">
        <v>7</v>
      </c>
      <c r="T383" s="35">
        <v>0</v>
      </c>
      <c r="U383" s="31">
        <v>5.0596</v>
      </c>
    </row>
    <row r="384" spans="1:21">
      <c r="A384" s="31">
        <v>383</v>
      </c>
      <c r="B384" t="s">
        <v>39</v>
      </c>
      <c r="C384" s="32">
        <v>42488</v>
      </c>
      <c r="D384" s="32">
        <v>42492</v>
      </c>
      <c r="E384" t="s">
        <v>57</v>
      </c>
      <c r="F384" s="33" t="s">
        <v>1715</v>
      </c>
      <c r="G384" t="s">
        <v>1716</v>
      </c>
      <c r="H384" t="s">
        <v>18</v>
      </c>
      <c r="I384" t="s">
        <v>43</v>
      </c>
      <c r="J384" t="s">
        <v>518</v>
      </c>
      <c r="K384" t="s">
        <v>305</v>
      </c>
      <c r="L384" s="31">
        <v>80219</v>
      </c>
      <c r="M384" t="s">
        <v>11</v>
      </c>
      <c r="N384" s="33" t="s">
        <v>1717</v>
      </c>
      <c r="O384" t="s">
        <v>21</v>
      </c>
      <c r="P384" t="s">
        <v>75</v>
      </c>
      <c r="Q384" t="s">
        <v>1718</v>
      </c>
      <c r="R384" s="34">
        <v>29.472</v>
      </c>
      <c r="S384" s="31">
        <v>3</v>
      </c>
      <c r="T384" s="35">
        <v>0.2</v>
      </c>
      <c r="U384" s="31">
        <v>9.9468</v>
      </c>
    </row>
    <row r="385" spans="1:21">
      <c r="A385" s="31">
        <v>384</v>
      </c>
      <c r="B385" t="s">
        <v>39</v>
      </c>
      <c r="C385" s="32">
        <v>43053</v>
      </c>
      <c r="D385" s="32">
        <v>43058</v>
      </c>
      <c r="E385" t="s">
        <v>57</v>
      </c>
      <c r="F385" s="33" t="s">
        <v>1719</v>
      </c>
      <c r="G385" t="s">
        <v>1720</v>
      </c>
      <c r="H385" t="s">
        <v>16</v>
      </c>
      <c r="I385" t="s">
        <v>43</v>
      </c>
      <c r="J385" t="s">
        <v>193</v>
      </c>
      <c r="K385" t="s">
        <v>194</v>
      </c>
      <c r="L385" s="31">
        <v>10035</v>
      </c>
      <c r="M385" t="s">
        <v>9</v>
      </c>
      <c r="N385" s="33" t="s">
        <v>1721</v>
      </c>
      <c r="O385" t="s">
        <v>21</v>
      </c>
      <c r="P385" t="s">
        <v>82</v>
      </c>
      <c r="Q385" t="s">
        <v>1722</v>
      </c>
      <c r="R385" s="34">
        <v>8.64</v>
      </c>
      <c r="S385" s="31">
        <v>2</v>
      </c>
      <c r="T385" s="35">
        <v>0.2</v>
      </c>
      <c r="U385" s="31">
        <v>3.024</v>
      </c>
    </row>
    <row r="386" spans="1:21">
      <c r="A386" s="31">
        <v>385</v>
      </c>
      <c r="B386" t="s">
        <v>39</v>
      </c>
      <c r="C386" s="32">
        <v>42686</v>
      </c>
      <c r="D386" s="32">
        <v>42693</v>
      </c>
      <c r="E386" t="s">
        <v>57</v>
      </c>
      <c r="F386" s="33" t="s">
        <v>1723</v>
      </c>
      <c r="G386" t="s">
        <v>1724</v>
      </c>
      <c r="H386" t="s">
        <v>16</v>
      </c>
      <c r="I386" t="s">
        <v>43</v>
      </c>
      <c r="J386" t="s">
        <v>1029</v>
      </c>
      <c r="K386" t="s">
        <v>215</v>
      </c>
      <c r="L386" s="31">
        <v>85204</v>
      </c>
      <c r="M386" t="s">
        <v>11</v>
      </c>
      <c r="N386" s="33" t="s">
        <v>1725</v>
      </c>
      <c r="O386" t="s">
        <v>21</v>
      </c>
      <c r="P386" t="s">
        <v>82</v>
      </c>
      <c r="Q386" t="s">
        <v>1726</v>
      </c>
      <c r="R386" s="34">
        <v>6.27</v>
      </c>
      <c r="S386" s="31">
        <v>5</v>
      </c>
      <c r="T386" s="35">
        <v>0.7</v>
      </c>
      <c r="U386" s="31">
        <v>-4.598</v>
      </c>
    </row>
    <row r="387" spans="1:21">
      <c r="A387" s="31">
        <v>386</v>
      </c>
      <c r="B387" t="s">
        <v>39</v>
      </c>
      <c r="C387" s="32">
        <v>42642</v>
      </c>
      <c r="D387" s="32">
        <v>42643</v>
      </c>
      <c r="E387" t="s">
        <v>139</v>
      </c>
      <c r="F387" s="33" t="s">
        <v>1727</v>
      </c>
      <c r="G387" t="s">
        <v>1728</v>
      </c>
      <c r="H387" t="s">
        <v>18</v>
      </c>
      <c r="I387" t="s">
        <v>43</v>
      </c>
      <c r="J387" t="s">
        <v>330</v>
      </c>
      <c r="K387" t="s">
        <v>188</v>
      </c>
      <c r="L387" s="31">
        <v>47201</v>
      </c>
      <c r="M387" t="s">
        <v>8</v>
      </c>
      <c r="N387" s="33" t="s">
        <v>1729</v>
      </c>
      <c r="O387" t="s">
        <v>21</v>
      </c>
      <c r="P387" t="s">
        <v>108</v>
      </c>
      <c r="Q387" t="s">
        <v>1730</v>
      </c>
      <c r="R387" s="34">
        <v>40.88</v>
      </c>
      <c r="S387" s="31">
        <v>7</v>
      </c>
      <c r="T387" s="35">
        <v>0</v>
      </c>
      <c r="U387" s="31">
        <v>10.6288</v>
      </c>
    </row>
    <row r="388" spans="1:21">
      <c r="A388" s="31">
        <v>387</v>
      </c>
      <c r="B388" t="s">
        <v>39</v>
      </c>
      <c r="C388" s="32">
        <v>43001</v>
      </c>
      <c r="D388" s="32">
        <v>43003</v>
      </c>
      <c r="E388" t="s">
        <v>40</v>
      </c>
      <c r="F388" s="33" t="s">
        <v>1731</v>
      </c>
      <c r="G388" t="s">
        <v>1732</v>
      </c>
      <c r="H388" t="s">
        <v>16</v>
      </c>
      <c r="I388" t="s">
        <v>43</v>
      </c>
      <c r="J388" t="s">
        <v>79</v>
      </c>
      <c r="K388" t="s">
        <v>80</v>
      </c>
      <c r="L388" s="31">
        <v>98105</v>
      </c>
      <c r="M388" t="s">
        <v>11</v>
      </c>
      <c r="N388" s="33" t="s">
        <v>1733</v>
      </c>
      <c r="O388" t="s">
        <v>21</v>
      </c>
      <c r="P388" t="s">
        <v>89</v>
      </c>
      <c r="Q388" t="s">
        <v>1734</v>
      </c>
      <c r="R388" s="34">
        <v>119.96</v>
      </c>
      <c r="S388" s="31">
        <v>2</v>
      </c>
      <c r="T388" s="35">
        <v>0</v>
      </c>
      <c r="U388" s="31">
        <v>33.5888</v>
      </c>
    </row>
    <row r="389" spans="1:21">
      <c r="A389" s="31">
        <v>388</v>
      </c>
      <c r="B389" t="s">
        <v>39</v>
      </c>
      <c r="C389" s="32">
        <v>42337</v>
      </c>
      <c r="D389" s="32">
        <v>42342</v>
      </c>
      <c r="E389" t="s">
        <v>57</v>
      </c>
      <c r="F389" s="33" t="s">
        <v>1735</v>
      </c>
      <c r="G389" t="s">
        <v>1736</v>
      </c>
      <c r="H389" t="s">
        <v>17</v>
      </c>
      <c r="I389" t="s">
        <v>43</v>
      </c>
      <c r="J389" t="s">
        <v>558</v>
      </c>
      <c r="K389" t="s">
        <v>176</v>
      </c>
      <c r="L389" s="31">
        <v>48227</v>
      </c>
      <c r="M389" t="s">
        <v>8</v>
      </c>
      <c r="N389" s="33" t="s">
        <v>1737</v>
      </c>
      <c r="O389" t="s">
        <v>21</v>
      </c>
      <c r="P389" t="s">
        <v>75</v>
      </c>
      <c r="Q389" t="s">
        <v>138</v>
      </c>
      <c r="R389" s="34">
        <v>19.92</v>
      </c>
      <c r="S389" s="31">
        <v>4</v>
      </c>
      <c r="T389" s="35">
        <v>0</v>
      </c>
      <c r="U389" s="31">
        <v>9.3624</v>
      </c>
    </row>
    <row r="390" spans="1:21">
      <c r="A390" s="31">
        <v>389</v>
      </c>
      <c r="B390" t="s">
        <v>39</v>
      </c>
      <c r="C390" s="32">
        <v>42597</v>
      </c>
      <c r="D390" s="32">
        <v>42602</v>
      </c>
      <c r="E390" t="s">
        <v>40</v>
      </c>
      <c r="F390" s="33" t="s">
        <v>1738</v>
      </c>
      <c r="G390" t="s">
        <v>1739</v>
      </c>
      <c r="H390" t="s">
        <v>17</v>
      </c>
      <c r="I390" t="s">
        <v>43</v>
      </c>
      <c r="J390" t="s">
        <v>1740</v>
      </c>
      <c r="K390" t="s">
        <v>52</v>
      </c>
      <c r="L390" s="31">
        <v>94601</v>
      </c>
      <c r="M390" t="s">
        <v>11</v>
      </c>
      <c r="N390" s="33" t="s">
        <v>1741</v>
      </c>
      <c r="O390" t="s">
        <v>22</v>
      </c>
      <c r="P390" t="s">
        <v>144</v>
      </c>
      <c r="Q390" t="s">
        <v>1742</v>
      </c>
      <c r="R390" s="34">
        <v>71.976</v>
      </c>
      <c r="S390" s="31">
        <v>3</v>
      </c>
      <c r="T390" s="35">
        <v>0.2</v>
      </c>
      <c r="U390" s="31">
        <v>7.1976</v>
      </c>
    </row>
    <row r="391" spans="1:21">
      <c r="A391" s="31">
        <v>390</v>
      </c>
      <c r="B391" t="s">
        <v>39</v>
      </c>
      <c r="C391" s="32">
        <v>42365</v>
      </c>
      <c r="D391" s="32">
        <v>42369</v>
      </c>
      <c r="E391" t="s">
        <v>57</v>
      </c>
      <c r="F391" s="33" t="s">
        <v>1743</v>
      </c>
      <c r="G391" t="s">
        <v>1744</v>
      </c>
      <c r="H391" t="s">
        <v>18</v>
      </c>
      <c r="I391" t="s">
        <v>43</v>
      </c>
      <c r="J391" t="s">
        <v>1745</v>
      </c>
      <c r="K391" t="s">
        <v>1518</v>
      </c>
      <c r="L391" s="31">
        <v>20735</v>
      </c>
      <c r="M391" t="s">
        <v>9</v>
      </c>
      <c r="N391" s="33" t="s">
        <v>1746</v>
      </c>
      <c r="O391" t="s">
        <v>21</v>
      </c>
      <c r="P391" t="s">
        <v>75</v>
      </c>
      <c r="Q391" t="s">
        <v>1747</v>
      </c>
      <c r="R391" s="34">
        <v>28.9</v>
      </c>
      <c r="S391" s="31">
        <v>5</v>
      </c>
      <c r="T391" s="35">
        <v>0</v>
      </c>
      <c r="U391" s="31">
        <v>14.161</v>
      </c>
    </row>
    <row r="392" spans="1:21">
      <c r="A392" s="31">
        <v>391</v>
      </c>
      <c r="B392" t="s">
        <v>39</v>
      </c>
      <c r="C392" s="32">
        <v>42756</v>
      </c>
      <c r="D392" s="32">
        <v>42761</v>
      </c>
      <c r="E392" t="s">
        <v>57</v>
      </c>
      <c r="F392" s="33" t="s">
        <v>1748</v>
      </c>
      <c r="G392" t="s">
        <v>1749</v>
      </c>
      <c r="H392" t="s">
        <v>18</v>
      </c>
      <c r="I392" t="s">
        <v>43</v>
      </c>
      <c r="J392" t="s">
        <v>310</v>
      </c>
      <c r="K392" t="s">
        <v>73</v>
      </c>
      <c r="L392" s="31">
        <v>28205</v>
      </c>
      <c r="M392" t="s">
        <v>10</v>
      </c>
      <c r="N392" s="33" t="s">
        <v>1750</v>
      </c>
      <c r="O392" t="s">
        <v>21</v>
      </c>
      <c r="P392" t="s">
        <v>96</v>
      </c>
      <c r="Q392" t="s">
        <v>1751</v>
      </c>
      <c r="R392" s="34">
        <v>348.208</v>
      </c>
      <c r="S392" s="31">
        <v>7</v>
      </c>
      <c r="T392" s="35">
        <v>0.2</v>
      </c>
      <c r="U392" s="31">
        <v>30.4682</v>
      </c>
    </row>
    <row r="393" spans="1:21">
      <c r="A393" s="31">
        <v>392</v>
      </c>
      <c r="B393" t="s">
        <v>39</v>
      </c>
      <c r="C393" s="32">
        <v>42535</v>
      </c>
      <c r="D393" s="32">
        <v>42538</v>
      </c>
      <c r="E393" t="s">
        <v>139</v>
      </c>
      <c r="F393" s="33" t="s">
        <v>1752</v>
      </c>
      <c r="G393" t="s">
        <v>1753</v>
      </c>
      <c r="H393" t="s">
        <v>18</v>
      </c>
      <c r="I393" t="s">
        <v>43</v>
      </c>
      <c r="J393" t="s">
        <v>106</v>
      </c>
      <c r="K393" t="s">
        <v>52</v>
      </c>
      <c r="L393" s="31">
        <v>94122</v>
      </c>
      <c r="M393" t="s">
        <v>11</v>
      </c>
      <c r="N393" s="33" t="s">
        <v>1754</v>
      </c>
      <c r="O393" t="s">
        <v>21</v>
      </c>
      <c r="P393" t="s">
        <v>108</v>
      </c>
      <c r="Q393" t="s">
        <v>1755</v>
      </c>
      <c r="R393" s="34">
        <v>7.04</v>
      </c>
      <c r="S393" s="31">
        <v>4</v>
      </c>
      <c r="T393" s="35">
        <v>0</v>
      </c>
      <c r="U393" s="31">
        <v>2.0416</v>
      </c>
    </row>
    <row r="394" spans="1:21">
      <c r="A394" s="31">
        <v>393</v>
      </c>
      <c r="B394" t="s">
        <v>39</v>
      </c>
      <c r="C394" s="32">
        <v>42664</v>
      </c>
      <c r="D394" s="32">
        <v>42670</v>
      </c>
      <c r="E394" t="s">
        <v>57</v>
      </c>
      <c r="F394" s="33" t="s">
        <v>1756</v>
      </c>
      <c r="G394" t="s">
        <v>1757</v>
      </c>
      <c r="H394" t="s">
        <v>16</v>
      </c>
      <c r="I394" t="s">
        <v>43</v>
      </c>
      <c r="J394" t="s">
        <v>1573</v>
      </c>
      <c r="K394" t="s">
        <v>52</v>
      </c>
      <c r="L394" s="31">
        <v>92503</v>
      </c>
      <c r="M394" t="s">
        <v>11</v>
      </c>
      <c r="N394" s="33" t="s">
        <v>1758</v>
      </c>
      <c r="O394" t="s">
        <v>21</v>
      </c>
      <c r="P394" t="s">
        <v>75</v>
      </c>
      <c r="Q394" t="s">
        <v>1759</v>
      </c>
      <c r="R394" s="34">
        <v>22.92</v>
      </c>
      <c r="S394" s="31">
        <v>3</v>
      </c>
      <c r="T394" s="35">
        <v>0</v>
      </c>
      <c r="U394" s="31">
        <v>11.2308</v>
      </c>
    </row>
    <row r="395" spans="1:21">
      <c r="A395" s="31">
        <v>394</v>
      </c>
      <c r="B395" t="s">
        <v>39</v>
      </c>
      <c r="C395" s="32">
        <v>42573</v>
      </c>
      <c r="D395" s="32">
        <v>42575</v>
      </c>
      <c r="E395" t="s">
        <v>40</v>
      </c>
      <c r="F395" s="33" t="s">
        <v>1760</v>
      </c>
      <c r="G395" t="s">
        <v>1761</v>
      </c>
      <c r="H395" t="s">
        <v>17</v>
      </c>
      <c r="I395" t="s">
        <v>43</v>
      </c>
      <c r="J395" t="s">
        <v>106</v>
      </c>
      <c r="K395" t="s">
        <v>52</v>
      </c>
      <c r="L395" s="31">
        <v>94110</v>
      </c>
      <c r="M395" t="s">
        <v>11</v>
      </c>
      <c r="N395" s="33" t="s">
        <v>1762</v>
      </c>
      <c r="O395" t="s">
        <v>21</v>
      </c>
      <c r="P395" t="s">
        <v>54</v>
      </c>
      <c r="Q395" t="s">
        <v>1763</v>
      </c>
      <c r="R395" s="34">
        <v>6.3</v>
      </c>
      <c r="S395" s="31">
        <v>2</v>
      </c>
      <c r="T395" s="35">
        <v>0</v>
      </c>
      <c r="U395" s="31">
        <v>3.024</v>
      </c>
    </row>
    <row r="396" spans="1:21">
      <c r="A396" s="31">
        <v>395</v>
      </c>
      <c r="B396" t="s">
        <v>39</v>
      </c>
      <c r="C396" s="32">
        <v>42251</v>
      </c>
      <c r="D396" s="32">
        <v>42255</v>
      </c>
      <c r="E396" t="s">
        <v>57</v>
      </c>
      <c r="F396" s="33" t="s">
        <v>1764</v>
      </c>
      <c r="G396" t="s">
        <v>1765</v>
      </c>
      <c r="H396" t="s">
        <v>16</v>
      </c>
      <c r="I396" t="s">
        <v>43</v>
      </c>
      <c r="J396" t="s">
        <v>1766</v>
      </c>
      <c r="K396" t="s">
        <v>746</v>
      </c>
      <c r="L396" s="31">
        <v>30076</v>
      </c>
      <c r="M396" t="s">
        <v>10</v>
      </c>
      <c r="N396" s="33" t="s">
        <v>1717</v>
      </c>
      <c r="O396" t="s">
        <v>21</v>
      </c>
      <c r="P396" t="s">
        <v>75</v>
      </c>
      <c r="Q396" t="s">
        <v>1767</v>
      </c>
      <c r="R396" s="34">
        <v>279.9</v>
      </c>
      <c r="S396" s="31">
        <v>5</v>
      </c>
      <c r="T396" s="35">
        <v>0</v>
      </c>
      <c r="U396" s="31">
        <v>137.151</v>
      </c>
    </row>
    <row r="397" spans="1:21">
      <c r="A397" s="31">
        <v>396</v>
      </c>
      <c r="B397" t="s">
        <v>39</v>
      </c>
      <c r="C397" s="32">
        <v>42686</v>
      </c>
      <c r="D397" s="32">
        <v>42689</v>
      </c>
      <c r="E397" t="s">
        <v>40</v>
      </c>
      <c r="F397" s="33" t="s">
        <v>1768</v>
      </c>
      <c r="G397" t="s">
        <v>1769</v>
      </c>
      <c r="H397" t="s">
        <v>17</v>
      </c>
      <c r="I397" t="s">
        <v>43</v>
      </c>
      <c r="J397" t="s">
        <v>1770</v>
      </c>
      <c r="K397" t="s">
        <v>188</v>
      </c>
      <c r="L397" s="31">
        <v>46350</v>
      </c>
      <c r="M397" t="s">
        <v>8</v>
      </c>
      <c r="N397" s="33" t="s">
        <v>1771</v>
      </c>
      <c r="O397" t="s">
        <v>21</v>
      </c>
      <c r="P397" t="s">
        <v>149</v>
      </c>
      <c r="Q397" t="s">
        <v>1772</v>
      </c>
      <c r="R397" s="34">
        <v>287.52</v>
      </c>
      <c r="S397" s="31">
        <v>8</v>
      </c>
      <c r="T397" s="35">
        <v>0</v>
      </c>
      <c r="U397" s="31">
        <v>129.384</v>
      </c>
    </row>
    <row r="398" spans="1:21">
      <c r="A398" s="31">
        <v>397</v>
      </c>
      <c r="B398" t="s">
        <v>39</v>
      </c>
      <c r="C398" s="32">
        <v>42098</v>
      </c>
      <c r="D398" s="32">
        <v>42098</v>
      </c>
      <c r="E398" t="s">
        <v>755</v>
      </c>
      <c r="F398" s="33" t="s">
        <v>1773</v>
      </c>
      <c r="G398" t="s">
        <v>1774</v>
      </c>
      <c r="H398" t="s">
        <v>16</v>
      </c>
      <c r="I398" t="s">
        <v>43</v>
      </c>
      <c r="J398" t="s">
        <v>1775</v>
      </c>
      <c r="K398" t="s">
        <v>176</v>
      </c>
      <c r="L398" s="31">
        <v>48911</v>
      </c>
      <c r="M398" t="s">
        <v>8</v>
      </c>
      <c r="N398" s="33" t="s">
        <v>1776</v>
      </c>
      <c r="O398" t="s">
        <v>21</v>
      </c>
      <c r="P398" t="s">
        <v>89</v>
      </c>
      <c r="Q398" t="s">
        <v>1777</v>
      </c>
      <c r="R398" s="34">
        <v>644.076</v>
      </c>
      <c r="S398" s="31">
        <v>2</v>
      </c>
      <c r="T398" s="35">
        <v>0.1</v>
      </c>
      <c r="U398" s="31">
        <v>107.346</v>
      </c>
    </row>
    <row r="399" spans="1:21">
      <c r="A399" s="31">
        <v>398</v>
      </c>
      <c r="B399" t="s">
        <v>39</v>
      </c>
      <c r="C399" s="32">
        <v>42915</v>
      </c>
      <c r="D399" s="32">
        <v>42920</v>
      </c>
      <c r="E399" t="s">
        <v>57</v>
      </c>
      <c r="F399" s="33" t="s">
        <v>1778</v>
      </c>
      <c r="G399" t="s">
        <v>1779</v>
      </c>
      <c r="H399" t="s">
        <v>16</v>
      </c>
      <c r="I399" t="s">
        <v>43</v>
      </c>
      <c r="J399" t="s">
        <v>272</v>
      </c>
      <c r="K399" t="s">
        <v>169</v>
      </c>
      <c r="L399" s="31">
        <v>55407</v>
      </c>
      <c r="M399" t="s">
        <v>8</v>
      </c>
      <c r="N399" s="33" t="s">
        <v>1780</v>
      </c>
      <c r="O399" t="s">
        <v>21</v>
      </c>
      <c r="P399" t="s">
        <v>89</v>
      </c>
      <c r="Q399" t="s">
        <v>1781</v>
      </c>
      <c r="R399" s="34">
        <v>362.94</v>
      </c>
      <c r="S399" s="31">
        <v>3</v>
      </c>
      <c r="T399" s="35">
        <v>0</v>
      </c>
      <c r="U399" s="31">
        <v>90.735</v>
      </c>
    </row>
    <row r="400" spans="1:21">
      <c r="A400" s="31">
        <v>399</v>
      </c>
      <c r="B400" t="s">
        <v>39</v>
      </c>
      <c r="C400" s="32">
        <v>41883</v>
      </c>
      <c r="D400" s="32">
        <v>41887</v>
      </c>
      <c r="E400" t="s">
        <v>40</v>
      </c>
      <c r="F400" s="33" t="s">
        <v>1782</v>
      </c>
      <c r="G400" t="s">
        <v>1783</v>
      </c>
      <c r="H400" t="s">
        <v>16</v>
      </c>
      <c r="I400" t="s">
        <v>43</v>
      </c>
      <c r="J400" t="s">
        <v>1784</v>
      </c>
      <c r="K400" t="s">
        <v>52</v>
      </c>
      <c r="L400" s="31">
        <v>92025</v>
      </c>
      <c r="M400" t="s">
        <v>11</v>
      </c>
      <c r="N400" s="33" t="s">
        <v>1785</v>
      </c>
      <c r="O400" t="s">
        <v>21</v>
      </c>
      <c r="P400" t="s">
        <v>108</v>
      </c>
      <c r="Q400" t="s">
        <v>1786</v>
      </c>
      <c r="R400" s="34">
        <v>53.94</v>
      </c>
      <c r="S400" s="31">
        <v>3</v>
      </c>
      <c r="T400" s="35">
        <v>0</v>
      </c>
      <c r="U400" s="31">
        <v>15.6426</v>
      </c>
    </row>
    <row r="401" spans="1:21">
      <c r="A401" s="31">
        <v>400</v>
      </c>
      <c r="B401" t="s">
        <v>39</v>
      </c>
      <c r="C401" s="32">
        <v>41701</v>
      </c>
      <c r="D401" s="32">
        <v>41706</v>
      </c>
      <c r="E401" t="s">
        <v>57</v>
      </c>
      <c r="F401" s="33" t="s">
        <v>1787</v>
      </c>
      <c r="G401" t="s">
        <v>1788</v>
      </c>
      <c r="H401" t="s">
        <v>18</v>
      </c>
      <c r="I401" t="s">
        <v>43</v>
      </c>
      <c r="J401" t="s">
        <v>193</v>
      </c>
      <c r="K401" t="s">
        <v>194</v>
      </c>
      <c r="L401" s="31">
        <v>10035</v>
      </c>
      <c r="M401" t="s">
        <v>9</v>
      </c>
      <c r="N401" s="33" t="s">
        <v>1789</v>
      </c>
      <c r="O401" t="s">
        <v>22</v>
      </c>
      <c r="P401" t="s">
        <v>144</v>
      </c>
      <c r="Q401" t="s">
        <v>1790</v>
      </c>
      <c r="R401" s="34">
        <v>9.99</v>
      </c>
      <c r="S401" s="31">
        <v>1</v>
      </c>
      <c r="T401" s="35">
        <v>0</v>
      </c>
      <c r="U401" s="31">
        <v>4.5954</v>
      </c>
    </row>
    <row r="402" spans="1:21">
      <c r="A402" s="31">
        <v>401</v>
      </c>
      <c r="B402" t="s">
        <v>39</v>
      </c>
      <c r="C402" s="32">
        <v>41763</v>
      </c>
      <c r="D402" s="32">
        <v>41767</v>
      </c>
      <c r="E402" t="s">
        <v>57</v>
      </c>
      <c r="F402" s="33" t="s">
        <v>1791</v>
      </c>
      <c r="G402" t="s">
        <v>1792</v>
      </c>
      <c r="H402" t="s">
        <v>16</v>
      </c>
      <c r="I402" t="s">
        <v>43</v>
      </c>
      <c r="J402" t="s">
        <v>869</v>
      </c>
      <c r="K402" t="s">
        <v>176</v>
      </c>
      <c r="L402" s="31">
        <v>49201</v>
      </c>
      <c r="M402" t="s">
        <v>8</v>
      </c>
      <c r="N402" s="33" t="s">
        <v>1449</v>
      </c>
      <c r="O402" t="s">
        <v>21</v>
      </c>
      <c r="P402" t="s">
        <v>82</v>
      </c>
      <c r="Q402" t="s">
        <v>1450</v>
      </c>
      <c r="R402" s="34">
        <v>46.8</v>
      </c>
      <c r="S402" s="31">
        <v>4</v>
      </c>
      <c r="T402" s="35">
        <v>0</v>
      </c>
      <c r="U402" s="31">
        <v>21.06</v>
      </c>
    </row>
    <row r="403" spans="1:21">
      <c r="A403" s="31">
        <v>402</v>
      </c>
      <c r="B403" t="s">
        <v>39</v>
      </c>
      <c r="C403" s="32">
        <v>42000</v>
      </c>
      <c r="D403" s="32">
        <v>42003</v>
      </c>
      <c r="E403" t="s">
        <v>40</v>
      </c>
      <c r="F403" s="33" t="s">
        <v>1793</v>
      </c>
      <c r="G403" t="s">
        <v>1794</v>
      </c>
      <c r="H403" t="s">
        <v>18</v>
      </c>
      <c r="I403" t="s">
        <v>43</v>
      </c>
      <c r="J403" t="s">
        <v>51</v>
      </c>
      <c r="K403" t="s">
        <v>52</v>
      </c>
      <c r="L403" s="31">
        <v>90004</v>
      </c>
      <c r="M403" t="s">
        <v>11</v>
      </c>
      <c r="N403" s="33" t="s">
        <v>1795</v>
      </c>
      <c r="O403" t="s">
        <v>21</v>
      </c>
      <c r="P403" t="s">
        <v>54</v>
      </c>
      <c r="Q403" t="s">
        <v>1796</v>
      </c>
      <c r="R403" s="34">
        <v>11.56</v>
      </c>
      <c r="S403" s="31">
        <v>4</v>
      </c>
      <c r="T403" s="35">
        <v>0</v>
      </c>
      <c r="U403" s="31">
        <v>5.4332</v>
      </c>
    </row>
    <row r="404" spans="1:21">
      <c r="A404" s="31">
        <v>403</v>
      </c>
      <c r="B404" t="s">
        <v>39</v>
      </c>
      <c r="C404" s="32">
        <v>42484</v>
      </c>
      <c r="D404" s="32">
        <v>42487</v>
      </c>
      <c r="E404" t="s">
        <v>40</v>
      </c>
      <c r="F404" s="33" t="s">
        <v>1797</v>
      </c>
      <c r="G404" t="s">
        <v>1798</v>
      </c>
      <c r="H404" t="s">
        <v>18</v>
      </c>
      <c r="I404" t="s">
        <v>43</v>
      </c>
      <c r="J404" t="s">
        <v>136</v>
      </c>
      <c r="K404" t="s">
        <v>87</v>
      </c>
      <c r="L404" s="31">
        <v>77070</v>
      </c>
      <c r="M404" t="s">
        <v>8</v>
      </c>
      <c r="N404" s="33" t="s">
        <v>1799</v>
      </c>
      <c r="O404" t="s">
        <v>22</v>
      </c>
      <c r="P404" t="s">
        <v>171</v>
      </c>
      <c r="Q404" t="s">
        <v>1800</v>
      </c>
      <c r="R404" s="34">
        <v>258.696</v>
      </c>
      <c r="S404" s="31">
        <v>3</v>
      </c>
      <c r="T404" s="35">
        <v>0.2</v>
      </c>
      <c r="U404" s="31">
        <v>64.674</v>
      </c>
    </row>
    <row r="405" spans="1:21">
      <c r="A405" s="31">
        <v>404</v>
      </c>
      <c r="B405" t="s">
        <v>39</v>
      </c>
      <c r="C405" s="32">
        <v>41967</v>
      </c>
      <c r="D405" s="32">
        <v>41973</v>
      </c>
      <c r="E405" t="s">
        <v>57</v>
      </c>
      <c r="F405" s="33" t="s">
        <v>1801</v>
      </c>
      <c r="G405" t="s">
        <v>1802</v>
      </c>
      <c r="H405" t="s">
        <v>17</v>
      </c>
      <c r="I405" t="s">
        <v>43</v>
      </c>
      <c r="J405" t="s">
        <v>79</v>
      </c>
      <c r="K405" t="s">
        <v>80</v>
      </c>
      <c r="L405" s="31">
        <v>98103</v>
      </c>
      <c r="M405" t="s">
        <v>11</v>
      </c>
      <c r="N405" s="33" t="s">
        <v>1803</v>
      </c>
      <c r="O405" t="s">
        <v>21</v>
      </c>
      <c r="P405" t="s">
        <v>82</v>
      </c>
      <c r="Q405" t="s">
        <v>1804</v>
      </c>
      <c r="R405" s="34">
        <v>12.096</v>
      </c>
      <c r="S405" s="31">
        <v>7</v>
      </c>
      <c r="T405" s="35">
        <v>0.2</v>
      </c>
      <c r="U405" s="31">
        <v>4.2336</v>
      </c>
    </row>
    <row r="406" spans="1:21">
      <c r="A406" s="31">
        <v>405</v>
      </c>
      <c r="B406" t="s">
        <v>39</v>
      </c>
      <c r="C406" s="32">
        <v>42792</v>
      </c>
      <c r="D406" s="32">
        <v>42794</v>
      </c>
      <c r="E406" t="s">
        <v>40</v>
      </c>
      <c r="F406" s="33" t="s">
        <v>1805</v>
      </c>
      <c r="G406" t="s">
        <v>1806</v>
      </c>
      <c r="H406" t="s">
        <v>18</v>
      </c>
      <c r="I406" t="s">
        <v>43</v>
      </c>
      <c r="J406" t="s">
        <v>51</v>
      </c>
      <c r="K406" t="s">
        <v>52</v>
      </c>
      <c r="L406" s="31">
        <v>90036</v>
      </c>
      <c r="M406" t="s">
        <v>11</v>
      </c>
      <c r="N406" s="33" t="s">
        <v>1236</v>
      </c>
      <c r="O406" t="s">
        <v>21</v>
      </c>
      <c r="P406" t="s">
        <v>89</v>
      </c>
      <c r="Q406" t="s">
        <v>1237</v>
      </c>
      <c r="R406" s="34">
        <v>81.92</v>
      </c>
      <c r="S406" s="31">
        <v>4</v>
      </c>
      <c r="T406" s="35">
        <v>0</v>
      </c>
      <c r="U406" s="31">
        <v>22.1184</v>
      </c>
    </row>
    <row r="407" spans="1:21">
      <c r="A407" s="31">
        <v>406</v>
      </c>
      <c r="B407" t="s">
        <v>39</v>
      </c>
      <c r="C407" s="32">
        <v>42948</v>
      </c>
      <c r="D407" s="32">
        <v>42951</v>
      </c>
      <c r="E407" t="s">
        <v>139</v>
      </c>
      <c r="F407" s="33" t="s">
        <v>1807</v>
      </c>
      <c r="G407" t="s">
        <v>1808</v>
      </c>
      <c r="H407" t="s">
        <v>16</v>
      </c>
      <c r="I407" t="s">
        <v>43</v>
      </c>
      <c r="J407" t="s">
        <v>310</v>
      </c>
      <c r="K407" t="s">
        <v>73</v>
      </c>
      <c r="L407" s="31">
        <v>28205</v>
      </c>
      <c r="M407" t="s">
        <v>10</v>
      </c>
      <c r="N407" s="33" t="s">
        <v>1809</v>
      </c>
      <c r="O407" t="s">
        <v>22</v>
      </c>
      <c r="P407" t="s">
        <v>144</v>
      </c>
      <c r="Q407" t="s">
        <v>1810</v>
      </c>
      <c r="R407" s="34">
        <v>271.96</v>
      </c>
      <c r="S407" s="31">
        <v>5</v>
      </c>
      <c r="T407" s="35">
        <v>0.2</v>
      </c>
      <c r="U407" s="31">
        <v>16.9975</v>
      </c>
    </row>
    <row r="408" spans="1:21">
      <c r="A408" s="31">
        <v>407</v>
      </c>
      <c r="B408" t="s">
        <v>39</v>
      </c>
      <c r="C408" s="32">
        <v>42565</v>
      </c>
      <c r="D408" s="32">
        <v>42569</v>
      </c>
      <c r="E408" t="s">
        <v>40</v>
      </c>
      <c r="F408" s="33" t="s">
        <v>1811</v>
      </c>
      <c r="G408" t="s">
        <v>1812</v>
      </c>
      <c r="H408" t="s">
        <v>17</v>
      </c>
      <c r="I408" t="s">
        <v>43</v>
      </c>
      <c r="J408" t="s">
        <v>193</v>
      </c>
      <c r="K408" t="s">
        <v>194</v>
      </c>
      <c r="L408" s="31">
        <v>10009</v>
      </c>
      <c r="M408" t="s">
        <v>9</v>
      </c>
      <c r="N408" s="33" t="s">
        <v>1813</v>
      </c>
      <c r="O408" t="s">
        <v>21</v>
      </c>
      <c r="P408" t="s">
        <v>96</v>
      </c>
      <c r="Q408" t="s">
        <v>1814</v>
      </c>
      <c r="R408" s="34">
        <v>11.21</v>
      </c>
      <c r="S408" s="31">
        <v>1</v>
      </c>
      <c r="T408" s="35">
        <v>0</v>
      </c>
      <c r="U408" s="31">
        <v>3.363</v>
      </c>
    </row>
    <row r="409" spans="1:21">
      <c r="A409" s="31">
        <v>408</v>
      </c>
      <c r="B409" t="s">
        <v>56</v>
      </c>
      <c r="C409" s="32">
        <v>42987</v>
      </c>
      <c r="D409" s="32">
        <v>42991</v>
      </c>
      <c r="E409" t="s">
        <v>57</v>
      </c>
      <c r="F409" s="33" t="s">
        <v>1815</v>
      </c>
      <c r="G409" t="s">
        <v>1816</v>
      </c>
      <c r="H409" t="s">
        <v>17</v>
      </c>
      <c r="I409" t="s">
        <v>43</v>
      </c>
      <c r="J409" t="s">
        <v>118</v>
      </c>
      <c r="K409" t="s">
        <v>119</v>
      </c>
      <c r="L409" s="31">
        <v>19134</v>
      </c>
      <c r="M409" t="s">
        <v>9</v>
      </c>
      <c r="N409" s="33" t="s">
        <v>564</v>
      </c>
      <c r="O409" t="s">
        <v>20</v>
      </c>
      <c r="P409" t="s">
        <v>121</v>
      </c>
      <c r="Q409" t="s">
        <v>565</v>
      </c>
      <c r="R409" s="34">
        <v>141.372</v>
      </c>
      <c r="S409" s="31">
        <v>2</v>
      </c>
      <c r="T409" s="35">
        <v>0.3</v>
      </c>
      <c r="U409" s="31">
        <v>-48.4704</v>
      </c>
    </row>
    <row r="410" spans="1:21">
      <c r="A410" s="31">
        <v>409</v>
      </c>
      <c r="B410" t="s">
        <v>39</v>
      </c>
      <c r="C410" s="32">
        <v>41832</v>
      </c>
      <c r="D410" s="32">
        <v>41836</v>
      </c>
      <c r="E410" t="s">
        <v>57</v>
      </c>
      <c r="F410" s="33" t="s">
        <v>1817</v>
      </c>
      <c r="G410" t="s">
        <v>1818</v>
      </c>
      <c r="H410" t="s">
        <v>18</v>
      </c>
      <c r="I410" t="s">
        <v>43</v>
      </c>
      <c r="J410" t="s">
        <v>51</v>
      </c>
      <c r="K410" t="s">
        <v>52</v>
      </c>
      <c r="L410" s="31">
        <v>90036</v>
      </c>
      <c r="M410" t="s">
        <v>11</v>
      </c>
      <c r="N410" s="33" t="s">
        <v>102</v>
      </c>
      <c r="O410" t="s">
        <v>21</v>
      </c>
      <c r="P410" t="s">
        <v>96</v>
      </c>
      <c r="Q410" t="s">
        <v>103</v>
      </c>
      <c r="R410" s="34">
        <v>249.75</v>
      </c>
      <c r="S410" s="31">
        <v>9</v>
      </c>
      <c r="T410" s="35">
        <v>0</v>
      </c>
      <c r="U410" s="31">
        <v>44.955</v>
      </c>
    </row>
    <row r="411" spans="1:21">
      <c r="A411" s="31">
        <v>410</v>
      </c>
      <c r="B411" t="s">
        <v>39</v>
      </c>
      <c r="C411" s="32">
        <v>42308</v>
      </c>
      <c r="D411" s="32">
        <v>42310</v>
      </c>
      <c r="E411" t="s">
        <v>40</v>
      </c>
      <c r="F411" s="33" t="s">
        <v>1819</v>
      </c>
      <c r="G411" t="s">
        <v>1820</v>
      </c>
      <c r="H411" t="s">
        <v>16</v>
      </c>
      <c r="I411" t="s">
        <v>43</v>
      </c>
      <c r="J411" t="s">
        <v>1821</v>
      </c>
      <c r="K411" t="s">
        <v>194</v>
      </c>
      <c r="L411" s="31">
        <v>14215</v>
      </c>
      <c r="M411" t="s">
        <v>9</v>
      </c>
      <c r="N411" s="33" t="s">
        <v>880</v>
      </c>
      <c r="O411" t="s">
        <v>21</v>
      </c>
      <c r="P411" t="s">
        <v>108</v>
      </c>
      <c r="Q411" t="s">
        <v>881</v>
      </c>
      <c r="R411" s="34">
        <v>2.78</v>
      </c>
      <c r="S411" s="31">
        <v>2</v>
      </c>
      <c r="T411" s="35">
        <v>0</v>
      </c>
      <c r="U411" s="31">
        <v>0.7228</v>
      </c>
    </row>
    <row r="412" spans="1:21">
      <c r="A412" s="31">
        <v>411</v>
      </c>
      <c r="B412" t="s">
        <v>39</v>
      </c>
      <c r="C412" s="32">
        <v>42520</v>
      </c>
      <c r="D412" s="32">
        <v>42522</v>
      </c>
      <c r="E412" t="s">
        <v>139</v>
      </c>
      <c r="F412" s="33" t="s">
        <v>1822</v>
      </c>
      <c r="G412" t="s">
        <v>1823</v>
      </c>
      <c r="H412" t="s">
        <v>17</v>
      </c>
      <c r="I412" t="s">
        <v>43</v>
      </c>
      <c r="J412" t="s">
        <v>628</v>
      </c>
      <c r="K412" t="s">
        <v>331</v>
      </c>
      <c r="L412" s="31">
        <v>45231</v>
      </c>
      <c r="M412" t="s">
        <v>9</v>
      </c>
      <c r="N412" s="33" t="s">
        <v>1824</v>
      </c>
      <c r="O412" t="s">
        <v>22</v>
      </c>
      <c r="P412" t="s">
        <v>1351</v>
      </c>
      <c r="Q412" t="s">
        <v>1825</v>
      </c>
      <c r="R412" s="34">
        <v>839.988</v>
      </c>
      <c r="S412" s="31">
        <v>2</v>
      </c>
      <c r="T412" s="35">
        <v>0.4</v>
      </c>
      <c r="U412" s="31">
        <v>69.999</v>
      </c>
    </row>
    <row r="413" spans="1:21">
      <c r="A413" s="31">
        <v>412</v>
      </c>
      <c r="B413" t="s">
        <v>39</v>
      </c>
      <c r="C413" s="32">
        <v>41862</v>
      </c>
      <c r="D413" s="32">
        <v>41866</v>
      </c>
      <c r="E413" t="s">
        <v>57</v>
      </c>
      <c r="F413" s="33" t="s">
        <v>1826</v>
      </c>
      <c r="G413" t="s">
        <v>1827</v>
      </c>
      <c r="H413" t="s">
        <v>16</v>
      </c>
      <c r="I413" t="s">
        <v>43</v>
      </c>
      <c r="J413" t="s">
        <v>79</v>
      </c>
      <c r="K413" t="s">
        <v>80</v>
      </c>
      <c r="L413" s="31">
        <v>98105</v>
      </c>
      <c r="M413" t="s">
        <v>11</v>
      </c>
      <c r="N413" s="33" t="s">
        <v>1828</v>
      </c>
      <c r="O413" t="s">
        <v>20</v>
      </c>
      <c r="P413" t="s">
        <v>68</v>
      </c>
      <c r="Q413" t="s">
        <v>1829</v>
      </c>
      <c r="R413" s="34">
        <v>12.35</v>
      </c>
      <c r="S413" s="31">
        <v>1</v>
      </c>
      <c r="T413" s="35">
        <v>0</v>
      </c>
      <c r="U413" s="31">
        <v>5.434</v>
      </c>
    </row>
    <row r="414" spans="1:21">
      <c r="A414" s="31">
        <v>413</v>
      </c>
      <c r="B414" t="s">
        <v>39</v>
      </c>
      <c r="C414" s="32">
        <v>42869</v>
      </c>
      <c r="D414" s="32">
        <v>42876</v>
      </c>
      <c r="E414" t="s">
        <v>57</v>
      </c>
      <c r="F414" s="33" t="s">
        <v>1830</v>
      </c>
      <c r="G414" t="s">
        <v>1831</v>
      </c>
      <c r="H414" t="s">
        <v>16</v>
      </c>
      <c r="I414" t="s">
        <v>43</v>
      </c>
      <c r="J414" t="s">
        <v>1832</v>
      </c>
      <c r="K414" t="s">
        <v>870</v>
      </c>
      <c r="L414" s="31">
        <v>39503</v>
      </c>
      <c r="M414" t="s">
        <v>10</v>
      </c>
      <c r="N414" s="33" t="s">
        <v>1833</v>
      </c>
      <c r="O414" t="s">
        <v>21</v>
      </c>
      <c r="P414" t="s">
        <v>149</v>
      </c>
      <c r="Q414" t="s">
        <v>1834</v>
      </c>
      <c r="R414" s="34">
        <v>48.69</v>
      </c>
      <c r="S414" s="31">
        <v>9</v>
      </c>
      <c r="T414" s="35">
        <v>0</v>
      </c>
      <c r="U414" s="31">
        <v>23.8581</v>
      </c>
    </row>
    <row r="415" spans="1:21">
      <c r="A415" s="31">
        <v>414</v>
      </c>
      <c r="B415" t="s">
        <v>39</v>
      </c>
      <c r="C415" s="32">
        <v>41985</v>
      </c>
      <c r="D415" s="32">
        <v>41987</v>
      </c>
      <c r="E415" t="s">
        <v>40</v>
      </c>
      <c r="F415" s="33" t="s">
        <v>1835</v>
      </c>
      <c r="G415" t="s">
        <v>1836</v>
      </c>
      <c r="H415" t="s">
        <v>16</v>
      </c>
      <c r="I415" t="s">
        <v>43</v>
      </c>
      <c r="J415" t="s">
        <v>1837</v>
      </c>
      <c r="K415" t="s">
        <v>52</v>
      </c>
      <c r="L415" s="31">
        <v>93727</v>
      </c>
      <c r="M415" t="s">
        <v>11</v>
      </c>
      <c r="N415" s="33" t="s">
        <v>1838</v>
      </c>
      <c r="O415" t="s">
        <v>20</v>
      </c>
      <c r="P415" t="s">
        <v>63</v>
      </c>
      <c r="Q415" t="s">
        <v>1839</v>
      </c>
      <c r="R415" s="34">
        <v>764.688</v>
      </c>
      <c r="S415" s="31">
        <v>6</v>
      </c>
      <c r="T415" s="35">
        <v>0.2</v>
      </c>
      <c r="U415" s="31">
        <v>95.586</v>
      </c>
    </row>
    <row r="416" spans="1:21">
      <c r="A416" s="31">
        <v>415</v>
      </c>
      <c r="B416" t="s">
        <v>39</v>
      </c>
      <c r="C416" s="32">
        <v>42804</v>
      </c>
      <c r="D416" s="32">
        <v>42808</v>
      </c>
      <c r="E416" t="s">
        <v>57</v>
      </c>
      <c r="F416" s="33" t="s">
        <v>1840</v>
      </c>
      <c r="G416" t="s">
        <v>1841</v>
      </c>
      <c r="H416" t="s">
        <v>18</v>
      </c>
      <c r="I416" t="s">
        <v>43</v>
      </c>
      <c r="J416" t="s">
        <v>1271</v>
      </c>
      <c r="K416" t="s">
        <v>119</v>
      </c>
      <c r="L416" s="31">
        <v>19013</v>
      </c>
      <c r="M416" t="s">
        <v>9</v>
      </c>
      <c r="N416" s="33" t="s">
        <v>1842</v>
      </c>
      <c r="O416" t="s">
        <v>21</v>
      </c>
      <c r="P416" t="s">
        <v>108</v>
      </c>
      <c r="Q416" t="s">
        <v>1843</v>
      </c>
      <c r="R416" s="34">
        <v>5.248</v>
      </c>
      <c r="S416" s="31">
        <v>2</v>
      </c>
      <c r="T416" s="35">
        <v>0.2</v>
      </c>
      <c r="U416" s="31">
        <v>0.5904</v>
      </c>
    </row>
    <row r="417" spans="1:21">
      <c r="A417" s="31">
        <v>416</v>
      </c>
      <c r="B417" t="s">
        <v>39</v>
      </c>
      <c r="C417" s="32">
        <v>43031</v>
      </c>
      <c r="D417" s="32">
        <v>43035</v>
      </c>
      <c r="E417" t="s">
        <v>57</v>
      </c>
      <c r="F417" s="33" t="s">
        <v>1844</v>
      </c>
      <c r="G417" t="s">
        <v>1845</v>
      </c>
      <c r="H417" t="s">
        <v>16</v>
      </c>
      <c r="I417" t="s">
        <v>43</v>
      </c>
      <c r="J417" t="s">
        <v>889</v>
      </c>
      <c r="K417" t="s">
        <v>61</v>
      </c>
      <c r="L417" s="31">
        <v>32216</v>
      </c>
      <c r="M417" t="s">
        <v>10</v>
      </c>
      <c r="N417" s="33" t="s">
        <v>1846</v>
      </c>
      <c r="O417" t="s">
        <v>22</v>
      </c>
      <c r="P417" t="s">
        <v>144</v>
      </c>
      <c r="Q417" t="s">
        <v>1847</v>
      </c>
      <c r="R417" s="34">
        <v>863.88</v>
      </c>
      <c r="S417" s="31">
        <v>3</v>
      </c>
      <c r="T417" s="35">
        <v>0.2</v>
      </c>
      <c r="U417" s="31">
        <v>107.985</v>
      </c>
    </row>
    <row r="418" spans="1:21">
      <c r="A418" s="31">
        <v>417</v>
      </c>
      <c r="B418" t="s">
        <v>56</v>
      </c>
      <c r="C418" s="32">
        <v>42671</v>
      </c>
      <c r="D418" s="32">
        <v>42678</v>
      </c>
      <c r="E418" t="s">
        <v>57</v>
      </c>
      <c r="F418" s="33" t="s">
        <v>1848</v>
      </c>
      <c r="G418" t="s">
        <v>1849</v>
      </c>
      <c r="H418" t="s">
        <v>17</v>
      </c>
      <c r="I418" t="s">
        <v>43</v>
      </c>
      <c r="J418" t="s">
        <v>1850</v>
      </c>
      <c r="K418" t="s">
        <v>73</v>
      </c>
      <c r="L418" s="31">
        <v>27834</v>
      </c>
      <c r="M418" t="s">
        <v>10</v>
      </c>
      <c r="N418" s="33" t="s">
        <v>1851</v>
      </c>
      <c r="O418" t="s">
        <v>21</v>
      </c>
      <c r="P418" t="s">
        <v>82</v>
      </c>
      <c r="Q418" t="s">
        <v>1852</v>
      </c>
      <c r="R418" s="34">
        <v>17.616</v>
      </c>
      <c r="S418" s="31">
        <v>4</v>
      </c>
      <c r="T418" s="35">
        <v>0.7</v>
      </c>
      <c r="U418" s="31">
        <v>-14.0928</v>
      </c>
    </row>
    <row r="419" spans="1:21">
      <c r="A419" s="31">
        <v>418</v>
      </c>
      <c r="B419" t="s">
        <v>39</v>
      </c>
      <c r="C419" s="32">
        <v>42644</v>
      </c>
      <c r="D419" s="32">
        <v>42645</v>
      </c>
      <c r="E419" t="s">
        <v>139</v>
      </c>
      <c r="F419" s="33" t="s">
        <v>1853</v>
      </c>
      <c r="G419" t="s">
        <v>1854</v>
      </c>
      <c r="H419" t="s">
        <v>16</v>
      </c>
      <c r="I419" t="s">
        <v>43</v>
      </c>
      <c r="J419" t="s">
        <v>1770</v>
      </c>
      <c r="K419" t="s">
        <v>188</v>
      </c>
      <c r="L419" s="31">
        <v>46350</v>
      </c>
      <c r="M419" t="s">
        <v>8</v>
      </c>
      <c r="N419" s="33" t="s">
        <v>399</v>
      </c>
      <c r="O419" t="s">
        <v>22</v>
      </c>
      <c r="P419" t="s">
        <v>144</v>
      </c>
      <c r="Q419" t="s">
        <v>400</v>
      </c>
      <c r="R419" s="34">
        <v>69.9</v>
      </c>
      <c r="S419" s="31">
        <v>2</v>
      </c>
      <c r="T419" s="35">
        <v>0</v>
      </c>
      <c r="U419" s="31">
        <v>18.873</v>
      </c>
    </row>
    <row r="420" spans="1:21">
      <c r="A420" s="31">
        <v>419</v>
      </c>
      <c r="B420" t="s">
        <v>39</v>
      </c>
      <c r="C420" s="32">
        <v>42980</v>
      </c>
      <c r="D420" s="32">
        <v>42985</v>
      </c>
      <c r="E420" t="s">
        <v>57</v>
      </c>
      <c r="F420" s="33" t="s">
        <v>1855</v>
      </c>
      <c r="G420" t="s">
        <v>1856</v>
      </c>
      <c r="H420" t="s">
        <v>16</v>
      </c>
      <c r="I420" t="s">
        <v>43</v>
      </c>
      <c r="J420" t="s">
        <v>106</v>
      </c>
      <c r="K420" t="s">
        <v>52</v>
      </c>
      <c r="L420" s="31">
        <v>94122</v>
      </c>
      <c r="M420" t="s">
        <v>11</v>
      </c>
      <c r="N420" s="33" t="s">
        <v>1857</v>
      </c>
      <c r="O420" t="s">
        <v>21</v>
      </c>
      <c r="P420" t="s">
        <v>108</v>
      </c>
      <c r="Q420" t="s">
        <v>1858</v>
      </c>
      <c r="R420" s="34">
        <v>6.57</v>
      </c>
      <c r="S420" s="31">
        <v>3</v>
      </c>
      <c r="T420" s="35">
        <v>0</v>
      </c>
      <c r="U420" s="31">
        <v>1.7739</v>
      </c>
    </row>
    <row r="421" spans="1:21">
      <c r="A421" s="31">
        <v>420</v>
      </c>
      <c r="B421" t="s">
        <v>39</v>
      </c>
      <c r="C421" s="32">
        <v>42890</v>
      </c>
      <c r="D421" s="32">
        <v>42894</v>
      </c>
      <c r="E421" t="s">
        <v>57</v>
      </c>
      <c r="F421" s="33" t="s">
        <v>1859</v>
      </c>
      <c r="G421" t="s">
        <v>1860</v>
      </c>
      <c r="H421" t="s">
        <v>16</v>
      </c>
      <c r="I421" t="s">
        <v>43</v>
      </c>
      <c r="J421" t="s">
        <v>1861</v>
      </c>
      <c r="K421" t="s">
        <v>241</v>
      </c>
      <c r="L421" s="31">
        <v>35630</v>
      </c>
      <c r="M421" t="s">
        <v>10</v>
      </c>
      <c r="N421" s="33" t="s">
        <v>1862</v>
      </c>
      <c r="O421" t="s">
        <v>21</v>
      </c>
      <c r="P421" t="s">
        <v>75</v>
      </c>
      <c r="Q421" t="s">
        <v>1863</v>
      </c>
      <c r="R421" s="34">
        <v>12.48</v>
      </c>
      <c r="S421" s="31">
        <v>2</v>
      </c>
      <c r="T421" s="35">
        <v>0</v>
      </c>
      <c r="U421" s="31">
        <v>5.616</v>
      </c>
    </row>
    <row r="422" spans="1:21">
      <c r="A422" s="31">
        <v>421</v>
      </c>
      <c r="B422" t="s">
        <v>39</v>
      </c>
      <c r="C422" s="32">
        <v>42492</v>
      </c>
      <c r="D422" s="32">
        <v>42497</v>
      </c>
      <c r="E422" t="s">
        <v>57</v>
      </c>
      <c r="F422" s="33" t="s">
        <v>1864</v>
      </c>
      <c r="G422" t="s">
        <v>1865</v>
      </c>
      <c r="H422" t="s">
        <v>16</v>
      </c>
      <c r="I422" t="s">
        <v>43</v>
      </c>
      <c r="J422" t="s">
        <v>136</v>
      </c>
      <c r="K422" t="s">
        <v>87</v>
      </c>
      <c r="L422" s="31">
        <v>77070</v>
      </c>
      <c r="M422" t="s">
        <v>8</v>
      </c>
      <c r="N422" s="33" t="s">
        <v>1866</v>
      </c>
      <c r="O422" t="s">
        <v>21</v>
      </c>
      <c r="P422" t="s">
        <v>108</v>
      </c>
      <c r="Q422" t="s">
        <v>1867</v>
      </c>
      <c r="R422" s="34">
        <v>86.352</v>
      </c>
      <c r="S422" s="31">
        <v>3</v>
      </c>
      <c r="T422" s="35">
        <v>0.2</v>
      </c>
      <c r="U422" s="31">
        <v>5.397</v>
      </c>
    </row>
    <row r="423" spans="1:21">
      <c r="A423" s="31">
        <v>422</v>
      </c>
      <c r="B423" t="s">
        <v>39</v>
      </c>
      <c r="C423" s="32">
        <v>42547</v>
      </c>
      <c r="D423" s="32">
        <v>42554</v>
      </c>
      <c r="E423" t="s">
        <v>57</v>
      </c>
      <c r="F423" s="33" t="s">
        <v>1868</v>
      </c>
      <c r="G423" t="s">
        <v>1869</v>
      </c>
      <c r="H423" t="s">
        <v>16</v>
      </c>
      <c r="I423" t="s">
        <v>43</v>
      </c>
      <c r="J423" t="s">
        <v>1870</v>
      </c>
      <c r="K423" t="s">
        <v>829</v>
      </c>
      <c r="L423" s="31">
        <v>2908</v>
      </c>
      <c r="M423" t="s">
        <v>9</v>
      </c>
      <c r="N423" s="33" t="s">
        <v>1871</v>
      </c>
      <c r="O423" t="s">
        <v>21</v>
      </c>
      <c r="P423" t="s">
        <v>96</v>
      </c>
      <c r="Q423" t="s">
        <v>1872</v>
      </c>
      <c r="R423" s="34">
        <v>14.9</v>
      </c>
      <c r="S423" s="31">
        <v>5</v>
      </c>
      <c r="T423" s="35">
        <v>0</v>
      </c>
      <c r="U423" s="31">
        <v>1.043</v>
      </c>
    </row>
    <row r="424" spans="1:21">
      <c r="A424" s="31">
        <v>423</v>
      </c>
      <c r="B424" t="s">
        <v>39</v>
      </c>
      <c r="C424" s="32">
        <v>42696</v>
      </c>
      <c r="D424" s="32">
        <v>42700</v>
      </c>
      <c r="E424" t="s">
        <v>57</v>
      </c>
      <c r="F424" s="33" t="s">
        <v>1873</v>
      </c>
      <c r="G424" t="s">
        <v>1874</v>
      </c>
      <c r="H424" t="s">
        <v>17</v>
      </c>
      <c r="I424" t="s">
        <v>43</v>
      </c>
      <c r="J424" t="s">
        <v>193</v>
      </c>
      <c r="K424" t="s">
        <v>194</v>
      </c>
      <c r="L424" s="31">
        <v>10009</v>
      </c>
      <c r="M424" t="s">
        <v>9</v>
      </c>
      <c r="N424" s="33" t="s">
        <v>1875</v>
      </c>
      <c r="O424" t="s">
        <v>20</v>
      </c>
      <c r="P424" t="s">
        <v>68</v>
      </c>
      <c r="Q424" t="s">
        <v>1876</v>
      </c>
      <c r="R424" s="34">
        <v>39.88</v>
      </c>
      <c r="S424" s="31">
        <v>2</v>
      </c>
      <c r="T424" s="35">
        <v>0</v>
      </c>
      <c r="U424" s="31">
        <v>11.1664</v>
      </c>
    </row>
    <row r="425" spans="1:21">
      <c r="A425" s="31">
        <v>424</v>
      </c>
      <c r="B425" t="s">
        <v>39</v>
      </c>
      <c r="C425" s="32">
        <v>42149</v>
      </c>
      <c r="D425" s="32">
        <v>42153</v>
      </c>
      <c r="E425" t="s">
        <v>57</v>
      </c>
      <c r="F425" s="33" t="s">
        <v>1877</v>
      </c>
      <c r="G425" t="s">
        <v>1878</v>
      </c>
      <c r="H425" t="s">
        <v>16</v>
      </c>
      <c r="I425" t="s">
        <v>43</v>
      </c>
      <c r="J425" t="s">
        <v>1879</v>
      </c>
      <c r="K425" t="s">
        <v>305</v>
      </c>
      <c r="L425" s="31">
        <v>81001</v>
      </c>
      <c r="M425" t="s">
        <v>11</v>
      </c>
      <c r="N425" s="33" t="s">
        <v>1880</v>
      </c>
      <c r="O425" t="s">
        <v>21</v>
      </c>
      <c r="P425" t="s">
        <v>89</v>
      </c>
      <c r="Q425" t="s">
        <v>1881</v>
      </c>
      <c r="R425" s="34">
        <v>845.728</v>
      </c>
      <c r="S425" s="31">
        <v>13</v>
      </c>
      <c r="T425" s="35">
        <v>0.2</v>
      </c>
      <c r="U425" s="31">
        <v>84.5728</v>
      </c>
    </row>
    <row r="426" spans="1:21">
      <c r="A426" s="31">
        <v>425</v>
      </c>
      <c r="B426" t="s">
        <v>39</v>
      </c>
      <c r="C426" s="32">
        <v>43099</v>
      </c>
      <c r="D426" s="32">
        <v>43103</v>
      </c>
      <c r="E426" t="s">
        <v>57</v>
      </c>
      <c r="F426" s="33" t="s">
        <v>1882</v>
      </c>
      <c r="G426" t="s">
        <v>1883</v>
      </c>
      <c r="H426" t="s">
        <v>17</v>
      </c>
      <c r="I426" t="s">
        <v>43</v>
      </c>
      <c r="J426" t="s">
        <v>474</v>
      </c>
      <c r="K426" t="s">
        <v>52</v>
      </c>
      <c r="L426" s="31">
        <v>94533</v>
      </c>
      <c r="M426" t="s">
        <v>11</v>
      </c>
      <c r="N426" s="33" t="s">
        <v>1160</v>
      </c>
      <c r="O426" t="s">
        <v>21</v>
      </c>
      <c r="P426" t="s">
        <v>82</v>
      </c>
      <c r="Q426" t="s">
        <v>1161</v>
      </c>
      <c r="R426" s="34">
        <v>13.904</v>
      </c>
      <c r="S426" s="31">
        <v>2</v>
      </c>
      <c r="T426" s="35">
        <v>0.2</v>
      </c>
      <c r="U426" s="31">
        <v>4.5188</v>
      </c>
    </row>
    <row r="427" spans="1:21">
      <c r="A427" s="31">
        <v>426</v>
      </c>
      <c r="B427" t="s">
        <v>39</v>
      </c>
      <c r="C427" s="32">
        <v>42712</v>
      </c>
      <c r="D427" s="32">
        <v>42716</v>
      </c>
      <c r="E427" t="s">
        <v>40</v>
      </c>
      <c r="F427" s="33" t="s">
        <v>1884</v>
      </c>
      <c r="G427" t="s">
        <v>1885</v>
      </c>
      <c r="H427" t="s">
        <v>17</v>
      </c>
      <c r="I427" t="s">
        <v>43</v>
      </c>
      <c r="J427" t="s">
        <v>291</v>
      </c>
      <c r="K427" t="s">
        <v>169</v>
      </c>
      <c r="L427" s="31">
        <v>55106</v>
      </c>
      <c r="M427" t="s">
        <v>8</v>
      </c>
      <c r="N427" s="33" t="s">
        <v>1886</v>
      </c>
      <c r="O427" t="s">
        <v>22</v>
      </c>
      <c r="P427" t="s">
        <v>144</v>
      </c>
      <c r="Q427" t="s">
        <v>1887</v>
      </c>
      <c r="R427" s="34">
        <v>114.95</v>
      </c>
      <c r="S427" s="31">
        <v>5</v>
      </c>
      <c r="T427" s="35">
        <v>0</v>
      </c>
      <c r="U427" s="31">
        <v>2.299</v>
      </c>
    </row>
    <row r="428" spans="1:21">
      <c r="A428" s="31">
        <v>427</v>
      </c>
      <c r="B428" t="s">
        <v>39</v>
      </c>
      <c r="C428" s="32">
        <v>42266</v>
      </c>
      <c r="D428" s="32">
        <v>42271</v>
      </c>
      <c r="E428" t="s">
        <v>40</v>
      </c>
      <c r="F428" s="33" t="s">
        <v>1888</v>
      </c>
      <c r="G428" t="s">
        <v>1889</v>
      </c>
      <c r="H428" t="s">
        <v>18</v>
      </c>
      <c r="I428" t="s">
        <v>43</v>
      </c>
      <c r="J428" t="s">
        <v>673</v>
      </c>
      <c r="K428" t="s">
        <v>221</v>
      </c>
      <c r="L428" s="31">
        <v>22204</v>
      </c>
      <c r="M428" t="s">
        <v>10</v>
      </c>
      <c r="N428" s="33" t="s">
        <v>1890</v>
      </c>
      <c r="O428" t="s">
        <v>20</v>
      </c>
      <c r="P428" t="s">
        <v>47</v>
      </c>
      <c r="Q428" t="s">
        <v>1891</v>
      </c>
      <c r="R428" s="34">
        <v>61.96</v>
      </c>
      <c r="S428" s="31">
        <v>2</v>
      </c>
      <c r="T428" s="35">
        <v>0</v>
      </c>
      <c r="U428" s="31">
        <v>4.3372</v>
      </c>
    </row>
    <row r="429" spans="1:21">
      <c r="A429" s="31">
        <v>428</v>
      </c>
      <c r="B429" t="s">
        <v>56</v>
      </c>
      <c r="C429" s="32">
        <v>42919</v>
      </c>
      <c r="D429" s="32">
        <v>42923</v>
      </c>
      <c r="E429" t="s">
        <v>57</v>
      </c>
      <c r="F429" s="33" t="s">
        <v>1892</v>
      </c>
      <c r="G429" t="s">
        <v>1893</v>
      </c>
      <c r="H429" t="s">
        <v>16</v>
      </c>
      <c r="I429" t="s">
        <v>43</v>
      </c>
      <c r="J429" t="s">
        <v>330</v>
      </c>
      <c r="K429" t="s">
        <v>746</v>
      </c>
      <c r="L429" s="31">
        <v>31907</v>
      </c>
      <c r="M429" t="s">
        <v>10</v>
      </c>
      <c r="N429" s="33" t="s">
        <v>1894</v>
      </c>
      <c r="O429" t="s">
        <v>20</v>
      </c>
      <c r="P429" t="s">
        <v>68</v>
      </c>
      <c r="Q429" t="s">
        <v>1895</v>
      </c>
      <c r="R429" s="34">
        <v>23.99</v>
      </c>
      <c r="S429" s="31">
        <v>1</v>
      </c>
      <c r="T429" s="35">
        <v>0</v>
      </c>
      <c r="U429" s="31">
        <v>5.5177</v>
      </c>
    </row>
    <row r="430" spans="1:21">
      <c r="A430" s="31">
        <v>429</v>
      </c>
      <c r="B430" t="s">
        <v>39</v>
      </c>
      <c r="C430" s="32">
        <v>42722</v>
      </c>
      <c r="D430" s="32">
        <v>42727</v>
      </c>
      <c r="E430" t="s">
        <v>57</v>
      </c>
      <c r="F430" s="33" t="s">
        <v>1896</v>
      </c>
      <c r="G430" t="s">
        <v>1897</v>
      </c>
      <c r="H430" t="s">
        <v>17</v>
      </c>
      <c r="I430" t="s">
        <v>43</v>
      </c>
      <c r="J430" t="s">
        <v>51</v>
      </c>
      <c r="K430" t="s">
        <v>52</v>
      </c>
      <c r="L430" s="31">
        <v>90032</v>
      </c>
      <c r="M430" t="s">
        <v>11</v>
      </c>
      <c r="N430" s="33" t="s">
        <v>1898</v>
      </c>
      <c r="O430" t="s">
        <v>21</v>
      </c>
      <c r="P430" t="s">
        <v>75</v>
      </c>
      <c r="Q430" t="s">
        <v>1899</v>
      </c>
      <c r="R430" s="34">
        <v>38.88</v>
      </c>
      <c r="S430" s="31">
        <v>6</v>
      </c>
      <c r="T430" s="35">
        <v>0</v>
      </c>
      <c r="U430" s="31">
        <v>18.6624</v>
      </c>
    </row>
    <row r="431" spans="1:21">
      <c r="A431" s="31">
        <v>430</v>
      </c>
      <c r="B431" t="s">
        <v>39</v>
      </c>
      <c r="C431" s="32">
        <v>41821</v>
      </c>
      <c r="D431" s="32">
        <v>41825</v>
      </c>
      <c r="E431" t="s">
        <v>57</v>
      </c>
      <c r="F431" s="33" t="s">
        <v>1900</v>
      </c>
      <c r="G431" t="s">
        <v>1901</v>
      </c>
      <c r="H431" t="s">
        <v>17</v>
      </c>
      <c r="I431" t="s">
        <v>43</v>
      </c>
      <c r="J431" t="s">
        <v>1902</v>
      </c>
      <c r="K431" t="s">
        <v>61</v>
      </c>
      <c r="L431" s="31">
        <v>32725</v>
      </c>
      <c r="M431" t="s">
        <v>10</v>
      </c>
      <c r="N431" s="33" t="s">
        <v>1846</v>
      </c>
      <c r="O431" t="s">
        <v>22</v>
      </c>
      <c r="P431" t="s">
        <v>144</v>
      </c>
      <c r="Q431" t="s">
        <v>1847</v>
      </c>
      <c r="R431" s="34">
        <v>575.92</v>
      </c>
      <c r="S431" s="31">
        <v>2</v>
      </c>
      <c r="T431" s="35">
        <v>0.2</v>
      </c>
      <c r="U431" s="31">
        <v>71.99</v>
      </c>
    </row>
    <row r="432" spans="1:21">
      <c r="A432" s="31">
        <v>431</v>
      </c>
      <c r="B432" t="s">
        <v>39</v>
      </c>
      <c r="C432" s="32">
        <v>42769</v>
      </c>
      <c r="D432" s="32">
        <v>42774</v>
      </c>
      <c r="E432" t="s">
        <v>57</v>
      </c>
      <c r="F432" s="33" t="s">
        <v>1903</v>
      </c>
      <c r="G432" t="s">
        <v>1904</v>
      </c>
      <c r="H432" t="s">
        <v>16</v>
      </c>
      <c r="I432" t="s">
        <v>43</v>
      </c>
      <c r="J432" t="s">
        <v>628</v>
      </c>
      <c r="K432" t="s">
        <v>331</v>
      </c>
      <c r="L432" s="31">
        <v>45231</v>
      </c>
      <c r="M432" t="s">
        <v>9</v>
      </c>
      <c r="N432" s="33" t="s">
        <v>1514</v>
      </c>
      <c r="O432" t="s">
        <v>21</v>
      </c>
      <c r="P432" t="s">
        <v>82</v>
      </c>
      <c r="Q432" t="s">
        <v>1515</v>
      </c>
      <c r="R432" s="34">
        <v>5.229</v>
      </c>
      <c r="S432" s="31">
        <v>3</v>
      </c>
      <c r="T432" s="35">
        <v>0.7</v>
      </c>
      <c r="U432" s="31">
        <v>-4.1832</v>
      </c>
    </row>
    <row r="433" spans="1:21">
      <c r="A433" s="31">
        <v>432</v>
      </c>
      <c r="B433" t="s">
        <v>39</v>
      </c>
      <c r="C433" s="32">
        <v>42797</v>
      </c>
      <c r="D433" s="32">
        <v>42802</v>
      </c>
      <c r="E433" t="s">
        <v>57</v>
      </c>
      <c r="F433" s="33" t="s">
        <v>1905</v>
      </c>
      <c r="G433" t="s">
        <v>1906</v>
      </c>
      <c r="H433" t="s">
        <v>16</v>
      </c>
      <c r="I433" t="s">
        <v>43</v>
      </c>
      <c r="J433" t="s">
        <v>1907</v>
      </c>
      <c r="K433" t="s">
        <v>45</v>
      </c>
      <c r="L433" s="31">
        <v>42071</v>
      </c>
      <c r="M433" t="s">
        <v>10</v>
      </c>
      <c r="N433" s="33" t="s">
        <v>1908</v>
      </c>
      <c r="O433" t="s">
        <v>21</v>
      </c>
      <c r="P433" t="s">
        <v>89</v>
      </c>
      <c r="Q433" t="s">
        <v>1909</v>
      </c>
      <c r="R433" s="34">
        <v>72.8</v>
      </c>
      <c r="S433" s="31">
        <v>5</v>
      </c>
      <c r="T433" s="35">
        <v>0</v>
      </c>
      <c r="U433" s="31">
        <v>19.656</v>
      </c>
    </row>
    <row r="434" spans="1:21">
      <c r="A434" s="31">
        <v>433</v>
      </c>
      <c r="B434" t="s">
        <v>39</v>
      </c>
      <c r="C434" s="32">
        <v>43017</v>
      </c>
      <c r="D434" s="32">
        <v>43018</v>
      </c>
      <c r="E434" t="s">
        <v>139</v>
      </c>
      <c r="F434" s="33" t="s">
        <v>1910</v>
      </c>
      <c r="G434" t="s">
        <v>1911</v>
      </c>
      <c r="H434" t="s">
        <v>16</v>
      </c>
      <c r="I434" t="s">
        <v>43</v>
      </c>
      <c r="J434" t="s">
        <v>345</v>
      </c>
      <c r="K434" t="s">
        <v>73</v>
      </c>
      <c r="L434" s="31">
        <v>28403</v>
      </c>
      <c r="M434" t="s">
        <v>10</v>
      </c>
      <c r="N434" s="33" t="s">
        <v>1912</v>
      </c>
      <c r="O434" t="s">
        <v>21</v>
      </c>
      <c r="P434" t="s">
        <v>75</v>
      </c>
      <c r="Q434" t="s">
        <v>1913</v>
      </c>
      <c r="R434" s="34">
        <v>10.816</v>
      </c>
      <c r="S434" s="31">
        <v>4</v>
      </c>
      <c r="T434" s="35">
        <v>0.2</v>
      </c>
      <c r="U434" s="31">
        <v>3.5152</v>
      </c>
    </row>
    <row r="435" spans="1:21">
      <c r="A435" s="31">
        <v>434</v>
      </c>
      <c r="B435" t="s">
        <v>39</v>
      </c>
      <c r="C435" s="32">
        <v>41910</v>
      </c>
      <c r="D435" s="32">
        <v>41915</v>
      </c>
      <c r="E435" t="s">
        <v>57</v>
      </c>
      <c r="F435" s="33" t="s">
        <v>1914</v>
      </c>
      <c r="G435" t="s">
        <v>1915</v>
      </c>
      <c r="H435" t="s">
        <v>17</v>
      </c>
      <c r="I435" t="s">
        <v>43</v>
      </c>
      <c r="J435" t="s">
        <v>864</v>
      </c>
      <c r="K435" t="s">
        <v>735</v>
      </c>
      <c r="L435" s="31">
        <v>1841</v>
      </c>
      <c r="M435" t="s">
        <v>9</v>
      </c>
      <c r="N435" s="33" t="s">
        <v>1916</v>
      </c>
      <c r="O435" t="s">
        <v>21</v>
      </c>
      <c r="P435" t="s">
        <v>96</v>
      </c>
      <c r="Q435" t="s">
        <v>1917</v>
      </c>
      <c r="R435" s="34">
        <v>46.26</v>
      </c>
      <c r="S435" s="31">
        <v>3</v>
      </c>
      <c r="T435" s="35">
        <v>0</v>
      </c>
      <c r="U435" s="31">
        <v>12.4902</v>
      </c>
    </row>
    <row r="436" spans="1:21">
      <c r="A436" s="31">
        <v>435</v>
      </c>
      <c r="B436" t="s">
        <v>39</v>
      </c>
      <c r="C436" s="32">
        <v>42459</v>
      </c>
      <c r="D436" s="32">
        <v>42461</v>
      </c>
      <c r="E436" t="s">
        <v>139</v>
      </c>
      <c r="F436" s="33" t="s">
        <v>1918</v>
      </c>
      <c r="G436" t="s">
        <v>1919</v>
      </c>
      <c r="H436" t="s">
        <v>17</v>
      </c>
      <c r="I436" t="s">
        <v>43</v>
      </c>
      <c r="J436" t="s">
        <v>1544</v>
      </c>
      <c r="K436" t="s">
        <v>475</v>
      </c>
      <c r="L436" s="31">
        <v>6360</v>
      </c>
      <c r="M436" t="s">
        <v>9</v>
      </c>
      <c r="N436" s="33" t="s">
        <v>1920</v>
      </c>
      <c r="O436" t="s">
        <v>21</v>
      </c>
      <c r="P436" t="s">
        <v>75</v>
      </c>
      <c r="Q436" t="s">
        <v>1921</v>
      </c>
      <c r="R436" s="34">
        <v>11.34</v>
      </c>
      <c r="S436" s="31">
        <v>1</v>
      </c>
      <c r="T436" s="35">
        <v>0</v>
      </c>
      <c r="U436" s="31">
        <v>5.5566</v>
      </c>
    </row>
    <row r="437" spans="1:21">
      <c r="A437" s="31">
        <v>436</v>
      </c>
      <c r="B437" t="s">
        <v>39</v>
      </c>
      <c r="C437" s="32">
        <v>43023</v>
      </c>
      <c r="D437" s="32">
        <v>43026</v>
      </c>
      <c r="E437" t="s">
        <v>40</v>
      </c>
      <c r="F437" s="33" t="s">
        <v>1922</v>
      </c>
      <c r="G437" t="s">
        <v>1923</v>
      </c>
      <c r="H437" t="s">
        <v>18</v>
      </c>
      <c r="I437" t="s">
        <v>43</v>
      </c>
      <c r="J437" t="s">
        <v>106</v>
      </c>
      <c r="K437" t="s">
        <v>52</v>
      </c>
      <c r="L437" s="31">
        <v>94110</v>
      </c>
      <c r="M437" t="s">
        <v>11</v>
      </c>
      <c r="N437" s="33" t="s">
        <v>1924</v>
      </c>
      <c r="O437" t="s">
        <v>21</v>
      </c>
      <c r="P437" t="s">
        <v>108</v>
      </c>
      <c r="Q437" t="s">
        <v>1925</v>
      </c>
      <c r="R437" s="34">
        <v>87.92</v>
      </c>
      <c r="S437" s="31">
        <v>4</v>
      </c>
      <c r="T437" s="35">
        <v>0</v>
      </c>
      <c r="U437" s="31">
        <v>26.376</v>
      </c>
    </row>
    <row r="438" spans="1:21">
      <c r="A438" s="31">
        <v>437</v>
      </c>
      <c r="B438" t="s">
        <v>39</v>
      </c>
      <c r="C438" s="32">
        <v>42513</v>
      </c>
      <c r="D438" s="32">
        <v>42517</v>
      </c>
      <c r="E438" t="s">
        <v>57</v>
      </c>
      <c r="F438" s="33" t="s">
        <v>1926</v>
      </c>
      <c r="G438" t="s">
        <v>1927</v>
      </c>
      <c r="H438" t="s">
        <v>16</v>
      </c>
      <c r="I438" t="s">
        <v>43</v>
      </c>
      <c r="J438" t="s">
        <v>106</v>
      </c>
      <c r="K438" t="s">
        <v>52</v>
      </c>
      <c r="L438" s="31">
        <v>94109</v>
      </c>
      <c r="M438" t="s">
        <v>11</v>
      </c>
      <c r="N438" s="33" t="s">
        <v>1828</v>
      </c>
      <c r="O438" t="s">
        <v>20</v>
      </c>
      <c r="P438" t="s">
        <v>68</v>
      </c>
      <c r="Q438" t="s">
        <v>1829</v>
      </c>
      <c r="R438" s="34">
        <v>37.05</v>
      </c>
      <c r="S438" s="31">
        <v>3</v>
      </c>
      <c r="T438" s="35">
        <v>0</v>
      </c>
      <c r="U438" s="31">
        <v>16.302</v>
      </c>
    </row>
    <row r="439" spans="1:21">
      <c r="A439" s="31">
        <v>438</v>
      </c>
      <c r="B439" t="s">
        <v>39</v>
      </c>
      <c r="C439" s="32">
        <v>42888</v>
      </c>
      <c r="D439" s="32">
        <v>42892</v>
      </c>
      <c r="E439" t="s">
        <v>57</v>
      </c>
      <c r="F439" s="33" t="s">
        <v>1928</v>
      </c>
      <c r="G439" t="s">
        <v>1929</v>
      </c>
      <c r="H439" t="s">
        <v>18</v>
      </c>
      <c r="I439" t="s">
        <v>43</v>
      </c>
      <c r="J439" t="s">
        <v>1458</v>
      </c>
      <c r="K439" t="s">
        <v>331</v>
      </c>
      <c r="L439" s="31">
        <v>44052</v>
      </c>
      <c r="M439" t="s">
        <v>9</v>
      </c>
      <c r="N439" s="33" t="s">
        <v>1930</v>
      </c>
      <c r="O439" t="s">
        <v>22</v>
      </c>
      <c r="P439" t="s">
        <v>144</v>
      </c>
      <c r="Q439" t="s">
        <v>1931</v>
      </c>
      <c r="R439" s="34">
        <v>2.97</v>
      </c>
      <c r="S439" s="31">
        <v>1</v>
      </c>
      <c r="T439" s="35">
        <v>0.4</v>
      </c>
      <c r="U439" s="31">
        <v>-0.6435</v>
      </c>
    </row>
    <row r="440" spans="1:21">
      <c r="A440" s="31">
        <v>439</v>
      </c>
      <c r="B440" t="s">
        <v>39</v>
      </c>
      <c r="C440" s="32">
        <v>41686</v>
      </c>
      <c r="D440" s="32">
        <v>41691</v>
      </c>
      <c r="E440" t="s">
        <v>57</v>
      </c>
      <c r="F440" s="33" t="s">
        <v>1932</v>
      </c>
      <c r="G440" t="s">
        <v>1933</v>
      </c>
      <c r="H440" t="s">
        <v>16</v>
      </c>
      <c r="I440" t="s">
        <v>43</v>
      </c>
      <c r="J440" t="s">
        <v>523</v>
      </c>
      <c r="K440" t="s">
        <v>87</v>
      </c>
      <c r="L440" s="31">
        <v>75220</v>
      </c>
      <c r="M440" t="s">
        <v>8</v>
      </c>
      <c r="N440" s="33" t="s">
        <v>1934</v>
      </c>
      <c r="O440" t="s">
        <v>21</v>
      </c>
      <c r="P440" t="s">
        <v>82</v>
      </c>
      <c r="Q440" t="s">
        <v>1935</v>
      </c>
      <c r="R440" s="34">
        <v>1.08</v>
      </c>
      <c r="S440" s="31">
        <v>3</v>
      </c>
      <c r="T440" s="35">
        <v>0.8</v>
      </c>
      <c r="U440" s="31">
        <v>-1.728</v>
      </c>
    </row>
    <row r="441" spans="1:21">
      <c r="A441" s="31">
        <v>440</v>
      </c>
      <c r="B441" t="s">
        <v>39</v>
      </c>
      <c r="C441" s="32">
        <v>42506</v>
      </c>
      <c r="D441" s="32">
        <v>42513</v>
      </c>
      <c r="E441" t="s">
        <v>57</v>
      </c>
      <c r="F441" s="33" t="s">
        <v>1936</v>
      </c>
      <c r="G441" t="s">
        <v>1937</v>
      </c>
      <c r="H441" t="s">
        <v>16</v>
      </c>
      <c r="I441" t="s">
        <v>43</v>
      </c>
      <c r="J441" t="s">
        <v>1938</v>
      </c>
      <c r="K441" t="s">
        <v>475</v>
      </c>
      <c r="L441" s="31">
        <v>6457</v>
      </c>
      <c r="M441" t="s">
        <v>9</v>
      </c>
      <c r="N441" s="33" t="s">
        <v>1939</v>
      </c>
      <c r="O441" t="s">
        <v>21</v>
      </c>
      <c r="P441" t="s">
        <v>96</v>
      </c>
      <c r="Q441" t="s">
        <v>1940</v>
      </c>
      <c r="R441" s="34">
        <v>552.56</v>
      </c>
      <c r="S441" s="31">
        <v>4</v>
      </c>
      <c r="T441" s="35">
        <v>0</v>
      </c>
      <c r="U441" s="31">
        <v>0</v>
      </c>
    </row>
    <row r="442" spans="1:21">
      <c r="A442" s="31">
        <v>441</v>
      </c>
      <c r="B442" t="s">
        <v>56</v>
      </c>
      <c r="C442" s="32">
        <v>42827</v>
      </c>
      <c r="D442" s="32">
        <v>42832</v>
      </c>
      <c r="E442" t="s">
        <v>57</v>
      </c>
      <c r="F442" s="33" t="s">
        <v>1941</v>
      </c>
      <c r="G442" t="s">
        <v>1942</v>
      </c>
      <c r="H442" t="s">
        <v>16</v>
      </c>
      <c r="I442" t="s">
        <v>43</v>
      </c>
      <c r="J442" t="s">
        <v>51</v>
      </c>
      <c r="K442" t="s">
        <v>52</v>
      </c>
      <c r="L442" s="31">
        <v>90008</v>
      </c>
      <c r="M442" t="s">
        <v>11</v>
      </c>
      <c r="N442" s="33" t="s">
        <v>1943</v>
      </c>
      <c r="O442" t="s">
        <v>20</v>
      </c>
      <c r="P442" t="s">
        <v>68</v>
      </c>
      <c r="Q442" t="s">
        <v>1944</v>
      </c>
      <c r="R442" s="34">
        <v>25.11</v>
      </c>
      <c r="S442" s="31">
        <v>3</v>
      </c>
      <c r="T442" s="35">
        <v>0</v>
      </c>
      <c r="U442" s="31">
        <v>6.5286</v>
      </c>
    </row>
    <row r="443" spans="1:21">
      <c r="A443" s="31">
        <v>442</v>
      </c>
      <c r="B443" t="s">
        <v>39</v>
      </c>
      <c r="C443" s="32">
        <v>42825</v>
      </c>
      <c r="D443" s="32">
        <v>42827</v>
      </c>
      <c r="E443" t="s">
        <v>40</v>
      </c>
      <c r="F443" s="33" t="s">
        <v>1945</v>
      </c>
      <c r="G443" t="s">
        <v>1946</v>
      </c>
      <c r="H443" t="s">
        <v>16</v>
      </c>
      <c r="I443" t="s">
        <v>43</v>
      </c>
      <c r="J443" t="s">
        <v>193</v>
      </c>
      <c r="K443" t="s">
        <v>194</v>
      </c>
      <c r="L443" s="31">
        <v>10011</v>
      </c>
      <c r="M443" t="s">
        <v>9</v>
      </c>
      <c r="N443" s="33" t="s">
        <v>1947</v>
      </c>
      <c r="O443" t="s">
        <v>20</v>
      </c>
      <c r="P443" t="s">
        <v>68</v>
      </c>
      <c r="Q443" t="s">
        <v>1948</v>
      </c>
      <c r="R443" s="34">
        <v>29.78</v>
      </c>
      <c r="S443" s="31">
        <v>2</v>
      </c>
      <c r="T443" s="35">
        <v>0</v>
      </c>
      <c r="U443" s="31">
        <v>8.0406</v>
      </c>
    </row>
    <row r="444" spans="1:21">
      <c r="A444" s="31">
        <v>443</v>
      </c>
      <c r="B444" t="s">
        <v>39</v>
      </c>
      <c r="C444" s="32">
        <v>42737</v>
      </c>
      <c r="D444" s="32">
        <v>42739</v>
      </c>
      <c r="E444" t="s">
        <v>139</v>
      </c>
      <c r="F444" s="33" t="s">
        <v>1949</v>
      </c>
      <c r="G444" t="s">
        <v>1950</v>
      </c>
      <c r="H444" t="s">
        <v>17</v>
      </c>
      <c r="I444" t="s">
        <v>43</v>
      </c>
      <c r="J444" t="s">
        <v>889</v>
      </c>
      <c r="K444" t="s">
        <v>73</v>
      </c>
      <c r="L444" s="31">
        <v>28540</v>
      </c>
      <c r="M444" t="s">
        <v>10</v>
      </c>
      <c r="N444" s="33" t="s">
        <v>1951</v>
      </c>
      <c r="O444" t="s">
        <v>22</v>
      </c>
      <c r="P444" t="s">
        <v>610</v>
      </c>
      <c r="Q444" t="s">
        <v>1952</v>
      </c>
      <c r="R444" s="34">
        <v>695.7</v>
      </c>
      <c r="S444" s="31">
        <v>2</v>
      </c>
      <c r="T444" s="35">
        <v>0.5</v>
      </c>
      <c r="U444" s="31">
        <v>-27.828</v>
      </c>
    </row>
    <row r="445" spans="1:21">
      <c r="A445" s="31">
        <v>444</v>
      </c>
      <c r="B445" t="s">
        <v>39</v>
      </c>
      <c r="C445" s="32">
        <v>41915</v>
      </c>
      <c r="D445" s="32">
        <v>41920</v>
      </c>
      <c r="E445" t="s">
        <v>40</v>
      </c>
      <c r="F445" s="33" t="s">
        <v>1953</v>
      </c>
      <c r="G445" t="s">
        <v>1954</v>
      </c>
      <c r="H445" t="s">
        <v>16</v>
      </c>
      <c r="I445" t="s">
        <v>43</v>
      </c>
      <c r="J445" t="s">
        <v>1340</v>
      </c>
      <c r="K445" t="s">
        <v>154</v>
      </c>
      <c r="L445" s="31">
        <v>60201</v>
      </c>
      <c r="M445" t="s">
        <v>8</v>
      </c>
      <c r="N445" s="33" t="s">
        <v>1955</v>
      </c>
      <c r="O445" t="s">
        <v>20</v>
      </c>
      <c r="P445" t="s">
        <v>121</v>
      </c>
      <c r="Q445" t="s">
        <v>1956</v>
      </c>
      <c r="R445" s="34">
        <v>258.279</v>
      </c>
      <c r="S445" s="31">
        <v>3</v>
      </c>
      <c r="T445" s="35">
        <v>0.3</v>
      </c>
      <c r="U445" s="31">
        <v>-70.1043</v>
      </c>
    </row>
    <row r="446" spans="1:21">
      <c r="A446" s="31">
        <v>445</v>
      </c>
      <c r="B446" t="s">
        <v>39</v>
      </c>
      <c r="C446" s="32">
        <v>42495</v>
      </c>
      <c r="D446" s="32">
        <v>42497</v>
      </c>
      <c r="E446" t="s">
        <v>139</v>
      </c>
      <c r="F446" s="33" t="s">
        <v>1957</v>
      </c>
      <c r="G446" t="s">
        <v>1958</v>
      </c>
      <c r="H446" t="s">
        <v>16</v>
      </c>
      <c r="I446" t="s">
        <v>43</v>
      </c>
      <c r="J446" t="s">
        <v>1453</v>
      </c>
      <c r="K446" t="s">
        <v>45</v>
      </c>
      <c r="L446" s="31">
        <v>40214</v>
      </c>
      <c r="M446" t="s">
        <v>10</v>
      </c>
      <c r="N446" s="33" t="s">
        <v>1959</v>
      </c>
      <c r="O446" t="s">
        <v>21</v>
      </c>
      <c r="P446" t="s">
        <v>75</v>
      </c>
      <c r="Q446" t="s">
        <v>1960</v>
      </c>
      <c r="R446" s="34">
        <v>79.14</v>
      </c>
      <c r="S446" s="31">
        <v>3</v>
      </c>
      <c r="T446" s="35">
        <v>0</v>
      </c>
      <c r="U446" s="31">
        <v>36.4044</v>
      </c>
    </row>
    <row r="447" spans="1:21">
      <c r="A447" s="31">
        <v>446</v>
      </c>
      <c r="B447" t="s">
        <v>39</v>
      </c>
      <c r="C447" s="32">
        <v>42851</v>
      </c>
      <c r="D447" s="32">
        <v>42852</v>
      </c>
      <c r="E447" t="s">
        <v>139</v>
      </c>
      <c r="F447" s="33" t="s">
        <v>1961</v>
      </c>
      <c r="G447" t="s">
        <v>1962</v>
      </c>
      <c r="H447" t="s">
        <v>16</v>
      </c>
      <c r="I447" t="s">
        <v>43</v>
      </c>
      <c r="J447" t="s">
        <v>86</v>
      </c>
      <c r="K447" t="s">
        <v>87</v>
      </c>
      <c r="L447" s="31">
        <v>76106</v>
      </c>
      <c r="M447" t="s">
        <v>8</v>
      </c>
      <c r="N447" s="33" t="s">
        <v>1299</v>
      </c>
      <c r="O447" t="s">
        <v>20</v>
      </c>
      <c r="P447" t="s">
        <v>68</v>
      </c>
      <c r="Q447" t="s">
        <v>1300</v>
      </c>
      <c r="R447" s="34">
        <v>1.988</v>
      </c>
      <c r="S447" s="31">
        <v>1</v>
      </c>
      <c r="T447" s="35">
        <v>0.6</v>
      </c>
      <c r="U447" s="31">
        <v>-1.4413</v>
      </c>
    </row>
    <row r="448" spans="1:21">
      <c r="A448" s="31">
        <v>447</v>
      </c>
      <c r="B448" t="s">
        <v>56</v>
      </c>
      <c r="C448" s="32">
        <v>41908</v>
      </c>
      <c r="D448" s="32">
        <v>41913</v>
      </c>
      <c r="E448" t="s">
        <v>40</v>
      </c>
      <c r="F448" s="33" t="s">
        <v>1963</v>
      </c>
      <c r="G448" t="s">
        <v>1964</v>
      </c>
      <c r="H448" t="s">
        <v>16</v>
      </c>
      <c r="I448" t="s">
        <v>43</v>
      </c>
      <c r="J448" t="s">
        <v>51</v>
      </c>
      <c r="K448" t="s">
        <v>52</v>
      </c>
      <c r="L448" s="31">
        <v>90049</v>
      </c>
      <c r="M448" t="s">
        <v>11</v>
      </c>
      <c r="N448" s="33" t="s">
        <v>1965</v>
      </c>
      <c r="O448" t="s">
        <v>20</v>
      </c>
      <c r="P448" t="s">
        <v>121</v>
      </c>
      <c r="Q448" t="s">
        <v>1966</v>
      </c>
      <c r="R448" s="34">
        <v>145.568</v>
      </c>
      <c r="S448" s="31">
        <v>2</v>
      </c>
      <c r="T448" s="35">
        <v>0.2</v>
      </c>
      <c r="U448" s="31">
        <v>0</v>
      </c>
    </row>
    <row r="449" spans="1:21">
      <c r="A449" s="31">
        <v>448</v>
      </c>
      <c r="B449" t="s">
        <v>39</v>
      </c>
      <c r="C449" s="32">
        <v>43027</v>
      </c>
      <c r="D449" s="32">
        <v>43033</v>
      </c>
      <c r="E449" t="s">
        <v>57</v>
      </c>
      <c r="F449" s="33" t="s">
        <v>1967</v>
      </c>
      <c r="G449" t="s">
        <v>1968</v>
      </c>
      <c r="H449" t="s">
        <v>17</v>
      </c>
      <c r="I449" t="s">
        <v>43</v>
      </c>
      <c r="J449" t="s">
        <v>118</v>
      </c>
      <c r="K449" t="s">
        <v>119</v>
      </c>
      <c r="L449" s="31">
        <v>19120</v>
      </c>
      <c r="M449" t="s">
        <v>9</v>
      </c>
      <c r="N449" s="33" t="s">
        <v>1969</v>
      </c>
      <c r="O449" t="s">
        <v>21</v>
      </c>
      <c r="P449" t="s">
        <v>108</v>
      </c>
      <c r="Q449" t="s">
        <v>1970</v>
      </c>
      <c r="R449" s="34">
        <v>123.256</v>
      </c>
      <c r="S449" s="31">
        <v>7</v>
      </c>
      <c r="T449" s="35">
        <v>0.2</v>
      </c>
      <c r="U449" s="31">
        <v>9.2442</v>
      </c>
    </row>
    <row r="450" spans="1:21">
      <c r="A450" s="31">
        <v>449</v>
      </c>
      <c r="B450" t="s">
        <v>56</v>
      </c>
      <c r="C450" s="32">
        <v>43049</v>
      </c>
      <c r="D450" s="32">
        <v>43050</v>
      </c>
      <c r="E450" t="s">
        <v>139</v>
      </c>
      <c r="F450" s="33" t="s">
        <v>1971</v>
      </c>
      <c r="G450" t="s">
        <v>1972</v>
      </c>
      <c r="H450" t="s">
        <v>17</v>
      </c>
      <c r="I450" t="s">
        <v>43</v>
      </c>
      <c r="J450" t="s">
        <v>768</v>
      </c>
      <c r="K450" t="s">
        <v>215</v>
      </c>
      <c r="L450" s="31">
        <v>85705</v>
      </c>
      <c r="M450" t="s">
        <v>11</v>
      </c>
      <c r="N450" s="33" t="s">
        <v>1377</v>
      </c>
      <c r="O450" t="s">
        <v>21</v>
      </c>
      <c r="P450" t="s">
        <v>82</v>
      </c>
      <c r="Q450" t="s">
        <v>1378</v>
      </c>
      <c r="R450" s="34">
        <v>38.388</v>
      </c>
      <c r="S450" s="31">
        <v>14</v>
      </c>
      <c r="T450" s="35">
        <v>0.7</v>
      </c>
      <c r="U450" s="31">
        <v>-25.592</v>
      </c>
    </row>
    <row r="451" spans="1:21">
      <c r="A451" s="31">
        <v>450</v>
      </c>
      <c r="B451" t="s">
        <v>39</v>
      </c>
      <c r="C451" s="32">
        <v>42924</v>
      </c>
      <c r="D451" s="32">
        <v>42927</v>
      </c>
      <c r="E451" t="s">
        <v>139</v>
      </c>
      <c r="F451" s="33" t="s">
        <v>1973</v>
      </c>
      <c r="G451" t="s">
        <v>1974</v>
      </c>
      <c r="H451" t="s">
        <v>18</v>
      </c>
      <c r="I451" t="s">
        <v>43</v>
      </c>
      <c r="J451" t="s">
        <v>1975</v>
      </c>
      <c r="K451" t="s">
        <v>52</v>
      </c>
      <c r="L451" s="31">
        <v>90660</v>
      </c>
      <c r="M451" t="s">
        <v>11</v>
      </c>
      <c r="N451" s="33" t="s">
        <v>684</v>
      </c>
      <c r="O451" t="s">
        <v>20</v>
      </c>
      <c r="P451" t="s">
        <v>68</v>
      </c>
      <c r="Q451" t="s">
        <v>685</v>
      </c>
      <c r="R451" s="34">
        <v>145.9</v>
      </c>
      <c r="S451" s="31">
        <v>5</v>
      </c>
      <c r="T451" s="35">
        <v>0</v>
      </c>
      <c r="U451" s="31">
        <v>62.737</v>
      </c>
    </row>
    <row r="452" spans="1:21">
      <c r="A452" s="31">
        <v>451</v>
      </c>
      <c r="B452" t="s">
        <v>39</v>
      </c>
      <c r="C452" s="32">
        <v>42801</v>
      </c>
      <c r="D452" s="32">
        <v>42806</v>
      </c>
      <c r="E452" t="s">
        <v>57</v>
      </c>
      <c r="F452" s="33" t="s">
        <v>1976</v>
      </c>
      <c r="G452" t="s">
        <v>1977</v>
      </c>
      <c r="H452" t="s">
        <v>18</v>
      </c>
      <c r="I452" t="s">
        <v>43</v>
      </c>
      <c r="J452" t="s">
        <v>1745</v>
      </c>
      <c r="K452" t="s">
        <v>1518</v>
      </c>
      <c r="L452" s="31">
        <v>20735</v>
      </c>
      <c r="M452" t="s">
        <v>9</v>
      </c>
      <c r="N452" s="33" t="s">
        <v>1978</v>
      </c>
      <c r="O452" t="s">
        <v>22</v>
      </c>
      <c r="P452" t="s">
        <v>171</v>
      </c>
      <c r="Q452" t="s">
        <v>1979</v>
      </c>
      <c r="R452" s="34">
        <v>49.08</v>
      </c>
      <c r="S452" s="31">
        <v>3</v>
      </c>
      <c r="T452" s="35">
        <v>0</v>
      </c>
      <c r="U452" s="31">
        <v>4.908</v>
      </c>
    </row>
    <row r="453" spans="1:21">
      <c r="A453" s="31">
        <v>452</v>
      </c>
      <c r="B453" t="s">
        <v>56</v>
      </c>
      <c r="C453" s="32">
        <v>42616</v>
      </c>
      <c r="D453" s="32">
        <v>42622</v>
      </c>
      <c r="E453" t="s">
        <v>57</v>
      </c>
      <c r="F453" s="33" t="s">
        <v>1980</v>
      </c>
      <c r="G453" t="s">
        <v>1981</v>
      </c>
      <c r="H453" t="s">
        <v>18</v>
      </c>
      <c r="I453" t="s">
        <v>43</v>
      </c>
      <c r="J453" t="s">
        <v>304</v>
      </c>
      <c r="K453" t="s">
        <v>154</v>
      </c>
      <c r="L453" s="31">
        <v>60505</v>
      </c>
      <c r="M453" t="s">
        <v>8</v>
      </c>
      <c r="N453" s="33" t="s">
        <v>1982</v>
      </c>
      <c r="O453" t="s">
        <v>20</v>
      </c>
      <c r="P453" t="s">
        <v>68</v>
      </c>
      <c r="Q453" t="s">
        <v>1983</v>
      </c>
      <c r="R453" s="34">
        <v>83.952</v>
      </c>
      <c r="S453" s="31">
        <v>3</v>
      </c>
      <c r="T453" s="35">
        <v>0.6</v>
      </c>
      <c r="U453" s="31">
        <v>-90.2484</v>
      </c>
    </row>
    <row r="454" spans="1:21">
      <c r="A454" s="31">
        <v>453</v>
      </c>
      <c r="B454" t="s">
        <v>56</v>
      </c>
      <c r="C454" s="32">
        <v>42405</v>
      </c>
      <c r="D454" s="32">
        <v>42405</v>
      </c>
      <c r="E454" t="s">
        <v>755</v>
      </c>
      <c r="F454" s="33" t="s">
        <v>1984</v>
      </c>
      <c r="G454" t="s">
        <v>1985</v>
      </c>
      <c r="H454" t="s">
        <v>18</v>
      </c>
      <c r="I454" t="s">
        <v>43</v>
      </c>
      <c r="J454" t="s">
        <v>1986</v>
      </c>
      <c r="K454" t="s">
        <v>746</v>
      </c>
      <c r="L454" s="31">
        <v>30080</v>
      </c>
      <c r="M454" t="s">
        <v>10</v>
      </c>
      <c r="N454" s="33" t="s">
        <v>1987</v>
      </c>
      <c r="O454" t="s">
        <v>21</v>
      </c>
      <c r="P454" t="s">
        <v>96</v>
      </c>
      <c r="Q454" t="s">
        <v>1988</v>
      </c>
      <c r="R454" s="34">
        <v>80.98</v>
      </c>
      <c r="S454" s="31">
        <v>1</v>
      </c>
      <c r="T454" s="35">
        <v>0</v>
      </c>
      <c r="U454" s="31">
        <v>1.6196</v>
      </c>
    </row>
    <row r="455" spans="1:21">
      <c r="A455" s="31">
        <v>454</v>
      </c>
      <c r="B455" t="s">
        <v>39</v>
      </c>
      <c r="C455" s="32">
        <v>42919</v>
      </c>
      <c r="D455" s="32">
        <v>42920</v>
      </c>
      <c r="E455" t="s">
        <v>139</v>
      </c>
      <c r="F455" s="33" t="s">
        <v>1989</v>
      </c>
      <c r="G455" t="s">
        <v>1990</v>
      </c>
      <c r="H455" t="s">
        <v>17</v>
      </c>
      <c r="I455" t="s">
        <v>43</v>
      </c>
      <c r="J455" t="s">
        <v>1249</v>
      </c>
      <c r="K455" t="s">
        <v>73</v>
      </c>
      <c r="L455" s="31">
        <v>27217</v>
      </c>
      <c r="M455" t="s">
        <v>10</v>
      </c>
      <c r="N455" s="33" t="s">
        <v>1991</v>
      </c>
      <c r="O455" t="s">
        <v>21</v>
      </c>
      <c r="P455" t="s">
        <v>108</v>
      </c>
      <c r="Q455" t="s">
        <v>1992</v>
      </c>
      <c r="R455" s="34">
        <v>9.552</v>
      </c>
      <c r="S455" s="31">
        <v>3</v>
      </c>
      <c r="T455" s="35">
        <v>0.2</v>
      </c>
      <c r="U455" s="31">
        <v>1.5522</v>
      </c>
    </row>
    <row r="456" spans="1:21">
      <c r="A456" s="31">
        <v>455</v>
      </c>
      <c r="B456" t="s">
        <v>39</v>
      </c>
      <c r="C456" s="32">
        <v>42675</v>
      </c>
      <c r="D456" s="32">
        <v>42679</v>
      </c>
      <c r="E456" t="s">
        <v>57</v>
      </c>
      <c r="F456" s="33" t="s">
        <v>1993</v>
      </c>
      <c r="G456" t="s">
        <v>1994</v>
      </c>
      <c r="H456" t="s">
        <v>18</v>
      </c>
      <c r="I456" t="s">
        <v>43</v>
      </c>
      <c r="J456" t="s">
        <v>1115</v>
      </c>
      <c r="K456" t="s">
        <v>221</v>
      </c>
      <c r="L456" s="31">
        <v>24153</v>
      </c>
      <c r="M456" t="s">
        <v>10</v>
      </c>
      <c r="N456" s="33" t="s">
        <v>1995</v>
      </c>
      <c r="O456" t="s">
        <v>22</v>
      </c>
      <c r="P456" t="s">
        <v>144</v>
      </c>
      <c r="Q456" t="s">
        <v>1996</v>
      </c>
      <c r="R456" s="34">
        <v>21.8</v>
      </c>
      <c r="S456" s="31">
        <v>2</v>
      </c>
      <c r="T456" s="35">
        <v>0</v>
      </c>
      <c r="U456" s="31">
        <v>6.104</v>
      </c>
    </row>
    <row r="457" spans="1:21">
      <c r="A457" s="31">
        <v>456</v>
      </c>
      <c r="B457" t="s">
        <v>56</v>
      </c>
      <c r="C457" s="32">
        <v>42638</v>
      </c>
      <c r="D457" s="32">
        <v>42643</v>
      </c>
      <c r="E457" t="s">
        <v>57</v>
      </c>
      <c r="F457" s="33" t="s">
        <v>1997</v>
      </c>
      <c r="G457" t="s">
        <v>1998</v>
      </c>
      <c r="H457" t="s">
        <v>16</v>
      </c>
      <c r="I457" t="s">
        <v>43</v>
      </c>
      <c r="J457" t="s">
        <v>359</v>
      </c>
      <c r="K457" t="s">
        <v>215</v>
      </c>
      <c r="L457" s="31">
        <v>85023</v>
      </c>
      <c r="M457" t="s">
        <v>11</v>
      </c>
      <c r="N457" s="33" t="s">
        <v>1999</v>
      </c>
      <c r="O457" t="s">
        <v>20</v>
      </c>
      <c r="P457" t="s">
        <v>63</v>
      </c>
      <c r="Q457" t="s">
        <v>2000</v>
      </c>
      <c r="R457" s="34">
        <v>393.165</v>
      </c>
      <c r="S457" s="31">
        <v>3</v>
      </c>
      <c r="T457" s="35">
        <v>0.5</v>
      </c>
      <c r="U457" s="31">
        <v>-204.4458</v>
      </c>
    </row>
    <row r="458" spans="1:21">
      <c r="A458" s="31">
        <v>457</v>
      </c>
      <c r="B458" t="s">
        <v>39</v>
      </c>
      <c r="C458" s="32">
        <v>41820</v>
      </c>
      <c r="D458" s="32">
        <v>41825</v>
      </c>
      <c r="E458" t="s">
        <v>57</v>
      </c>
      <c r="F458" s="33" t="s">
        <v>2001</v>
      </c>
      <c r="G458" t="s">
        <v>2002</v>
      </c>
      <c r="H458" t="s">
        <v>16</v>
      </c>
      <c r="I458" t="s">
        <v>43</v>
      </c>
      <c r="J458" t="s">
        <v>193</v>
      </c>
      <c r="K458" t="s">
        <v>194</v>
      </c>
      <c r="L458" s="31">
        <v>10024</v>
      </c>
      <c r="M458" t="s">
        <v>9</v>
      </c>
      <c r="N458" s="33" t="s">
        <v>2003</v>
      </c>
      <c r="O458" t="s">
        <v>21</v>
      </c>
      <c r="P458" t="s">
        <v>82</v>
      </c>
      <c r="Q458" t="s">
        <v>2004</v>
      </c>
      <c r="R458" s="34">
        <v>334.768</v>
      </c>
      <c r="S458" s="31">
        <v>7</v>
      </c>
      <c r="T458" s="35">
        <v>0.2</v>
      </c>
      <c r="U458" s="31">
        <v>108.7996</v>
      </c>
    </row>
    <row r="459" spans="1:21">
      <c r="A459" s="31">
        <v>458</v>
      </c>
      <c r="B459" t="s">
        <v>39</v>
      </c>
      <c r="C459" s="32">
        <v>42763</v>
      </c>
      <c r="D459" s="32">
        <v>42766</v>
      </c>
      <c r="E459" t="s">
        <v>40</v>
      </c>
      <c r="F459" s="33" t="s">
        <v>2005</v>
      </c>
      <c r="G459" t="s">
        <v>2006</v>
      </c>
      <c r="H459" t="s">
        <v>18</v>
      </c>
      <c r="I459" t="s">
        <v>43</v>
      </c>
      <c r="J459" t="s">
        <v>2007</v>
      </c>
      <c r="K459" t="s">
        <v>52</v>
      </c>
      <c r="L459" s="31">
        <v>92627</v>
      </c>
      <c r="M459" t="s">
        <v>11</v>
      </c>
      <c r="N459" s="33" t="s">
        <v>2008</v>
      </c>
      <c r="O459" t="s">
        <v>22</v>
      </c>
      <c r="P459" t="s">
        <v>171</v>
      </c>
      <c r="Q459" t="s">
        <v>2009</v>
      </c>
      <c r="R459" s="34">
        <v>239.97</v>
      </c>
      <c r="S459" s="31">
        <v>3</v>
      </c>
      <c r="T459" s="35">
        <v>0</v>
      </c>
      <c r="U459" s="31">
        <v>26.3967</v>
      </c>
    </row>
    <row r="460" spans="1:21">
      <c r="A460" s="31">
        <v>459</v>
      </c>
      <c r="B460" t="s">
        <v>39</v>
      </c>
      <c r="C460" s="32">
        <v>42268</v>
      </c>
      <c r="D460" s="32">
        <v>42271</v>
      </c>
      <c r="E460" t="s">
        <v>139</v>
      </c>
      <c r="F460" s="33" t="s">
        <v>2010</v>
      </c>
      <c r="G460" t="s">
        <v>2011</v>
      </c>
      <c r="H460" t="s">
        <v>17</v>
      </c>
      <c r="I460" t="s">
        <v>43</v>
      </c>
      <c r="J460" t="s">
        <v>136</v>
      </c>
      <c r="K460" t="s">
        <v>87</v>
      </c>
      <c r="L460" s="31">
        <v>77041</v>
      </c>
      <c r="M460" t="s">
        <v>8</v>
      </c>
      <c r="N460" s="33" t="s">
        <v>2012</v>
      </c>
      <c r="O460" t="s">
        <v>22</v>
      </c>
      <c r="P460" t="s">
        <v>144</v>
      </c>
      <c r="Q460" t="s">
        <v>2013</v>
      </c>
      <c r="R460" s="34">
        <v>946.344</v>
      </c>
      <c r="S460" s="31">
        <v>7</v>
      </c>
      <c r="T460" s="35">
        <v>0.2</v>
      </c>
      <c r="U460" s="31">
        <v>118.293</v>
      </c>
    </row>
    <row r="461" spans="1:21">
      <c r="A461" s="31">
        <v>460</v>
      </c>
      <c r="B461" t="s">
        <v>39</v>
      </c>
      <c r="C461" s="32">
        <v>42273</v>
      </c>
      <c r="D461" s="32">
        <v>42277</v>
      </c>
      <c r="E461" t="s">
        <v>57</v>
      </c>
      <c r="F461" s="33" t="s">
        <v>2014</v>
      </c>
      <c r="G461" t="s">
        <v>2015</v>
      </c>
      <c r="H461" t="s">
        <v>17</v>
      </c>
      <c r="I461" t="s">
        <v>43</v>
      </c>
      <c r="J461" t="s">
        <v>1029</v>
      </c>
      <c r="K461" t="s">
        <v>215</v>
      </c>
      <c r="L461" s="31">
        <v>85204</v>
      </c>
      <c r="M461" t="s">
        <v>11</v>
      </c>
      <c r="N461" s="33" t="s">
        <v>2016</v>
      </c>
      <c r="O461" t="s">
        <v>21</v>
      </c>
      <c r="P461" t="s">
        <v>75</v>
      </c>
      <c r="Q461" t="s">
        <v>2017</v>
      </c>
      <c r="R461" s="34">
        <v>86.272</v>
      </c>
      <c r="S461" s="31">
        <v>4</v>
      </c>
      <c r="T461" s="35">
        <v>0.2</v>
      </c>
      <c r="U461" s="31">
        <v>31.2736</v>
      </c>
    </row>
    <row r="462" spans="1:21">
      <c r="A462" s="31">
        <v>461</v>
      </c>
      <c r="B462" t="s">
        <v>56</v>
      </c>
      <c r="C462" s="32">
        <v>42308</v>
      </c>
      <c r="D462" s="32">
        <v>42312</v>
      </c>
      <c r="E462" t="s">
        <v>40</v>
      </c>
      <c r="F462" s="33" t="s">
        <v>2018</v>
      </c>
      <c r="G462" t="s">
        <v>2019</v>
      </c>
      <c r="H462" t="s">
        <v>17</v>
      </c>
      <c r="I462" t="s">
        <v>43</v>
      </c>
      <c r="J462" t="s">
        <v>1468</v>
      </c>
      <c r="K462" t="s">
        <v>52</v>
      </c>
      <c r="L462" s="31">
        <v>93905</v>
      </c>
      <c r="M462" t="s">
        <v>11</v>
      </c>
      <c r="N462" s="33" t="s">
        <v>2020</v>
      </c>
      <c r="O462" t="s">
        <v>21</v>
      </c>
      <c r="P462" t="s">
        <v>82</v>
      </c>
      <c r="Q462" t="s">
        <v>2021</v>
      </c>
      <c r="R462" s="34">
        <v>9.728</v>
      </c>
      <c r="S462" s="31">
        <v>2</v>
      </c>
      <c r="T462" s="35">
        <v>0.2</v>
      </c>
      <c r="U462" s="31">
        <v>3.2832</v>
      </c>
    </row>
    <row r="463" spans="1:21">
      <c r="A463" s="31">
        <v>462</v>
      </c>
      <c r="B463" t="s">
        <v>39</v>
      </c>
      <c r="C463" s="32">
        <v>42906</v>
      </c>
      <c r="D463" s="32">
        <v>42913</v>
      </c>
      <c r="E463" t="s">
        <v>57</v>
      </c>
      <c r="F463" s="33" t="s">
        <v>2022</v>
      </c>
      <c r="G463" t="s">
        <v>2023</v>
      </c>
      <c r="H463" t="s">
        <v>16</v>
      </c>
      <c r="I463" t="s">
        <v>43</v>
      </c>
      <c r="J463" t="s">
        <v>2024</v>
      </c>
      <c r="K463" t="s">
        <v>331</v>
      </c>
      <c r="L463" s="31">
        <v>44134</v>
      </c>
      <c r="M463" t="s">
        <v>9</v>
      </c>
      <c r="N463" s="33" t="s">
        <v>2025</v>
      </c>
      <c r="O463" t="s">
        <v>21</v>
      </c>
      <c r="P463" t="s">
        <v>75</v>
      </c>
      <c r="Q463" t="s">
        <v>2026</v>
      </c>
      <c r="R463" s="34">
        <v>31.104</v>
      </c>
      <c r="S463" s="31">
        <v>6</v>
      </c>
      <c r="T463" s="35">
        <v>0.2</v>
      </c>
      <c r="U463" s="31">
        <v>10.8864</v>
      </c>
    </row>
    <row r="464" spans="1:21">
      <c r="A464" s="31">
        <v>463</v>
      </c>
      <c r="B464" t="s">
        <v>39</v>
      </c>
      <c r="C464" s="32">
        <v>43088</v>
      </c>
      <c r="D464" s="32">
        <v>43093</v>
      </c>
      <c r="E464" t="s">
        <v>40</v>
      </c>
      <c r="F464" s="33" t="s">
        <v>2027</v>
      </c>
      <c r="G464" t="s">
        <v>2028</v>
      </c>
      <c r="H464" t="s">
        <v>16</v>
      </c>
      <c r="I464" t="s">
        <v>43</v>
      </c>
      <c r="J464" t="s">
        <v>106</v>
      </c>
      <c r="K464" t="s">
        <v>52</v>
      </c>
      <c r="L464" s="31">
        <v>94110</v>
      </c>
      <c r="M464" t="s">
        <v>11</v>
      </c>
      <c r="N464" s="33" t="s">
        <v>2029</v>
      </c>
      <c r="O464" t="s">
        <v>21</v>
      </c>
      <c r="P464" t="s">
        <v>82</v>
      </c>
      <c r="Q464" t="s">
        <v>2030</v>
      </c>
      <c r="R464" s="34">
        <v>36.672</v>
      </c>
      <c r="S464" s="31">
        <v>2</v>
      </c>
      <c r="T464" s="35">
        <v>0.2</v>
      </c>
      <c r="U464" s="31">
        <v>11.46</v>
      </c>
    </row>
    <row r="465" spans="1:21">
      <c r="A465" s="31">
        <v>464</v>
      </c>
      <c r="B465" t="s">
        <v>39</v>
      </c>
      <c r="C465" s="32">
        <v>42952</v>
      </c>
      <c r="D465" s="32">
        <v>42955</v>
      </c>
      <c r="E465" t="s">
        <v>139</v>
      </c>
      <c r="F465" s="33" t="s">
        <v>2031</v>
      </c>
      <c r="G465" t="s">
        <v>2032</v>
      </c>
      <c r="H465" t="s">
        <v>17</v>
      </c>
      <c r="I465" t="s">
        <v>43</v>
      </c>
      <c r="J465" t="s">
        <v>1110</v>
      </c>
      <c r="K465" t="s">
        <v>45</v>
      </c>
      <c r="L465" s="31">
        <v>40475</v>
      </c>
      <c r="M465" t="s">
        <v>10</v>
      </c>
      <c r="N465" s="33" t="s">
        <v>2033</v>
      </c>
      <c r="O465" t="s">
        <v>21</v>
      </c>
      <c r="P465" t="s">
        <v>75</v>
      </c>
      <c r="Q465" t="s">
        <v>2034</v>
      </c>
      <c r="R465" s="34">
        <v>13.76</v>
      </c>
      <c r="S465" s="31">
        <v>2</v>
      </c>
      <c r="T465" s="35">
        <v>0</v>
      </c>
      <c r="U465" s="31">
        <v>6.3296</v>
      </c>
    </row>
    <row r="466" spans="1:21">
      <c r="A466" s="31">
        <v>465</v>
      </c>
      <c r="B466" t="s">
        <v>39</v>
      </c>
      <c r="C466" s="32">
        <v>42278</v>
      </c>
      <c r="D466" s="32">
        <v>42283</v>
      </c>
      <c r="E466" t="s">
        <v>57</v>
      </c>
      <c r="F466" s="33" t="s">
        <v>2035</v>
      </c>
      <c r="G466" t="s">
        <v>2036</v>
      </c>
      <c r="H466" t="s">
        <v>17</v>
      </c>
      <c r="I466" t="s">
        <v>43</v>
      </c>
      <c r="J466" t="s">
        <v>304</v>
      </c>
      <c r="K466" t="s">
        <v>305</v>
      </c>
      <c r="L466" s="31">
        <v>80013</v>
      </c>
      <c r="M466" t="s">
        <v>11</v>
      </c>
      <c r="N466" s="33" t="s">
        <v>1099</v>
      </c>
      <c r="O466" t="s">
        <v>21</v>
      </c>
      <c r="P466" t="s">
        <v>96</v>
      </c>
      <c r="Q466" t="s">
        <v>1100</v>
      </c>
      <c r="R466" s="34">
        <v>139.424</v>
      </c>
      <c r="S466" s="31">
        <v>4</v>
      </c>
      <c r="T466" s="35">
        <v>0.2</v>
      </c>
      <c r="U466" s="31">
        <v>17.428</v>
      </c>
    </row>
    <row r="467" spans="1:21">
      <c r="A467" s="31">
        <v>466</v>
      </c>
      <c r="B467" t="s">
        <v>56</v>
      </c>
      <c r="C467" s="32">
        <v>42204</v>
      </c>
      <c r="D467" s="32">
        <v>42205</v>
      </c>
      <c r="E467" t="s">
        <v>139</v>
      </c>
      <c r="F467" s="33" t="s">
        <v>2037</v>
      </c>
      <c r="G467" t="s">
        <v>2038</v>
      </c>
      <c r="H467" t="s">
        <v>16</v>
      </c>
      <c r="I467" t="s">
        <v>43</v>
      </c>
      <c r="J467" t="s">
        <v>359</v>
      </c>
      <c r="K467" t="s">
        <v>215</v>
      </c>
      <c r="L467" s="31">
        <v>85023</v>
      </c>
      <c r="M467" t="s">
        <v>11</v>
      </c>
      <c r="N467" s="33" t="s">
        <v>2039</v>
      </c>
      <c r="O467" t="s">
        <v>21</v>
      </c>
      <c r="P467" t="s">
        <v>82</v>
      </c>
      <c r="Q467" t="s">
        <v>2040</v>
      </c>
      <c r="R467" s="34">
        <v>2.025</v>
      </c>
      <c r="S467" s="31">
        <v>1</v>
      </c>
      <c r="T467" s="35">
        <v>0.7</v>
      </c>
      <c r="U467" s="31">
        <v>-1.35</v>
      </c>
    </row>
    <row r="468" spans="1:21">
      <c r="A468" s="31">
        <v>467</v>
      </c>
      <c r="B468" t="s">
        <v>39</v>
      </c>
      <c r="C468" s="32">
        <v>42700</v>
      </c>
      <c r="D468" s="32">
        <v>42703</v>
      </c>
      <c r="E468" t="s">
        <v>139</v>
      </c>
      <c r="F468" s="33" t="s">
        <v>2041</v>
      </c>
      <c r="G468" t="s">
        <v>2042</v>
      </c>
      <c r="H468" t="s">
        <v>17</v>
      </c>
      <c r="I468" t="s">
        <v>43</v>
      </c>
      <c r="J468" t="s">
        <v>2043</v>
      </c>
      <c r="K468" t="s">
        <v>241</v>
      </c>
      <c r="L468" s="31">
        <v>36608</v>
      </c>
      <c r="M468" t="s">
        <v>10</v>
      </c>
      <c r="N468" s="33" t="s">
        <v>2044</v>
      </c>
      <c r="O468" t="s">
        <v>21</v>
      </c>
      <c r="P468" t="s">
        <v>75</v>
      </c>
      <c r="Q468" t="s">
        <v>138</v>
      </c>
      <c r="R468" s="34">
        <v>70.98</v>
      </c>
      <c r="S468" s="31">
        <v>7</v>
      </c>
      <c r="T468" s="35">
        <v>0</v>
      </c>
      <c r="U468" s="31">
        <v>34.7802</v>
      </c>
    </row>
    <row r="469" spans="1:21">
      <c r="A469" s="31">
        <v>468</v>
      </c>
      <c r="B469" t="s">
        <v>39</v>
      </c>
      <c r="C469" s="32">
        <v>42898</v>
      </c>
      <c r="D469" s="32">
        <v>42905</v>
      </c>
      <c r="E469" t="s">
        <v>57</v>
      </c>
      <c r="F469" s="33" t="s">
        <v>2045</v>
      </c>
      <c r="G469" t="s">
        <v>2046</v>
      </c>
      <c r="H469" t="s">
        <v>18</v>
      </c>
      <c r="I469" t="s">
        <v>43</v>
      </c>
      <c r="J469" t="s">
        <v>330</v>
      </c>
      <c r="K469" t="s">
        <v>746</v>
      </c>
      <c r="L469" s="31">
        <v>31907</v>
      </c>
      <c r="M469" t="s">
        <v>10</v>
      </c>
      <c r="N469" s="33" t="s">
        <v>2047</v>
      </c>
      <c r="O469" t="s">
        <v>21</v>
      </c>
      <c r="P469" t="s">
        <v>82</v>
      </c>
      <c r="Q469" t="s">
        <v>2048</v>
      </c>
      <c r="R469" s="34">
        <v>91.2</v>
      </c>
      <c r="S469" s="31">
        <v>3</v>
      </c>
      <c r="T469" s="35">
        <v>0</v>
      </c>
      <c r="U469" s="31">
        <v>41.952</v>
      </c>
    </row>
    <row r="470" spans="1:21">
      <c r="A470" s="31">
        <v>469</v>
      </c>
      <c r="B470" t="s">
        <v>39</v>
      </c>
      <c r="C470" s="32">
        <v>42638</v>
      </c>
      <c r="D470" s="32">
        <v>42644</v>
      </c>
      <c r="E470" t="s">
        <v>57</v>
      </c>
      <c r="F470" s="33" t="s">
        <v>2049</v>
      </c>
      <c r="G470" t="s">
        <v>2050</v>
      </c>
      <c r="H470" t="s">
        <v>17</v>
      </c>
      <c r="I470" t="s">
        <v>43</v>
      </c>
      <c r="J470" t="s">
        <v>2051</v>
      </c>
      <c r="K470" t="s">
        <v>87</v>
      </c>
      <c r="L470" s="31">
        <v>75061</v>
      </c>
      <c r="M470" t="s">
        <v>8</v>
      </c>
      <c r="N470" s="33" t="s">
        <v>1399</v>
      </c>
      <c r="O470" t="s">
        <v>21</v>
      </c>
      <c r="P470" t="s">
        <v>54</v>
      </c>
      <c r="Q470" t="s">
        <v>1400</v>
      </c>
      <c r="R470" s="34">
        <v>15.936</v>
      </c>
      <c r="S470" s="31">
        <v>4</v>
      </c>
      <c r="T470" s="35">
        <v>0.2</v>
      </c>
      <c r="U470" s="31">
        <v>5.1792</v>
      </c>
    </row>
    <row r="471" spans="1:21">
      <c r="A471" s="31">
        <v>470</v>
      </c>
      <c r="B471" t="s">
        <v>56</v>
      </c>
      <c r="C471" s="32">
        <v>42440</v>
      </c>
      <c r="D471" s="32">
        <v>42444</v>
      </c>
      <c r="E471" t="s">
        <v>57</v>
      </c>
      <c r="F471" s="33" t="s">
        <v>2052</v>
      </c>
      <c r="G471" t="s">
        <v>2053</v>
      </c>
      <c r="H471" t="s">
        <v>16</v>
      </c>
      <c r="I471" t="s">
        <v>43</v>
      </c>
      <c r="J471" t="s">
        <v>2054</v>
      </c>
      <c r="K471" t="s">
        <v>504</v>
      </c>
      <c r="L471" s="31">
        <v>8360</v>
      </c>
      <c r="M471" t="s">
        <v>9</v>
      </c>
      <c r="N471" s="33" t="s">
        <v>1678</v>
      </c>
      <c r="O471" t="s">
        <v>20</v>
      </c>
      <c r="P471" t="s">
        <v>63</v>
      </c>
      <c r="Q471" t="s">
        <v>1679</v>
      </c>
      <c r="R471" s="34">
        <v>244.006</v>
      </c>
      <c r="S471" s="31">
        <v>2</v>
      </c>
      <c r="T471" s="35">
        <v>0.3</v>
      </c>
      <c r="U471" s="31">
        <v>-31.3722</v>
      </c>
    </row>
    <row r="472" spans="1:21">
      <c r="A472" s="31">
        <v>471</v>
      </c>
      <c r="B472" t="s">
        <v>56</v>
      </c>
      <c r="C472" s="32">
        <v>42720</v>
      </c>
      <c r="D472" s="32">
        <v>42723</v>
      </c>
      <c r="E472" t="s">
        <v>139</v>
      </c>
      <c r="F472" s="33" t="s">
        <v>2055</v>
      </c>
      <c r="G472" t="s">
        <v>2056</v>
      </c>
      <c r="H472" t="s">
        <v>17</v>
      </c>
      <c r="I472" t="s">
        <v>43</v>
      </c>
      <c r="J472" t="s">
        <v>193</v>
      </c>
      <c r="K472" t="s">
        <v>194</v>
      </c>
      <c r="L472" s="31">
        <v>10009</v>
      </c>
      <c r="M472" t="s">
        <v>9</v>
      </c>
      <c r="N472" s="33" t="s">
        <v>1698</v>
      </c>
      <c r="O472" t="s">
        <v>21</v>
      </c>
      <c r="P472" t="s">
        <v>196</v>
      </c>
      <c r="Q472" t="s">
        <v>1699</v>
      </c>
      <c r="R472" s="34">
        <v>3.68</v>
      </c>
      <c r="S472" s="31">
        <v>2</v>
      </c>
      <c r="T472" s="35">
        <v>0</v>
      </c>
      <c r="U472" s="31">
        <v>1.8032</v>
      </c>
    </row>
    <row r="473" spans="1:21">
      <c r="A473" s="31">
        <v>472</v>
      </c>
      <c r="B473" t="s">
        <v>39</v>
      </c>
      <c r="C473" s="32">
        <v>42927</v>
      </c>
      <c r="D473" s="32">
        <v>42931</v>
      </c>
      <c r="E473" t="s">
        <v>57</v>
      </c>
      <c r="F473" s="33" t="s">
        <v>2057</v>
      </c>
      <c r="G473" t="s">
        <v>2058</v>
      </c>
      <c r="H473" t="s">
        <v>17</v>
      </c>
      <c r="I473" t="s">
        <v>43</v>
      </c>
      <c r="J473" t="s">
        <v>51</v>
      </c>
      <c r="K473" t="s">
        <v>52</v>
      </c>
      <c r="L473" s="31">
        <v>90004</v>
      </c>
      <c r="M473" t="s">
        <v>11</v>
      </c>
      <c r="N473" s="33" t="s">
        <v>1484</v>
      </c>
      <c r="O473" t="s">
        <v>21</v>
      </c>
      <c r="P473" t="s">
        <v>54</v>
      </c>
      <c r="Q473" t="s">
        <v>1485</v>
      </c>
      <c r="R473" s="34">
        <v>8.67</v>
      </c>
      <c r="S473" s="31">
        <v>3</v>
      </c>
      <c r="T473" s="35">
        <v>0</v>
      </c>
      <c r="U473" s="31">
        <v>4.0749</v>
      </c>
    </row>
    <row r="474" spans="1:21">
      <c r="A474" s="31">
        <v>473</v>
      </c>
      <c r="B474" t="s">
        <v>39</v>
      </c>
      <c r="C474" s="32">
        <v>42693</v>
      </c>
      <c r="D474" s="32">
        <v>42699</v>
      </c>
      <c r="E474" t="s">
        <v>57</v>
      </c>
      <c r="F474" s="33" t="s">
        <v>2059</v>
      </c>
      <c r="G474" t="s">
        <v>2060</v>
      </c>
      <c r="H474" t="s">
        <v>18</v>
      </c>
      <c r="I474" t="s">
        <v>43</v>
      </c>
      <c r="J474" t="s">
        <v>2061</v>
      </c>
      <c r="K474" t="s">
        <v>194</v>
      </c>
      <c r="L474" s="31">
        <v>14304</v>
      </c>
      <c r="M474" t="s">
        <v>9</v>
      </c>
      <c r="N474" s="33" t="s">
        <v>2062</v>
      </c>
      <c r="O474" t="s">
        <v>21</v>
      </c>
      <c r="P474" t="s">
        <v>108</v>
      </c>
      <c r="Q474" t="s">
        <v>2063</v>
      </c>
      <c r="R474" s="34">
        <v>17.28</v>
      </c>
      <c r="S474" s="31">
        <v>6</v>
      </c>
      <c r="T474" s="35">
        <v>0</v>
      </c>
      <c r="U474" s="31">
        <v>5.0112</v>
      </c>
    </row>
    <row r="475" spans="1:21">
      <c r="A475" s="31">
        <v>474</v>
      </c>
      <c r="B475" t="s">
        <v>39</v>
      </c>
      <c r="C475" s="32">
        <v>42687</v>
      </c>
      <c r="D475" s="32">
        <v>42691</v>
      </c>
      <c r="E475" t="s">
        <v>57</v>
      </c>
      <c r="F475" s="33" t="s">
        <v>2064</v>
      </c>
      <c r="G475" t="s">
        <v>2065</v>
      </c>
      <c r="H475" t="s">
        <v>16</v>
      </c>
      <c r="I475" t="s">
        <v>43</v>
      </c>
      <c r="J475" t="s">
        <v>2066</v>
      </c>
      <c r="K475" t="s">
        <v>73</v>
      </c>
      <c r="L475" s="31">
        <v>27360</v>
      </c>
      <c r="M475" t="s">
        <v>10</v>
      </c>
      <c r="N475" s="33" t="s">
        <v>2067</v>
      </c>
      <c r="O475" t="s">
        <v>21</v>
      </c>
      <c r="P475" t="s">
        <v>1104</v>
      </c>
      <c r="Q475" t="s">
        <v>2068</v>
      </c>
      <c r="R475" s="34">
        <v>52.136</v>
      </c>
      <c r="S475" s="31">
        <v>7</v>
      </c>
      <c r="T475" s="35">
        <v>0.2</v>
      </c>
      <c r="U475" s="31">
        <v>5.8653</v>
      </c>
    </row>
    <row r="476" spans="1:21">
      <c r="A476" s="31">
        <v>475</v>
      </c>
      <c r="B476" t="s">
        <v>39</v>
      </c>
      <c r="C476" s="32">
        <v>41970</v>
      </c>
      <c r="D476" s="32">
        <v>41976</v>
      </c>
      <c r="E476" t="s">
        <v>57</v>
      </c>
      <c r="F476" s="33" t="s">
        <v>2069</v>
      </c>
      <c r="G476" t="s">
        <v>2070</v>
      </c>
      <c r="H476" t="s">
        <v>16</v>
      </c>
      <c r="I476" t="s">
        <v>43</v>
      </c>
      <c r="J476" t="s">
        <v>193</v>
      </c>
      <c r="K476" t="s">
        <v>194</v>
      </c>
      <c r="L476" s="31">
        <v>10035</v>
      </c>
      <c r="M476" t="s">
        <v>9</v>
      </c>
      <c r="N476" s="33" t="s">
        <v>2071</v>
      </c>
      <c r="O476" t="s">
        <v>21</v>
      </c>
      <c r="P476" t="s">
        <v>196</v>
      </c>
      <c r="Q476" t="s">
        <v>1004</v>
      </c>
      <c r="R476" s="34">
        <v>3.76</v>
      </c>
      <c r="S476" s="31">
        <v>2</v>
      </c>
      <c r="T476" s="35">
        <v>0</v>
      </c>
      <c r="U476" s="31">
        <v>1.316</v>
      </c>
    </row>
    <row r="477" spans="1:21">
      <c r="A477" s="31">
        <v>476</v>
      </c>
      <c r="B477" t="s">
        <v>39</v>
      </c>
      <c r="C477" s="32">
        <v>42311</v>
      </c>
      <c r="D477" s="32">
        <v>42315</v>
      </c>
      <c r="E477" t="s">
        <v>57</v>
      </c>
      <c r="F477" s="33" t="s">
        <v>2072</v>
      </c>
      <c r="G477" t="s">
        <v>2073</v>
      </c>
      <c r="H477" t="s">
        <v>18</v>
      </c>
      <c r="I477" t="s">
        <v>43</v>
      </c>
      <c r="J477" t="s">
        <v>51</v>
      </c>
      <c r="K477" t="s">
        <v>52</v>
      </c>
      <c r="L477" s="31">
        <v>90008</v>
      </c>
      <c r="M477" t="s">
        <v>11</v>
      </c>
      <c r="N477" s="33" t="s">
        <v>2074</v>
      </c>
      <c r="O477" t="s">
        <v>22</v>
      </c>
      <c r="P477" t="s">
        <v>144</v>
      </c>
      <c r="Q477" t="s">
        <v>2075</v>
      </c>
      <c r="R477" s="34">
        <v>1212.848</v>
      </c>
      <c r="S477" s="31">
        <v>7</v>
      </c>
      <c r="T477" s="35">
        <v>0.2</v>
      </c>
      <c r="U477" s="31">
        <v>106.1242</v>
      </c>
    </row>
    <row r="478" spans="1:21">
      <c r="A478" s="31">
        <v>477</v>
      </c>
      <c r="B478" t="s">
        <v>39</v>
      </c>
      <c r="C478" s="32">
        <v>41972</v>
      </c>
      <c r="D478" s="32">
        <v>41979</v>
      </c>
      <c r="E478" t="s">
        <v>57</v>
      </c>
      <c r="F478" s="33" t="s">
        <v>2076</v>
      </c>
      <c r="G478" t="s">
        <v>2077</v>
      </c>
      <c r="H478" t="s">
        <v>16</v>
      </c>
      <c r="I478" t="s">
        <v>43</v>
      </c>
      <c r="J478" t="s">
        <v>118</v>
      </c>
      <c r="K478" t="s">
        <v>119</v>
      </c>
      <c r="L478" s="31">
        <v>19143</v>
      </c>
      <c r="M478" t="s">
        <v>9</v>
      </c>
      <c r="N478" s="33" t="s">
        <v>2078</v>
      </c>
      <c r="O478" t="s">
        <v>21</v>
      </c>
      <c r="P478" t="s">
        <v>54</v>
      </c>
      <c r="Q478" t="s">
        <v>2079</v>
      </c>
      <c r="R478" s="34">
        <v>5.04</v>
      </c>
      <c r="S478" s="31">
        <v>2</v>
      </c>
      <c r="T478" s="35">
        <v>0.2</v>
      </c>
      <c r="U478" s="31">
        <v>1.764</v>
      </c>
    </row>
    <row r="479" spans="1:21">
      <c r="A479" s="31">
        <v>478</v>
      </c>
      <c r="B479" t="s">
        <v>39</v>
      </c>
      <c r="C479" s="32">
        <v>43063</v>
      </c>
      <c r="D479" s="32">
        <v>43067</v>
      </c>
      <c r="E479" t="s">
        <v>57</v>
      </c>
      <c r="F479" s="33" t="s">
        <v>2080</v>
      </c>
      <c r="G479" t="s">
        <v>2081</v>
      </c>
      <c r="H479" t="s">
        <v>17</v>
      </c>
      <c r="I479" t="s">
        <v>43</v>
      </c>
      <c r="J479" t="s">
        <v>193</v>
      </c>
      <c r="K479" t="s">
        <v>194</v>
      </c>
      <c r="L479" s="31">
        <v>10035</v>
      </c>
      <c r="M479" t="s">
        <v>9</v>
      </c>
      <c r="N479" s="33" t="s">
        <v>2082</v>
      </c>
      <c r="O479" t="s">
        <v>21</v>
      </c>
      <c r="P479" t="s">
        <v>75</v>
      </c>
      <c r="Q479" t="s">
        <v>2083</v>
      </c>
      <c r="R479" s="34">
        <v>5.88</v>
      </c>
      <c r="S479" s="31">
        <v>1</v>
      </c>
      <c r="T479" s="35">
        <v>0</v>
      </c>
      <c r="U479" s="31">
        <v>2.8812</v>
      </c>
    </row>
    <row r="480" spans="1:21">
      <c r="A480" s="31">
        <v>479</v>
      </c>
      <c r="B480" t="s">
        <v>39</v>
      </c>
      <c r="C480" s="32">
        <v>43038</v>
      </c>
      <c r="D480" s="32">
        <v>43042</v>
      </c>
      <c r="E480" t="s">
        <v>57</v>
      </c>
      <c r="F480" s="33" t="s">
        <v>2084</v>
      </c>
      <c r="G480" t="s">
        <v>2085</v>
      </c>
      <c r="H480" t="s">
        <v>17</v>
      </c>
      <c r="I480" t="s">
        <v>43</v>
      </c>
      <c r="J480" t="s">
        <v>1208</v>
      </c>
      <c r="K480" t="s">
        <v>80</v>
      </c>
      <c r="L480" s="31">
        <v>98661</v>
      </c>
      <c r="M480" t="s">
        <v>11</v>
      </c>
      <c r="N480" s="33" t="s">
        <v>2086</v>
      </c>
      <c r="O480" t="s">
        <v>20</v>
      </c>
      <c r="P480" t="s">
        <v>68</v>
      </c>
      <c r="Q480" t="s">
        <v>2087</v>
      </c>
      <c r="R480" s="34">
        <v>9.64</v>
      </c>
      <c r="S480" s="31">
        <v>2</v>
      </c>
      <c r="T480" s="35">
        <v>0</v>
      </c>
      <c r="U480" s="31">
        <v>3.6632</v>
      </c>
    </row>
    <row r="481" spans="1:21">
      <c r="A481" s="31">
        <v>480</v>
      </c>
      <c r="B481" t="s">
        <v>39</v>
      </c>
      <c r="C481" s="32">
        <v>42982</v>
      </c>
      <c r="D481" s="32">
        <v>42986</v>
      </c>
      <c r="E481" t="s">
        <v>57</v>
      </c>
      <c r="F481" s="33" t="s">
        <v>2088</v>
      </c>
      <c r="G481" t="s">
        <v>2089</v>
      </c>
      <c r="H481" t="s">
        <v>16</v>
      </c>
      <c r="I481" t="s">
        <v>43</v>
      </c>
      <c r="J481" t="s">
        <v>2090</v>
      </c>
      <c r="K481" t="s">
        <v>87</v>
      </c>
      <c r="L481" s="31">
        <v>75019</v>
      </c>
      <c r="M481" t="s">
        <v>8</v>
      </c>
      <c r="N481" s="33" t="s">
        <v>2091</v>
      </c>
      <c r="O481" t="s">
        <v>21</v>
      </c>
      <c r="P481" t="s">
        <v>108</v>
      </c>
      <c r="Q481" t="s">
        <v>2092</v>
      </c>
      <c r="R481" s="34">
        <v>10.192</v>
      </c>
      <c r="S481" s="31">
        <v>7</v>
      </c>
      <c r="T481" s="35">
        <v>0.2</v>
      </c>
      <c r="U481" s="31">
        <v>3.185</v>
      </c>
    </row>
    <row r="482" spans="1:21">
      <c r="A482" s="31">
        <v>481</v>
      </c>
      <c r="B482" t="s">
        <v>39</v>
      </c>
      <c r="C482" s="32">
        <v>42217</v>
      </c>
      <c r="D482" s="32">
        <v>42223</v>
      </c>
      <c r="E482" t="s">
        <v>57</v>
      </c>
      <c r="F482" s="33" t="s">
        <v>2093</v>
      </c>
      <c r="G482" t="s">
        <v>2094</v>
      </c>
      <c r="H482" t="s">
        <v>18</v>
      </c>
      <c r="I482" t="s">
        <v>43</v>
      </c>
      <c r="J482" t="s">
        <v>51</v>
      </c>
      <c r="K482" t="s">
        <v>52</v>
      </c>
      <c r="L482" s="31">
        <v>90004</v>
      </c>
      <c r="M482" t="s">
        <v>11</v>
      </c>
      <c r="N482" s="33" t="s">
        <v>2095</v>
      </c>
      <c r="O482" t="s">
        <v>21</v>
      </c>
      <c r="P482" t="s">
        <v>108</v>
      </c>
      <c r="Q482" t="s">
        <v>2096</v>
      </c>
      <c r="R482" s="34">
        <v>6.72</v>
      </c>
      <c r="S482" s="31">
        <v>4</v>
      </c>
      <c r="T482" s="35">
        <v>0</v>
      </c>
      <c r="U482" s="31">
        <v>3.36</v>
      </c>
    </row>
    <row r="483" spans="1:21">
      <c r="A483" s="31">
        <v>482</v>
      </c>
      <c r="B483" t="s">
        <v>39</v>
      </c>
      <c r="C483" s="32">
        <v>43093</v>
      </c>
      <c r="D483" s="32">
        <v>43098</v>
      </c>
      <c r="E483" t="s">
        <v>57</v>
      </c>
      <c r="F483" s="33" t="s">
        <v>2097</v>
      </c>
      <c r="G483" t="s">
        <v>2098</v>
      </c>
      <c r="H483" t="s">
        <v>16</v>
      </c>
      <c r="I483" t="s">
        <v>43</v>
      </c>
      <c r="J483" t="s">
        <v>193</v>
      </c>
      <c r="K483" t="s">
        <v>194</v>
      </c>
      <c r="L483" s="31">
        <v>10024</v>
      </c>
      <c r="M483" t="s">
        <v>9</v>
      </c>
      <c r="N483" s="33" t="s">
        <v>2099</v>
      </c>
      <c r="O483" t="s">
        <v>21</v>
      </c>
      <c r="P483" t="s">
        <v>82</v>
      </c>
      <c r="Q483" t="s">
        <v>2100</v>
      </c>
      <c r="R483" s="34">
        <v>17.88</v>
      </c>
      <c r="S483" s="31">
        <v>3</v>
      </c>
      <c r="T483" s="35">
        <v>0.2</v>
      </c>
      <c r="U483" s="31">
        <v>5.5875</v>
      </c>
    </row>
    <row r="484" spans="1:21">
      <c r="A484" s="31">
        <v>483</v>
      </c>
      <c r="B484" t="s">
        <v>56</v>
      </c>
      <c r="C484" s="32">
        <v>43080</v>
      </c>
      <c r="D484" s="32">
        <v>43086</v>
      </c>
      <c r="E484" t="s">
        <v>57</v>
      </c>
      <c r="F484" s="33" t="s">
        <v>2101</v>
      </c>
      <c r="G484" t="s">
        <v>2102</v>
      </c>
      <c r="H484" t="s">
        <v>16</v>
      </c>
      <c r="I484" t="s">
        <v>43</v>
      </c>
      <c r="J484" t="s">
        <v>118</v>
      </c>
      <c r="K484" t="s">
        <v>119</v>
      </c>
      <c r="L484" s="31">
        <v>19120</v>
      </c>
      <c r="M484" t="s">
        <v>9</v>
      </c>
      <c r="N484" s="33" t="s">
        <v>1965</v>
      </c>
      <c r="O484" t="s">
        <v>20</v>
      </c>
      <c r="P484" t="s">
        <v>121</v>
      </c>
      <c r="Q484" t="s">
        <v>1966</v>
      </c>
      <c r="R484" s="34">
        <v>63.686</v>
      </c>
      <c r="S484" s="31">
        <v>1</v>
      </c>
      <c r="T484" s="35">
        <v>0.3</v>
      </c>
      <c r="U484" s="31">
        <v>-9.098</v>
      </c>
    </row>
    <row r="485" spans="1:21">
      <c r="A485" s="31">
        <v>484</v>
      </c>
      <c r="B485" t="s">
        <v>39</v>
      </c>
      <c r="C485" s="32">
        <v>41673</v>
      </c>
      <c r="D485" s="32">
        <v>41676</v>
      </c>
      <c r="E485" t="s">
        <v>40</v>
      </c>
      <c r="F485" s="33" t="s">
        <v>2103</v>
      </c>
      <c r="G485" t="s">
        <v>2104</v>
      </c>
      <c r="H485" t="s">
        <v>16</v>
      </c>
      <c r="I485" t="s">
        <v>43</v>
      </c>
      <c r="J485" t="s">
        <v>79</v>
      </c>
      <c r="K485" t="s">
        <v>80</v>
      </c>
      <c r="L485" s="31">
        <v>98105</v>
      </c>
      <c r="M485" t="s">
        <v>11</v>
      </c>
      <c r="N485" s="33" t="s">
        <v>707</v>
      </c>
      <c r="O485" t="s">
        <v>21</v>
      </c>
      <c r="P485" t="s">
        <v>82</v>
      </c>
      <c r="Q485" t="s">
        <v>708</v>
      </c>
      <c r="R485" s="34">
        <v>83.84</v>
      </c>
      <c r="S485" s="31">
        <v>2</v>
      </c>
      <c r="T485" s="35">
        <v>0.2</v>
      </c>
      <c r="U485" s="31">
        <v>27.248</v>
      </c>
    </row>
    <row r="486" spans="1:21">
      <c r="A486" s="31">
        <v>485</v>
      </c>
      <c r="B486" t="s">
        <v>39</v>
      </c>
      <c r="C486" s="32">
        <v>42841</v>
      </c>
      <c r="D486" s="32">
        <v>42846</v>
      </c>
      <c r="E486" t="s">
        <v>57</v>
      </c>
      <c r="F486" s="33" t="s">
        <v>2105</v>
      </c>
      <c r="G486" t="s">
        <v>2106</v>
      </c>
      <c r="H486" t="s">
        <v>18</v>
      </c>
      <c r="I486" t="s">
        <v>43</v>
      </c>
      <c r="J486" t="s">
        <v>209</v>
      </c>
      <c r="K486" t="s">
        <v>154</v>
      </c>
      <c r="L486" s="31">
        <v>60610</v>
      </c>
      <c r="M486" t="s">
        <v>8</v>
      </c>
      <c r="N486" s="33" t="s">
        <v>2107</v>
      </c>
      <c r="O486" t="s">
        <v>21</v>
      </c>
      <c r="P486" t="s">
        <v>108</v>
      </c>
      <c r="Q486" t="s">
        <v>2108</v>
      </c>
      <c r="R486" s="34">
        <v>16.52</v>
      </c>
      <c r="S486" s="31">
        <v>5</v>
      </c>
      <c r="T486" s="35">
        <v>0.2</v>
      </c>
      <c r="U486" s="31">
        <v>2.065</v>
      </c>
    </row>
    <row r="487" spans="1:21">
      <c r="A487" s="31">
        <v>486</v>
      </c>
      <c r="B487" t="s">
        <v>39</v>
      </c>
      <c r="C487" s="32">
        <v>42344</v>
      </c>
      <c r="D487" s="32">
        <v>42349</v>
      </c>
      <c r="E487" t="s">
        <v>57</v>
      </c>
      <c r="F487" s="33" t="s">
        <v>2109</v>
      </c>
      <c r="G487" t="s">
        <v>2110</v>
      </c>
      <c r="H487" t="s">
        <v>16</v>
      </c>
      <c r="I487" t="s">
        <v>43</v>
      </c>
      <c r="J487" t="s">
        <v>768</v>
      </c>
      <c r="K487" t="s">
        <v>215</v>
      </c>
      <c r="L487" s="31">
        <v>85705</v>
      </c>
      <c r="M487" t="s">
        <v>11</v>
      </c>
      <c r="N487" s="33" t="s">
        <v>2111</v>
      </c>
      <c r="O487" t="s">
        <v>20</v>
      </c>
      <c r="P487" t="s">
        <v>68</v>
      </c>
      <c r="Q487" t="s">
        <v>2112</v>
      </c>
      <c r="R487" s="34">
        <v>206.112</v>
      </c>
      <c r="S487" s="31">
        <v>6</v>
      </c>
      <c r="T487" s="35">
        <v>0.2</v>
      </c>
      <c r="U487" s="31">
        <v>48.9516</v>
      </c>
    </row>
    <row r="488" spans="1:21">
      <c r="A488" s="31">
        <v>487</v>
      </c>
      <c r="B488" t="s">
        <v>39</v>
      </c>
      <c r="C488" s="32">
        <v>42776</v>
      </c>
      <c r="D488" s="32">
        <v>42780</v>
      </c>
      <c r="E488" t="s">
        <v>57</v>
      </c>
      <c r="F488" s="33" t="s">
        <v>2113</v>
      </c>
      <c r="G488" t="s">
        <v>2114</v>
      </c>
      <c r="H488" t="s">
        <v>18</v>
      </c>
      <c r="I488" t="s">
        <v>43</v>
      </c>
      <c r="J488" t="s">
        <v>2115</v>
      </c>
      <c r="K488" t="s">
        <v>52</v>
      </c>
      <c r="L488" s="31">
        <v>92677</v>
      </c>
      <c r="M488" t="s">
        <v>11</v>
      </c>
      <c r="N488" s="33" t="s">
        <v>1258</v>
      </c>
      <c r="O488" t="s">
        <v>20</v>
      </c>
      <c r="P488" t="s">
        <v>47</v>
      </c>
      <c r="Q488" t="s">
        <v>1259</v>
      </c>
      <c r="R488" s="34">
        <v>203.983</v>
      </c>
      <c r="S488" s="31">
        <v>2</v>
      </c>
      <c r="T488" s="35">
        <v>0.15</v>
      </c>
      <c r="U488" s="31">
        <v>16.7986</v>
      </c>
    </row>
    <row r="489" spans="1:21">
      <c r="A489" s="31">
        <v>488</v>
      </c>
      <c r="B489" t="s">
        <v>39</v>
      </c>
      <c r="C489" s="32">
        <v>42672</v>
      </c>
      <c r="D489" s="32">
        <v>42676</v>
      </c>
      <c r="E489" t="s">
        <v>57</v>
      </c>
      <c r="F489" s="33" t="s">
        <v>2116</v>
      </c>
      <c r="G489" t="s">
        <v>2117</v>
      </c>
      <c r="H489" t="s">
        <v>17</v>
      </c>
      <c r="I489" t="s">
        <v>43</v>
      </c>
      <c r="J489" t="s">
        <v>2118</v>
      </c>
      <c r="K489" t="s">
        <v>504</v>
      </c>
      <c r="L489" s="31">
        <v>8302</v>
      </c>
      <c r="M489" t="s">
        <v>9</v>
      </c>
      <c r="N489" s="33" t="s">
        <v>2119</v>
      </c>
      <c r="O489" t="s">
        <v>21</v>
      </c>
      <c r="P489" t="s">
        <v>96</v>
      </c>
      <c r="Q489" t="s">
        <v>2120</v>
      </c>
      <c r="R489" s="34">
        <v>40.74</v>
      </c>
      <c r="S489" s="31">
        <v>3</v>
      </c>
      <c r="T489" s="35">
        <v>0</v>
      </c>
      <c r="U489" s="31">
        <v>0.4074</v>
      </c>
    </row>
    <row r="490" spans="1:21">
      <c r="A490" s="31">
        <v>489</v>
      </c>
      <c r="B490" t="s">
        <v>39</v>
      </c>
      <c r="C490" s="32">
        <v>42993</v>
      </c>
      <c r="D490" s="32">
        <v>42995</v>
      </c>
      <c r="E490" t="s">
        <v>40</v>
      </c>
      <c r="F490" s="33" t="s">
        <v>2121</v>
      </c>
      <c r="G490" t="s">
        <v>2122</v>
      </c>
      <c r="H490" t="s">
        <v>16</v>
      </c>
      <c r="I490" t="s">
        <v>43</v>
      </c>
      <c r="J490" t="s">
        <v>2123</v>
      </c>
      <c r="K490" t="s">
        <v>735</v>
      </c>
      <c r="L490" s="31">
        <v>2149</v>
      </c>
      <c r="M490" t="s">
        <v>9</v>
      </c>
      <c r="N490" s="33" t="s">
        <v>2124</v>
      </c>
      <c r="O490" t="s">
        <v>22</v>
      </c>
      <c r="P490" t="s">
        <v>144</v>
      </c>
      <c r="Q490" t="s">
        <v>2125</v>
      </c>
      <c r="R490" s="34">
        <v>39.99</v>
      </c>
      <c r="S490" s="31">
        <v>1</v>
      </c>
      <c r="T490" s="35">
        <v>0</v>
      </c>
      <c r="U490" s="31">
        <v>11.5971</v>
      </c>
    </row>
    <row r="491" spans="1:21">
      <c r="A491" s="31">
        <v>490</v>
      </c>
      <c r="B491" t="s">
        <v>39</v>
      </c>
      <c r="C491" s="32">
        <v>41674</v>
      </c>
      <c r="D491" s="32">
        <v>41678</v>
      </c>
      <c r="E491" t="s">
        <v>57</v>
      </c>
      <c r="F491" s="33" t="s">
        <v>2126</v>
      </c>
      <c r="G491" t="s">
        <v>2127</v>
      </c>
      <c r="H491" t="s">
        <v>18</v>
      </c>
      <c r="I491" t="s">
        <v>43</v>
      </c>
      <c r="J491" t="s">
        <v>588</v>
      </c>
      <c r="K491" t="s">
        <v>52</v>
      </c>
      <c r="L491" s="31">
        <v>92024</v>
      </c>
      <c r="M491" t="s">
        <v>11</v>
      </c>
      <c r="N491" s="33" t="s">
        <v>2128</v>
      </c>
      <c r="O491" t="s">
        <v>21</v>
      </c>
      <c r="P491" t="s">
        <v>82</v>
      </c>
      <c r="Q491" t="s">
        <v>2129</v>
      </c>
      <c r="R491" s="34">
        <v>82.896</v>
      </c>
      <c r="S491" s="31">
        <v>3</v>
      </c>
      <c r="T491" s="35">
        <v>0.2</v>
      </c>
      <c r="U491" s="31">
        <v>29.0136</v>
      </c>
    </row>
    <row r="492" spans="1:21">
      <c r="A492" s="31">
        <v>491</v>
      </c>
      <c r="B492" t="s">
        <v>39</v>
      </c>
      <c r="C492" s="32">
        <v>42538</v>
      </c>
      <c r="D492" s="32">
        <v>42543</v>
      </c>
      <c r="E492" t="s">
        <v>57</v>
      </c>
      <c r="F492" s="33" t="s">
        <v>2130</v>
      </c>
      <c r="G492" t="s">
        <v>2131</v>
      </c>
      <c r="H492" t="s">
        <v>16</v>
      </c>
      <c r="I492" t="s">
        <v>43</v>
      </c>
      <c r="J492" t="s">
        <v>588</v>
      </c>
      <c r="K492" t="s">
        <v>52</v>
      </c>
      <c r="L492" s="31">
        <v>92024</v>
      </c>
      <c r="M492" t="s">
        <v>11</v>
      </c>
      <c r="N492" s="33" t="s">
        <v>2132</v>
      </c>
      <c r="O492" t="s">
        <v>21</v>
      </c>
      <c r="P492" t="s">
        <v>75</v>
      </c>
      <c r="Q492" t="s">
        <v>2133</v>
      </c>
      <c r="R492" s="34">
        <v>111.96</v>
      </c>
      <c r="S492" s="31">
        <v>2</v>
      </c>
      <c r="T492" s="35">
        <v>0</v>
      </c>
      <c r="U492" s="31">
        <v>54.8604</v>
      </c>
    </row>
    <row r="493" spans="1:21">
      <c r="A493" s="31">
        <v>492</v>
      </c>
      <c r="B493" t="s">
        <v>39</v>
      </c>
      <c r="C493" s="32">
        <v>43024</v>
      </c>
      <c r="D493" s="32">
        <v>43029</v>
      </c>
      <c r="E493" t="s">
        <v>57</v>
      </c>
      <c r="F493" s="33" t="s">
        <v>2134</v>
      </c>
      <c r="G493" t="s">
        <v>2135</v>
      </c>
      <c r="H493" t="s">
        <v>16</v>
      </c>
      <c r="I493" t="s">
        <v>43</v>
      </c>
      <c r="J493" t="s">
        <v>1110</v>
      </c>
      <c r="K493" t="s">
        <v>45</v>
      </c>
      <c r="L493" s="31">
        <v>40475</v>
      </c>
      <c r="M493" t="s">
        <v>10</v>
      </c>
      <c r="N493" s="33" t="s">
        <v>1492</v>
      </c>
      <c r="O493" t="s">
        <v>21</v>
      </c>
      <c r="P493" t="s">
        <v>82</v>
      </c>
      <c r="Q493" t="s">
        <v>1493</v>
      </c>
      <c r="R493" s="34">
        <v>124.75</v>
      </c>
      <c r="S493" s="31">
        <v>5</v>
      </c>
      <c r="T493" s="35">
        <v>0</v>
      </c>
      <c r="U493" s="31">
        <v>57.385</v>
      </c>
    </row>
    <row r="494" spans="1:21">
      <c r="A494" s="31">
        <v>493</v>
      </c>
      <c r="B494" t="s">
        <v>39</v>
      </c>
      <c r="C494" s="32">
        <v>42982</v>
      </c>
      <c r="D494" s="32">
        <v>42986</v>
      </c>
      <c r="E494" t="s">
        <v>57</v>
      </c>
      <c r="F494" s="33" t="s">
        <v>2136</v>
      </c>
      <c r="G494" t="s">
        <v>2137</v>
      </c>
      <c r="H494" t="s">
        <v>16</v>
      </c>
      <c r="I494" t="s">
        <v>43</v>
      </c>
      <c r="J494" t="s">
        <v>701</v>
      </c>
      <c r="K494" t="s">
        <v>194</v>
      </c>
      <c r="L494" s="31">
        <v>11561</v>
      </c>
      <c r="M494" t="s">
        <v>9</v>
      </c>
      <c r="N494" s="33" t="s">
        <v>170</v>
      </c>
      <c r="O494" t="s">
        <v>22</v>
      </c>
      <c r="P494" t="s">
        <v>171</v>
      </c>
      <c r="Q494" t="s">
        <v>172</v>
      </c>
      <c r="R494" s="34">
        <v>91.96</v>
      </c>
      <c r="S494" s="31">
        <v>4</v>
      </c>
      <c r="T494" s="35">
        <v>0</v>
      </c>
      <c r="U494" s="31">
        <v>39.5428</v>
      </c>
    </row>
    <row r="495" spans="1:21">
      <c r="A495" s="31">
        <v>494</v>
      </c>
      <c r="B495" t="s">
        <v>39</v>
      </c>
      <c r="C495" s="32">
        <v>42499</v>
      </c>
      <c r="D495" s="32">
        <v>42505</v>
      </c>
      <c r="E495" t="s">
        <v>57</v>
      </c>
      <c r="F495" s="33" t="s">
        <v>2138</v>
      </c>
      <c r="G495" t="s">
        <v>2139</v>
      </c>
      <c r="H495" t="s">
        <v>16</v>
      </c>
      <c r="I495" t="s">
        <v>43</v>
      </c>
      <c r="J495" t="s">
        <v>118</v>
      </c>
      <c r="K495" t="s">
        <v>119</v>
      </c>
      <c r="L495" s="31">
        <v>19140</v>
      </c>
      <c r="M495" t="s">
        <v>9</v>
      </c>
      <c r="N495" s="33" t="s">
        <v>2140</v>
      </c>
      <c r="O495" t="s">
        <v>21</v>
      </c>
      <c r="P495" t="s">
        <v>149</v>
      </c>
      <c r="Q495" t="s">
        <v>436</v>
      </c>
      <c r="R495" s="34">
        <v>9.344</v>
      </c>
      <c r="S495" s="31">
        <v>1</v>
      </c>
      <c r="T495" s="35">
        <v>0.2</v>
      </c>
      <c r="U495" s="31">
        <v>3.504</v>
      </c>
    </row>
    <row r="496" spans="1:21">
      <c r="A496" s="31">
        <v>495</v>
      </c>
      <c r="B496" t="s">
        <v>39</v>
      </c>
      <c r="C496" s="32">
        <v>42469</v>
      </c>
      <c r="D496" s="32">
        <v>42473</v>
      </c>
      <c r="E496" t="s">
        <v>57</v>
      </c>
      <c r="F496" s="33" t="s">
        <v>2141</v>
      </c>
      <c r="G496" t="s">
        <v>2142</v>
      </c>
      <c r="H496" t="s">
        <v>17</v>
      </c>
      <c r="I496" t="s">
        <v>43</v>
      </c>
      <c r="J496" t="s">
        <v>79</v>
      </c>
      <c r="K496" t="s">
        <v>80</v>
      </c>
      <c r="L496" s="31">
        <v>98103</v>
      </c>
      <c r="M496" t="s">
        <v>11</v>
      </c>
      <c r="N496" s="33" t="s">
        <v>1504</v>
      </c>
      <c r="O496" t="s">
        <v>21</v>
      </c>
      <c r="P496" t="s">
        <v>82</v>
      </c>
      <c r="Q496" t="s">
        <v>1505</v>
      </c>
      <c r="R496" s="34">
        <v>35.352</v>
      </c>
      <c r="S496" s="31">
        <v>9</v>
      </c>
      <c r="T496" s="35">
        <v>0.2</v>
      </c>
      <c r="U496" s="31">
        <v>12.8151</v>
      </c>
    </row>
    <row r="497" spans="1:21">
      <c r="A497" s="31">
        <v>496</v>
      </c>
      <c r="B497" t="s">
        <v>56</v>
      </c>
      <c r="C497" s="32">
        <v>42916</v>
      </c>
      <c r="D497" s="32">
        <v>42916</v>
      </c>
      <c r="E497" t="s">
        <v>755</v>
      </c>
      <c r="F497" s="33" t="s">
        <v>2143</v>
      </c>
      <c r="G497" t="s">
        <v>2144</v>
      </c>
      <c r="H497" t="s">
        <v>16</v>
      </c>
      <c r="I497" t="s">
        <v>43</v>
      </c>
      <c r="J497" t="s">
        <v>193</v>
      </c>
      <c r="K497" t="s">
        <v>194</v>
      </c>
      <c r="L497" s="31">
        <v>10011</v>
      </c>
      <c r="M497" t="s">
        <v>9</v>
      </c>
      <c r="N497" s="33" t="s">
        <v>62</v>
      </c>
      <c r="O497" t="s">
        <v>20</v>
      </c>
      <c r="P497" t="s">
        <v>63</v>
      </c>
      <c r="Q497" t="s">
        <v>64</v>
      </c>
      <c r="R497" s="34">
        <v>1044.63</v>
      </c>
      <c r="S497" s="31">
        <v>5</v>
      </c>
      <c r="T497" s="35">
        <v>0.4</v>
      </c>
      <c r="U497" s="31">
        <v>-295.9785</v>
      </c>
    </row>
    <row r="498" spans="1:21">
      <c r="A498" s="31">
        <v>497</v>
      </c>
      <c r="B498" t="s">
        <v>39</v>
      </c>
      <c r="C498" s="32">
        <v>42317</v>
      </c>
      <c r="D498" s="32">
        <v>42317</v>
      </c>
      <c r="E498" t="s">
        <v>755</v>
      </c>
      <c r="F498" s="33" t="s">
        <v>2145</v>
      </c>
      <c r="G498" t="s">
        <v>2146</v>
      </c>
      <c r="H498" t="s">
        <v>16</v>
      </c>
      <c r="I498" t="s">
        <v>43</v>
      </c>
      <c r="J498" t="s">
        <v>118</v>
      </c>
      <c r="K498" t="s">
        <v>119</v>
      </c>
      <c r="L498" s="31">
        <v>19134</v>
      </c>
      <c r="M498" t="s">
        <v>9</v>
      </c>
      <c r="N498" s="33" t="s">
        <v>2147</v>
      </c>
      <c r="O498" t="s">
        <v>21</v>
      </c>
      <c r="P498" t="s">
        <v>75</v>
      </c>
      <c r="Q498" t="s">
        <v>2148</v>
      </c>
      <c r="R498" s="34">
        <v>11.352</v>
      </c>
      <c r="S498" s="31">
        <v>3</v>
      </c>
      <c r="T498" s="35">
        <v>0.2</v>
      </c>
      <c r="U498" s="31">
        <v>4.1151</v>
      </c>
    </row>
    <row r="499" spans="1:21">
      <c r="A499" s="31">
        <v>498</v>
      </c>
      <c r="B499" t="s">
        <v>39</v>
      </c>
      <c r="C499" s="32">
        <v>42337</v>
      </c>
      <c r="D499" s="32">
        <v>42338</v>
      </c>
      <c r="E499" t="s">
        <v>139</v>
      </c>
      <c r="F499" s="33" t="s">
        <v>2149</v>
      </c>
      <c r="G499" t="s">
        <v>2150</v>
      </c>
      <c r="H499" t="s">
        <v>16</v>
      </c>
      <c r="I499" t="s">
        <v>43</v>
      </c>
      <c r="J499" t="s">
        <v>2151</v>
      </c>
      <c r="K499" t="s">
        <v>87</v>
      </c>
      <c r="L499" s="31">
        <v>75002</v>
      </c>
      <c r="M499" t="s">
        <v>8</v>
      </c>
      <c r="N499" s="33" t="s">
        <v>2152</v>
      </c>
      <c r="O499" t="s">
        <v>22</v>
      </c>
      <c r="P499" t="s">
        <v>171</v>
      </c>
      <c r="Q499" t="s">
        <v>2153</v>
      </c>
      <c r="R499" s="34">
        <v>21.48</v>
      </c>
      <c r="S499" s="31">
        <v>3</v>
      </c>
      <c r="T499" s="35">
        <v>0.2</v>
      </c>
      <c r="U499" s="31">
        <v>-0.2685</v>
      </c>
    </row>
    <row r="500" spans="1:21">
      <c r="A500" s="31">
        <v>499</v>
      </c>
      <c r="B500" t="s">
        <v>39</v>
      </c>
      <c r="C500" s="32">
        <v>41988</v>
      </c>
      <c r="D500" s="32">
        <v>41991</v>
      </c>
      <c r="E500" t="s">
        <v>139</v>
      </c>
      <c r="F500" s="33" t="s">
        <v>2154</v>
      </c>
      <c r="G500" t="s">
        <v>2155</v>
      </c>
      <c r="H500" t="s">
        <v>16</v>
      </c>
      <c r="I500" t="s">
        <v>43</v>
      </c>
      <c r="J500" t="s">
        <v>2156</v>
      </c>
      <c r="K500" t="s">
        <v>87</v>
      </c>
      <c r="L500" s="31">
        <v>79907</v>
      </c>
      <c r="M500" t="s">
        <v>8</v>
      </c>
      <c r="N500" s="33" t="s">
        <v>2157</v>
      </c>
      <c r="O500" t="s">
        <v>22</v>
      </c>
      <c r="P500" t="s">
        <v>144</v>
      </c>
      <c r="Q500" t="s">
        <v>2158</v>
      </c>
      <c r="R500" s="34">
        <v>40.68</v>
      </c>
      <c r="S500" s="31">
        <v>3</v>
      </c>
      <c r="T500" s="35">
        <v>0.2</v>
      </c>
      <c r="U500" s="31">
        <v>-9.153</v>
      </c>
    </row>
    <row r="501" spans="1:21">
      <c r="A501" s="31">
        <v>500</v>
      </c>
      <c r="B501" t="s">
        <v>39</v>
      </c>
      <c r="C501" s="32">
        <v>42482</v>
      </c>
      <c r="D501" s="32">
        <v>42487</v>
      </c>
      <c r="E501" t="s">
        <v>57</v>
      </c>
      <c r="F501" s="33" t="s">
        <v>2159</v>
      </c>
      <c r="G501" t="s">
        <v>2160</v>
      </c>
      <c r="H501" t="s">
        <v>18</v>
      </c>
      <c r="I501" t="s">
        <v>43</v>
      </c>
      <c r="J501" t="s">
        <v>304</v>
      </c>
      <c r="K501" t="s">
        <v>154</v>
      </c>
      <c r="L501" s="31">
        <v>60505</v>
      </c>
      <c r="M501" t="s">
        <v>8</v>
      </c>
      <c r="N501" s="33" t="s">
        <v>2161</v>
      </c>
      <c r="O501" t="s">
        <v>21</v>
      </c>
      <c r="P501" t="s">
        <v>96</v>
      </c>
      <c r="Q501" t="s">
        <v>2162</v>
      </c>
      <c r="R501" s="34">
        <v>23.952</v>
      </c>
      <c r="S501" s="31">
        <v>2</v>
      </c>
      <c r="T501" s="35">
        <v>0.2</v>
      </c>
      <c r="U501" s="31">
        <v>2.3952</v>
      </c>
    </row>
    <row r="502" spans="1:21">
      <c r="A502" s="31">
        <v>501</v>
      </c>
      <c r="B502" t="s">
        <v>39</v>
      </c>
      <c r="C502" s="32">
        <v>42502</v>
      </c>
      <c r="D502" s="32">
        <v>42506</v>
      </c>
      <c r="E502" t="s">
        <v>57</v>
      </c>
      <c r="F502" s="33" t="s">
        <v>2163</v>
      </c>
      <c r="G502" t="s">
        <v>2164</v>
      </c>
      <c r="H502" t="s">
        <v>17</v>
      </c>
      <c r="I502" t="s">
        <v>43</v>
      </c>
      <c r="J502" t="s">
        <v>1627</v>
      </c>
      <c r="K502" t="s">
        <v>221</v>
      </c>
      <c r="L502" s="31">
        <v>23464</v>
      </c>
      <c r="M502" t="s">
        <v>10</v>
      </c>
      <c r="N502" s="33" t="s">
        <v>986</v>
      </c>
      <c r="O502" t="s">
        <v>21</v>
      </c>
      <c r="P502" t="s">
        <v>108</v>
      </c>
      <c r="Q502" t="s">
        <v>987</v>
      </c>
      <c r="R502" s="34">
        <v>10.96</v>
      </c>
      <c r="S502" s="31">
        <v>4</v>
      </c>
      <c r="T502" s="35">
        <v>0</v>
      </c>
      <c r="U502" s="31">
        <v>2.9592</v>
      </c>
    </row>
    <row r="503" spans="1:21">
      <c r="A503" s="31">
        <v>502</v>
      </c>
      <c r="B503" t="s">
        <v>56</v>
      </c>
      <c r="C503" s="32">
        <v>42475</v>
      </c>
      <c r="D503" s="32">
        <v>42479</v>
      </c>
      <c r="E503" t="s">
        <v>57</v>
      </c>
      <c r="F503" s="33" t="s">
        <v>2165</v>
      </c>
      <c r="G503" t="s">
        <v>2166</v>
      </c>
      <c r="H503" t="s">
        <v>17</v>
      </c>
      <c r="I503" t="s">
        <v>43</v>
      </c>
      <c r="J503" t="s">
        <v>2167</v>
      </c>
      <c r="K503" t="s">
        <v>87</v>
      </c>
      <c r="L503" s="31">
        <v>76051</v>
      </c>
      <c r="M503" t="s">
        <v>8</v>
      </c>
      <c r="N503" s="33" t="s">
        <v>2168</v>
      </c>
      <c r="O503" t="s">
        <v>21</v>
      </c>
      <c r="P503" t="s">
        <v>108</v>
      </c>
      <c r="Q503" t="s">
        <v>2169</v>
      </c>
      <c r="R503" s="34">
        <v>33.488</v>
      </c>
      <c r="S503" s="31">
        <v>7</v>
      </c>
      <c r="T503" s="35">
        <v>0.2</v>
      </c>
      <c r="U503" s="31">
        <v>5.8604</v>
      </c>
    </row>
    <row r="504" spans="1:21">
      <c r="A504" s="31">
        <v>503</v>
      </c>
      <c r="B504" t="s">
        <v>39</v>
      </c>
      <c r="C504" s="32">
        <v>42178</v>
      </c>
      <c r="D504" s="32">
        <v>42180</v>
      </c>
      <c r="E504" t="s">
        <v>40</v>
      </c>
      <c r="F504" s="33" t="s">
        <v>2170</v>
      </c>
      <c r="G504" t="s">
        <v>2171</v>
      </c>
      <c r="H504" t="s">
        <v>16</v>
      </c>
      <c r="I504" t="s">
        <v>43</v>
      </c>
      <c r="J504" t="s">
        <v>2172</v>
      </c>
      <c r="K504" t="s">
        <v>80</v>
      </c>
      <c r="L504" s="31">
        <v>98502</v>
      </c>
      <c r="M504" t="s">
        <v>11</v>
      </c>
      <c r="N504" s="33" t="s">
        <v>2173</v>
      </c>
      <c r="O504" t="s">
        <v>22</v>
      </c>
      <c r="P504" t="s">
        <v>144</v>
      </c>
      <c r="Q504" t="s">
        <v>2174</v>
      </c>
      <c r="R504" s="34">
        <v>201.568</v>
      </c>
      <c r="S504" s="31">
        <v>4</v>
      </c>
      <c r="T504" s="35">
        <v>0.2</v>
      </c>
      <c r="U504" s="31">
        <v>22.6764</v>
      </c>
    </row>
    <row r="505" spans="1:21">
      <c r="A505" s="31">
        <v>504</v>
      </c>
      <c r="B505" t="s">
        <v>39</v>
      </c>
      <c r="C505" s="32">
        <v>42087</v>
      </c>
      <c r="D505" s="32">
        <v>42090</v>
      </c>
      <c r="E505" t="s">
        <v>139</v>
      </c>
      <c r="F505" s="33" t="s">
        <v>2175</v>
      </c>
      <c r="G505" t="s">
        <v>2176</v>
      </c>
      <c r="H505" t="s">
        <v>18</v>
      </c>
      <c r="I505" t="s">
        <v>43</v>
      </c>
      <c r="J505" t="s">
        <v>817</v>
      </c>
      <c r="K505" t="s">
        <v>154</v>
      </c>
      <c r="L505" s="31">
        <v>61604</v>
      </c>
      <c r="M505" t="s">
        <v>8</v>
      </c>
      <c r="N505" s="33" t="s">
        <v>2177</v>
      </c>
      <c r="O505" t="s">
        <v>20</v>
      </c>
      <c r="P505" t="s">
        <v>47</v>
      </c>
      <c r="Q505" t="s">
        <v>2178</v>
      </c>
      <c r="R505" s="34">
        <v>359.058</v>
      </c>
      <c r="S505" s="31">
        <v>3</v>
      </c>
      <c r="T505" s="35">
        <v>0.3</v>
      </c>
      <c r="U505" s="31">
        <v>-35.9058</v>
      </c>
    </row>
    <row r="506" spans="1:21">
      <c r="A506" s="31">
        <v>505</v>
      </c>
      <c r="B506" t="s">
        <v>39</v>
      </c>
      <c r="C506" s="32">
        <v>41785</v>
      </c>
      <c r="D506" s="32">
        <v>41789</v>
      </c>
      <c r="E506" t="s">
        <v>57</v>
      </c>
      <c r="F506" s="33" t="s">
        <v>2179</v>
      </c>
      <c r="G506" t="s">
        <v>2180</v>
      </c>
      <c r="H506" t="s">
        <v>17</v>
      </c>
      <c r="I506" t="s">
        <v>43</v>
      </c>
      <c r="J506" t="s">
        <v>51</v>
      </c>
      <c r="K506" t="s">
        <v>52</v>
      </c>
      <c r="L506" s="31">
        <v>90008</v>
      </c>
      <c r="M506" t="s">
        <v>11</v>
      </c>
      <c r="N506" s="33" t="s">
        <v>2177</v>
      </c>
      <c r="O506" t="s">
        <v>20</v>
      </c>
      <c r="P506" t="s">
        <v>47</v>
      </c>
      <c r="Q506" t="s">
        <v>2178</v>
      </c>
      <c r="R506" s="34">
        <v>290.666</v>
      </c>
      <c r="S506" s="31">
        <v>2</v>
      </c>
      <c r="T506" s="35">
        <v>0.15</v>
      </c>
      <c r="U506" s="31">
        <v>27.3568</v>
      </c>
    </row>
    <row r="507" spans="1:21">
      <c r="A507" s="31">
        <v>506</v>
      </c>
      <c r="B507" t="s">
        <v>39</v>
      </c>
      <c r="C507" s="32">
        <v>42924</v>
      </c>
      <c r="D507" s="32">
        <v>42931</v>
      </c>
      <c r="E507" t="s">
        <v>57</v>
      </c>
      <c r="F507" s="33" t="s">
        <v>2181</v>
      </c>
      <c r="G507" t="s">
        <v>2182</v>
      </c>
      <c r="H507" t="s">
        <v>16</v>
      </c>
      <c r="I507" t="s">
        <v>43</v>
      </c>
      <c r="J507" t="s">
        <v>2183</v>
      </c>
      <c r="K507" t="s">
        <v>80</v>
      </c>
      <c r="L507" s="31">
        <v>98031</v>
      </c>
      <c r="M507" t="s">
        <v>11</v>
      </c>
      <c r="N507" s="33" t="s">
        <v>2184</v>
      </c>
      <c r="O507" t="s">
        <v>20</v>
      </c>
      <c r="P507" t="s">
        <v>68</v>
      </c>
      <c r="Q507" t="s">
        <v>2185</v>
      </c>
      <c r="R507" s="34">
        <v>198.46</v>
      </c>
      <c r="S507" s="31">
        <v>2</v>
      </c>
      <c r="T507" s="35">
        <v>0</v>
      </c>
      <c r="U507" s="31">
        <v>99.23</v>
      </c>
    </row>
    <row r="508" spans="1:21">
      <c r="A508" s="31">
        <v>507</v>
      </c>
      <c r="B508" t="s">
        <v>39</v>
      </c>
      <c r="C508" s="32">
        <v>42357</v>
      </c>
      <c r="D508" s="32">
        <v>42362</v>
      </c>
      <c r="E508" t="s">
        <v>57</v>
      </c>
      <c r="F508" s="33" t="s">
        <v>2186</v>
      </c>
      <c r="G508" t="s">
        <v>2187</v>
      </c>
      <c r="H508" t="s">
        <v>16</v>
      </c>
      <c r="I508" t="s">
        <v>43</v>
      </c>
      <c r="J508" t="s">
        <v>51</v>
      </c>
      <c r="K508" t="s">
        <v>52</v>
      </c>
      <c r="L508" s="31">
        <v>90049</v>
      </c>
      <c r="M508" t="s">
        <v>11</v>
      </c>
      <c r="N508" s="33" t="s">
        <v>2012</v>
      </c>
      <c r="O508" t="s">
        <v>22</v>
      </c>
      <c r="P508" t="s">
        <v>144</v>
      </c>
      <c r="Q508" t="s">
        <v>2013</v>
      </c>
      <c r="R508" s="34">
        <v>675.96</v>
      </c>
      <c r="S508" s="31">
        <v>5</v>
      </c>
      <c r="T508" s="35">
        <v>0.2</v>
      </c>
      <c r="U508" s="31">
        <v>84.495</v>
      </c>
    </row>
    <row r="509" spans="1:21">
      <c r="A509" s="31">
        <v>508</v>
      </c>
      <c r="B509" t="s">
        <v>39</v>
      </c>
      <c r="C509" s="32">
        <v>42271</v>
      </c>
      <c r="D509" s="32">
        <v>42277</v>
      </c>
      <c r="E509" t="s">
        <v>57</v>
      </c>
      <c r="F509" s="33" t="s">
        <v>2188</v>
      </c>
      <c r="G509" t="s">
        <v>2189</v>
      </c>
      <c r="H509" t="s">
        <v>16</v>
      </c>
      <c r="I509" t="s">
        <v>43</v>
      </c>
      <c r="J509" t="s">
        <v>2190</v>
      </c>
      <c r="K509" t="s">
        <v>469</v>
      </c>
      <c r="L509" s="31">
        <v>70506</v>
      </c>
      <c r="M509" t="s">
        <v>10</v>
      </c>
      <c r="N509" s="33" t="s">
        <v>2191</v>
      </c>
      <c r="O509" t="s">
        <v>20</v>
      </c>
      <c r="P509" t="s">
        <v>121</v>
      </c>
      <c r="Q509" t="s">
        <v>2192</v>
      </c>
      <c r="R509" s="34">
        <v>517.5</v>
      </c>
      <c r="S509" s="31">
        <v>6</v>
      </c>
      <c r="T509" s="35">
        <v>0</v>
      </c>
      <c r="U509" s="31">
        <v>155.25</v>
      </c>
    </row>
    <row r="510" spans="1:21">
      <c r="A510" s="31">
        <v>509</v>
      </c>
      <c r="B510" t="s">
        <v>39</v>
      </c>
      <c r="C510" s="32">
        <v>41969</v>
      </c>
      <c r="D510" s="32">
        <v>41975</v>
      </c>
      <c r="E510" t="s">
        <v>57</v>
      </c>
      <c r="F510" s="33" t="s">
        <v>2193</v>
      </c>
      <c r="G510" t="s">
        <v>2194</v>
      </c>
      <c r="H510" t="s">
        <v>16</v>
      </c>
      <c r="I510" t="s">
        <v>43</v>
      </c>
      <c r="J510" t="s">
        <v>2195</v>
      </c>
      <c r="K510" t="s">
        <v>278</v>
      </c>
      <c r="L510" s="31">
        <v>97224</v>
      </c>
      <c r="M510" t="s">
        <v>11</v>
      </c>
      <c r="N510" s="33" t="s">
        <v>1661</v>
      </c>
      <c r="O510" t="s">
        <v>21</v>
      </c>
      <c r="P510" t="s">
        <v>75</v>
      </c>
      <c r="Q510" t="s">
        <v>1662</v>
      </c>
      <c r="R510" s="34">
        <v>15.552</v>
      </c>
      <c r="S510" s="31">
        <v>3</v>
      </c>
      <c r="T510" s="35">
        <v>0.2</v>
      </c>
      <c r="U510" s="31">
        <v>5.4432</v>
      </c>
    </row>
    <row r="511" spans="1:21">
      <c r="A511" s="31">
        <v>510</v>
      </c>
      <c r="B511" t="s">
        <v>39</v>
      </c>
      <c r="C511" s="32">
        <v>42516</v>
      </c>
      <c r="D511" s="32">
        <v>42522</v>
      </c>
      <c r="E511" t="s">
        <v>57</v>
      </c>
      <c r="F511" s="33" t="s">
        <v>2196</v>
      </c>
      <c r="G511" t="s">
        <v>2197</v>
      </c>
      <c r="H511" t="s">
        <v>16</v>
      </c>
      <c r="I511" t="s">
        <v>43</v>
      </c>
      <c r="J511" t="s">
        <v>80</v>
      </c>
      <c r="K511" t="s">
        <v>2198</v>
      </c>
      <c r="L511" s="31">
        <v>20016</v>
      </c>
      <c r="M511" t="s">
        <v>9</v>
      </c>
      <c r="N511" s="33" t="s">
        <v>2199</v>
      </c>
      <c r="O511" t="s">
        <v>21</v>
      </c>
      <c r="P511" t="s">
        <v>75</v>
      </c>
      <c r="Q511" t="s">
        <v>2200</v>
      </c>
      <c r="R511" s="34">
        <v>19.44</v>
      </c>
      <c r="S511" s="31">
        <v>3</v>
      </c>
      <c r="T511" s="35">
        <v>0</v>
      </c>
      <c r="U511" s="31">
        <v>9.3312</v>
      </c>
    </row>
    <row r="512" spans="1:21">
      <c r="A512" s="31">
        <v>511</v>
      </c>
      <c r="B512" t="s">
        <v>56</v>
      </c>
      <c r="C512" s="32">
        <v>41972</v>
      </c>
      <c r="D512" s="32">
        <v>41977</v>
      </c>
      <c r="E512" t="s">
        <v>57</v>
      </c>
      <c r="F512" s="33" t="s">
        <v>2201</v>
      </c>
      <c r="G512" t="s">
        <v>2202</v>
      </c>
      <c r="H512" t="s">
        <v>17</v>
      </c>
      <c r="I512" t="s">
        <v>43</v>
      </c>
      <c r="J512" t="s">
        <v>2203</v>
      </c>
      <c r="K512" t="s">
        <v>154</v>
      </c>
      <c r="L512" s="31">
        <v>60076</v>
      </c>
      <c r="M512" t="s">
        <v>8</v>
      </c>
      <c r="N512" s="33" t="s">
        <v>2204</v>
      </c>
      <c r="O512" t="s">
        <v>21</v>
      </c>
      <c r="P512" t="s">
        <v>196</v>
      </c>
      <c r="Q512" t="s">
        <v>1004</v>
      </c>
      <c r="R512" s="34">
        <v>12.624</v>
      </c>
      <c r="S512" s="31">
        <v>2</v>
      </c>
      <c r="T512" s="35">
        <v>0.2</v>
      </c>
      <c r="U512" s="31">
        <v>3.945</v>
      </c>
    </row>
    <row r="513" spans="1:21">
      <c r="A513" s="31">
        <v>512</v>
      </c>
      <c r="B513" t="s">
        <v>39</v>
      </c>
      <c r="C513" s="32">
        <v>41880</v>
      </c>
      <c r="D513" s="32">
        <v>41880</v>
      </c>
      <c r="E513" t="s">
        <v>755</v>
      </c>
      <c r="F513" s="33" t="s">
        <v>2205</v>
      </c>
      <c r="G513" t="s">
        <v>2206</v>
      </c>
      <c r="H513" t="s">
        <v>17</v>
      </c>
      <c r="I513" t="s">
        <v>43</v>
      </c>
      <c r="J513" t="s">
        <v>106</v>
      </c>
      <c r="K513" t="s">
        <v>52</v>
      </c>
      <c r="L513" s="31">
        <v>94110</v>
      </c>
      <c r="M513" t="s">
        <v>11</v>
      </c>
      <c r="N513" s="33" t="s">
        <v>2207</v>
      </c>
      <c r="O513" t="s">
        <v>21</v>
      </c>
      <c r="P513" t="s">
        <v>75</v>
      </c>
      <c r="Q513" t="s">
        <v>2208</v>
      </c>
      <c r="R513" s="34">
        <v>109.92</v>
      </c>
      <c r="S513" s="31">
        <v>2</v>
      </c>
      <c r="T513" s="35">
        <v>0</v>
      </c>
      <c r="U513" s="31">
        <v>53.8608</v>
      </c>
    </row>
    <row r="514" spans="1:21">
      <c r="A514" s="31">
        <v>513</v>
      </c>
      <c r="B514" t="s">
        <v>56</v>
      </c>
      <c r="C514" s="32">
        <v>43057</v>
      </c>
      <c r="D514" s="32">
        <v>43060</v>
      </c>
      <c r="E514" t="s">
        <v>139</v>
      </c>
      <c r="F514" s="33" t="s">
        <v>2209</v>
      </c>
      <c r="G514" t="s">
        <v>2210</v>
      </c>
      <c r="H514" t="s">
        <v>16</v>
      </c>
      <c r="I514" t="s">
        <v>43</v>
      </c>
      <c r="J514" t="s">
        <v>79</v>
      </c>
      <c r="K514" t="s">
        <v>80</v>
      </c>
      <c r="L514" s="31">
        <v>98105</v>
      </c>
      <c r="M514" t="s">
        <v>11</v>
      </c>
      <c r="N514" s="33" t="s">
        <v>264</v>
      </c>
      <c r="O514" t="s">
        <v>21</v>
      </c>
      <c r="P514" t="s">
        <v>96</v>
      </c>
      <c r="Q514" t="s">
        <v>265</v>
      </c>
      <c r="R514" s="34">
        <v>169.68</v>
      </c>
      <c r="S514" s="31">
        <v>6</v>
      </c>
      <c r="T514" s="35">
        <v>0</v>
      </c>
      <c r="U514" s="31">
        <v>45.8136</v>
      </c>
    </row>
    <row r="515" spans="1:21">
      <c r="A515" s="31">
        <v>514</v>
      </c>
      <c r="B515" t="s">
        <v>39</v>
      </c>
      <c r="C515" s="32">
        <v>42755</v>
      </c>
      <c r="D515" s="32">
        <v>42761</v>
      </c>
      <c r="E515" t="s">
        <v>57</v>
      </c>
      <c r="F515" s="33" t="s">
        <v>2211</v>
      </c>
      <c r="G515" t="s">
        <v>2212</v>
      </c>
      <c r="H515" t="s">
        <v>16</v>
      </c>
      <c r="I515" t="s">
        <v>43</v>
      </c>
      <c r="J515" t="s">
        <v>51</v>
      </c>
      <c r="K515" t="s">
        <v>52</v>
      </c>
      <c r="L515" s="31">
        <v>90045</v>
      </c>
      <c r="M515" t="s">
        <v>11</v>
      </c>
      <c r="N515" s="33" t="s">
        <v>2213</v>
      </c>
      <c r="O515" t="s">
        <v>22</v>
      </c>
      <c r="P515" t="s">
        <v>144</v>
      </c>
      <c r="Q515" t="s">
        <v>2214</v>
      </c>
      <c r="R515" s="34">
        <v>160.776</v>
      </c>
      <c r="S515" s="31">
        <v>3</v>
      </c>
      <c r="T515" s="35">
        <v>0.2</v>
      </c>
      <c r="U515" s="31">
        <v>10.0485</v>
      </c>
    </row>
    <row r="516" spans="1:21">
      <c r="A516" s="31">
        <v>515</v>
      </c>
      <c r="B516" t="s">
        <v>39</v>
      </c>
      <c r="C516" s="32">
        <v>43038</v>
      </c>
      <c r="D516" s="32">
        <v>43045</v>
      </c>
      <c r="E516" t="s">
        <v>57</v>
      </c>
      <c r="F516" s="33" t="s">
        <v>2215</v>
      </c>
      <c r="G516" t="s">
        <v>2216</v>
      </c>
      <c r="H516" t="s">
        <v>16</v>
      </c>
      <c r="I516" t="s">
        <v>43</v>
      </c>
      <c r="J516" t="s">
        <v>79</v>
      </c>
      <c r="K516" t="s">
        <v>80</v>
      </c>
      <c r="L516" s="31">
        <v>98115</v>
      </c>
      <c r="M516" t="s">
        <v>11</v>
      </c>
      <c r="N516" s="33" t="s">
        <v>2217</v>
      </c>
      <c r="O516" t="s">
        <v>21</v>
      </c>
      <c r="P516" t="s">
        <v>82</v>
      </c>
      <c r="Q516" t="s">
        <v>2218</v>
      </c>
      <c r="R516" s="34">
        <v>88.752</v>
      </c>
      <c r="S516" s="31">
        <v>3</v>
      </c>
      <c r="T516" s="35">
        <v>0.2</v>
      </c>
      <c r="U516" s="31">
        <v>27.735</v>
      </c>
    </row>
    <row r="517" spans="1:21">
      <c r="A517" s="31">
        <v>516</v>
      </c>
      <c r="B517" t="s">
        <v>39</v>
      </c>
      <c r="C517" s="32">
        <v>42698</v>
      </c>
      <c r="D517" s="32">
        <v>42700</v>
      </c>
      <c r="E517" t="s">
        <v>40</v>
      </c>
      <c r="F517" s="33" t="s">
        <v>2219</v>
      </c>
      <c r="G517" t="s">
        <v>2220</v>
      </c>
      <c r="H517" t="s">
        <v>16</v>
      </c>
      <c r="I517" t="s">
        <v>43</v>
      </c>
      <c r="J517" t="s">
        <v>523</v>
      </c>
      <c r="K517" t="s">
        <v>87</v>
      </c>
      <c r="L517" s="31">
        <v>75217</v>
      </c>
      <c r="M517" t="s">
        <v>8</v>
      </c>
      <c r="N517" s="33" t="s">
        <v>1030</v>
      </c>
      <c r="O517" t="s">
        <v>21</v>
      </c>
      <c r="P517" t="s">
        <v>96</v>
      </c>
      <c r="Q517" t="s">
        <v>1031</v>
      </c>
      <c r="R517" s="34">
        <v>41.92</v>
      </c>
      <c r="S517" s="31">
        <v>5</v>
      </c>
      <c r="T517" s="35">
        <v>0.2</v>
      </c>
      <c r="U517" s="31">
        <v>3.668</v>
      </c>
    </row>
    <row r="518" spans="1:21">
      <c r="A518" s="31">
        <v>517</v>
      </c>
      <c r="B518" t="s">
        <v>39</v>
      </c>
      <c r="C518" s="32">
        <v>42451</v>
      </c>
      <c r="D518" s="32">
        <v>42454</v>
      </c>
      <c r="E518" t="s">
        <v>139</v>
      </c>
      <c r="F518" s="33" t="s">
        <v>2221</v>
      </c>
      <c r="G518" t="s">
        <v>2222</v>
      </c>
      <c r="H518" t="s">
        <v>17</v>
      </c>
      <c r="I518" t="s">
        <v>43</v>
      </c>
      <c r="J518" t="s">
        <v>2223</v>
      </c>
      <c r="K518" t="s">
        <v>823</v>
      </c>
      <c r="L518" s="31">
        <v>89031</v>
      </c>
      <c r="M518" t="s">
        <v>11</v>
      </c>
      <c r="N518" s="33" t="s">
        <v>2224</v>
      </c>
      <c r="O518" t="s">
        <v>22</v>
      </c>
      <c r="P518" t="s">
        <v>171</v>
      </c>
      <c r="Q518" t="s">
        <v>2225</v>
      </c>
      <c r="R518" s="34">
        <v>58.58</v>
      </c>
      <c r="S518" s="31">
        <v>2</v>
      </c>
      <c r="T518" s="35">
        <v>0</v>
      </c>
      <c r="U518" s="31">
        <v>19.3314</v>
      </c>
    </row>
    <row r="519" spans="1:21">
      <c r="A519" s="31">
        <v>518</v>
      </c>
      <c r="B519" t="s">
        <v>39</v>
      </c>
      <c r="C519" s="32">
        <v>42349</v>
      </c>
      <c r="D519" s="32">
        <v>42350</v>
      </c>
      <c r="E519" t="s">
        <v>139</v>
      </c>
      <c r="F519" s="33" t="s">
        <v>2226</v>
      </c>
      <c r="G519" t="s">
        <v>2227</v>
      </c>
      <c r="H519" t="s">
        <v>16</v>
      </c>
      <c r="I519" t="s">
        <v>43</v>
      </c>
      <c r="J519" t="s">
        <v>2228</v>
      </c>
      <c r="K519" t="s">
        <v>221</v>
      </c>
      <c r="L519" s="31">
        <v>23434</v>
      </c>
      <c r="M519" t="s">
        <v>10</v>
      </c>
      <c r="N519" s="33" t="s">
        <v>2229</v>
      </c>
      <c r="O519" t="s">
        <v>21</v>
      </c>
      <c r="P519" t="s">
        <v>54</v>
      </c>
      <c r="Q519" t="s">
        <v>2230</v>
      </c>
      <c r="R519" s="34">
        <v>196.62</v>
      </c>
      <c r="S519" s="31">
        <v>2</v>
      </c>
      <c r="T519" s="35">
        <v>0</v>
      </c>
      <c r="U519" s="31">
        <v>96.3438</v>
      </c>
    </row>
    <row r="520" spans="1:21">
      <c r="A520" s="31">
        <v>519</v>
      </c>
      <c r="B520" t="s">
        <v>39</v>
      </c>
      <c r="C520" s="32">
        <v>42508</v>
      </c>
      <c r="D520" s="32">
        <v>42514</v>
      </c>
      <c r="E520" t="s">
        <v>57</v>
      </c>
      <c r="F520" s="33" t="s">
        <v>2231</v>
      </c>
      <c r="G520" t="s">
        <v>2232</v>
      </c>
      <c r="H520" t="s">
        <v>16</v>
      </c>
      <c r="I520" t="s">
        <v>43</v>
      </c>
      <c r="J520" t="s">
        <v>106</v>
      </c>
      <c r="K520" t="s">
        <v>52</v>
      </c>
      <c r="L520" s="31">
        <v>94110</v>
      </c>
      <c r="M520" t="s">
        <v>11</v>
      </c>
      <c r="N520" s="33" t="s">
        <v>201</v>
      </c>
      <c r="O520" t="s">
        <v>21</v>
      </c>
      <c r="P520" t="s">
        <v>96</v>
      </c>
      <c r="Q520" t="s">
        <v>202</v>
      </c>
      <c r="R520" s="34">
        <v>104.28</v>
      </c>
      <c r="S520" s="31">
        <v>3</v>
      </c>
      <c r="T520" s="35">
        <v>0</v>
      </c>
      <c r="U520" s="31">
        <v>26.07</v>
      </c>
    </row>
    <row r="521" spans="1:21">
      <c r="A521" s="31">
        <v>520</v>
      </c>
      <c r="B521" t="s">
        <v>56</v>
      </c>
      <c r="C521" s="32">
        <v>42642</v>
      </c>
      <c r="D521" s="32">
        <v>42644</v>
      </c>
      <c r="E521" t="s">
        <v>40</v>
      </c>
      <c r="F521" s="33" t="s">
        <v>2233</v>
      </c>
      <c r="G521" t="s">
        <v>2234</v>
      </c>
      <c r="H521" t="s">
        <v>16</v>
      </c>
      <c r="I521" t="s">
        <v>43</v>
      </c>
      <c r="J521" t="s">
        <v>51</v>
      </c>
      <c r="K521" t="s">
        <v>52</v>
      </c>
      <c r="L521" s="31">
        <v>90008</v>
      </c>
      <c r="M521" t="s">
        <v>11</v>
      </c>
      <c r="N521" s="33" t="s">
        <v>2235</v>
      </c>
      <c r="O521" t="s">
        <v>21</v>
      </c>
      <c r="P521" t="s">
        <v>75</v>
      </c>
      <c r="Q521" t="s">
        <v>2236</v>
      </c>
      <c r="R521" s="34">
        <v>18.97</v>
      </c>
      <c r="S521" s="31">
        <v>1</v>
      </c>
      <c r="T521" s="35">
        <v>0</v>
      </c>
      <c r="U521" s="31">
        <v>9.1056</v>
      </c>
    </row>
    <row r="522" spans="1:21">
      <c r="A522" s="31">
        <v>521</v>
      </c>
      <c r="B522" t="s">
        <v>39</v>
      </c>
      <c r="C522" s="32">
        <v>43078</v>
      </c>
      <c r="D522" s="32">
        <v>43084</v>
      </c>
      <c r="E522" t="s">
        <v>57</v>
      </c>
      <c r="F522" s="33" t="s">
        <v>2237</v>
      </c>
      <c r="G522" t="s">
        <v>2238</v>
      </c>
      <c r="H522" t="s">
        <v>16</v>
      </c>
      <c r="I522" t="s">
        <v>43</v>
      </c>
      <c r="J522" t="s">
        <v>2239</v>
      </c>
      <c r="K522" t="s">
        <v>188</v>
      </c>
      <c r="L522" s="31">
        <v>46203</v>
      </c>
      <c r="M522" t="s">
        <v>8</v>
      </c>
      <c r="N522" s="33" t="s">
        <v>2240</v>
      </c>
      <c r="O522" t="s">
        <v>21</v>
      </c>
      <c r="P522" t="s">
        <v>75</v>
      </c>
      <c r="Q522" t="s">
        <v>2241</v>
      </c>
      <c r="R522" s="34">
        <v>33.45</v>
      </c>
      <c r="S522" s="31">
        <v>5</v>
      </c>
      <c r="T522" s="35">
        <v>0</v>
      </c>
      <c r="U522" s="31">
        <v>15.387</v>
      </c>
    </row>
    <row r="523" spans="1:21">
      <c r="A523" s="31">
        <v>522</v>
      </c>
      <c r="B523" t="s">
        <v>56</v>
      </c>
      <c r="C523" s="32">
        <v>42443</v>
      </c>
      <c r="D523" s="32">
        <v>42448</v>
      </c>
      <c r="E523" t="s">
        <v>57</v>
      </c>
      <c r="F523" s="33" t="s">
        <v>2242</v>
      </c>
      <c r="G523" t="s">
        <v>2243</v>
      </c>
      <c r="H523" t="s">
        <v>16</v>
      </c>
      <c r="I523" t="s">
        <v>43</v>
      </c>
      <c r="J523" t="s">
        <v>330</v>
      </c>
      <c r="K523" t="s">
        <v>331</v>
      </c>
      <c r="L523" s="31">
        <v>43229</v>
      </c>
      <c r="M523" t="s">
        <v>9</v>
      </c>
      <c r="N523" s="33" t="s">
        <v>2244</v>
      </c>
      <c r="O523" t="s">
        <v>20</v>
      </c>
      <c r="P523" t="s">
        <v>68</v>
      </c>
      <c r="Q523" t="s">
        <v>2245</v>
      </c>
      <c r="R523" s="34">
        <v>21.88</v>
      </c>
      <c r="S523" s="31">
        <v>5</v>
      </c>
      <c r="T523" s="35">
        <v>0.2</v>
      </c>
      <c r="U523" s="31">
        <v>6.2905</v>
      </c>
    </row>
    <row r="524" spans="1:21">
      <c r="A524" s="31">
        <v>523</v>
      </c>
      <c r="B524" t="s">
        <v>39</v>
      </c>
      <c r="C524" s="32">
        <v>41672</v>
      </c>
      <c r="D524" s="32">
        <v>41676</v>
      </c>
      <c r="E524" t="s">
        <v>57</v>
      </c>
      <c r="F524" s="33" t="s">
        <v>2246</v>
      </c>
      <c r="G524" t="s">
        <v>2247</v>
      </c>
      <c r="H524" t="s">
        <v>18</v>
      </c>
      <c r="I524" t="s">
        <v>43</v>
      </c>
      <c r="J524" t="s">
        <v>588</v>
      </c>
      <c r="K524" t="s">
        <v>52</v>
      </c>
      <c r="L524" s="31">
        <v>92037</v>
      </c>
      <c r="M524" t="s">
        <v>11</v>
      </c>
      <c r="N524" s="33" t="s">
        <v>2248</v>
      </c>
      <c r="O524" t="s">
        <v>21</v>
      </c>
      <c r="P524" t="s">
        <v>196</v>
      </c>
      <c r="Q524" t="s">
        <v>1004</v>
      </c>
      <c r="R524" s="34">
        <v>12.35</v>
      </c>
      <c r="S524" s="31">
        <v>5</v>
      </c>
      <c r="T524" s="35">
        <v>0</v>
      </c>
      <c r="U524" s="31">
        <v>5.8045</v>
      </c>
    </row>
    <row r="525" spans="1:21">
      <c r="A525" s="31">
        <v>524</v>
      </c>
      <c r="B525" t="s">
        <v>39</v>
      </c>
      <c r="C525" s="32">
        <v>43038</v>
      </c>
      <c r="D525" s="32">
        <v>43044</v>
      </c>
      <c r="E525" t="s">
        <v>57</v>
      </c>
      <c r="F525" s="33" t="s">
        <v>2249</v>
      </c>
      <c r="G525" t="s">
        <v>2250</v>
      </c>
      <c r="H525" t="s">
        <v>16</v>
      </c>
      <c r="I525" t="s">
        <v>43</v>
      </c>
      <c r="J525" t="s">
        <v>106</v>
      </c>
      <c r="K525" t="s">
        <v>52</v>
      </c>
      <c r="L525" s="31">
        <v>94122</v>
      </c>
      <c r="M525" t="s">
        <v>11</v>
      </c>
      <c r="N525" s="33" t="s">
        <v>2251</v>
      </c>
      <c r="O525" t="s">
        <v>21</v>
      </c>
      <c r="P525" t="s">
        <v>54</v>
      </c>
      <c r="Q525" t="s">
        <v>2252</v>
      </c>
      <c r="R525" s="34">
        <v>43.86</v>
      </c>
      <c r="S525" s="31">
        <v>6</v>
      </c>
      <c r="T525" s="35">
        <v>0</v>
      </c>
      <c r="U525" s="31">
        <v>20.6142</v>
      </c>
    </row>
    <row r="526" spans="1:21">
      <c r="A526" s="31">
        <v>525</v>
      </c>
      <c r="B526" t="s">
        <v>56</v>
      </c>
      <c r="C526" s="32">
        <v>42854</v>
      </c>
      <c r="D526" s="32">
        <v>42859</v>
      </c>
      <c r="E526" t="s">
        <v>40</v>
      </c>
      <c r="F526" s="33" t="s">
        <v>2253</v>
      </c>
      <c r="G526" t="s">
        <v>2254</v>
      </c>
      <c r="H526" t="s">
        <v>17</v>
      </c>
      <c r="I526" t="s">
        <v>43</v>
      </c>
      <c r="J526" t="s">
        <v>553</v>
      </c>
      <c r="K526" t="s">
        <v>331</v>
      </c>
      <c r="L526" s="31">
        <v>43017</v>
      </c>
      <c r="M526" t="s">
        <v>9</v>
      </c>
      <c r="N526" s="33" t="s">
        <v>2255</v>
      </c>
      <c r="O526" t="s">
        <v>20</v>
      </c>
      <c r="P526" t="s">
        <v>63</v>
      </c>
      <c r="Q526" t="s">
        <v>2256</v>
      </c>
      <c r="R526" s="34">
        <v>1048.35</v>
      </c>
      <c r="S526" s="31">
        <v>5</v>
      </c>
      <c r="T526" s="35">
        <v>0.4</v>
      </c>
      <c r="U526" s="31">
        <v>-69.89</v>
      </c>
    </row>
    <row r="527" spans="1:21">
      <c r="A527" s="31">
        <v>526</v>
      </c>
      <c r="B527" t="s">
        <v>39</v>
      </c>
      <c r="C527" s="32">
        <v>41860</v>
      </c>
      <c r="D527" s="32">
        <v>41867</v>
      </c>
      <c r="E527" t="s">
        <v>57</v>
      </c>
      <c r="F527" s="33" t="s">
        <v>2257</v>
      </c>
      <c r="G527" t="s">
        <v>2258</v>
      </c>
      <c r="H527" t="s">
        <v>18</v>
      </c>
      <c r="I527" t="s">
        <v>43</v>
      </c>
      <c r="J527" t="s">
        <v>588</v>
      </c>
      <c r="K527" t="s">
        <v>52</v>
      </c>
      <c r="L527" s="31">
        <v>92037</v>
      </c>
      <c r="M527" t="s">
        <v>11</v>
      </c>
      <c r="N527" s="33" t="s">
        <v>2259</v>
      </c>
      <c r="O527" t="s">
        <v>21</v>
      </c>
      <c r="P527" t="s">
        <v>54</v>
      </c>
      <c r="Q527" t="s">
        <v>2260</v>
      </c>
      <c r="R527" s="34">
        <v>20.88</v>
      </c>
      <c r="S527" s="31">
        <v>8</v>
      </c>
      <c r="T527" s="35">
        <v>0</v>
      </c>
      <c r="U527" s="31">
        <v>9.6048</v>
      </c>
    </row>
    <row r="528" spans="1:21">
      <c r="A528" s="31">
        <v>527</v>
      </c>
      <c r="B528" t="s">
        <v>56</v>
      </c>
      <c r="C528" s="32">
        <v>41754</v>
      </c>
      <c r="D528" s="32">
        <v>41758</v>
      </c>
      <c r="E528" t="s">
        <v>57</v>
      </c>
      <c r="F528" s="33" t="s">
        <v>2261</v>
      </c>
      <c r="G528" t="s">
        <v>2262</v>
      </c>
      <c r="H528" t="s">
        <v>18</v>
      </c>
      <c r="I528" t="s">
        <v>43</v>
      </c>
      <c r="J528" t="s">
        <v>136</v>
      </c>
      <c r="K528" t="s">
        <v>87</v>
      </c>
      <c r="L528" s="31">
        <v>77095</v>
      </c>
      <c r="M528" t="s">
        <v>8</v>
      </c>
      <c r="N528" s="33" t="s">
        <v>1557</v>
      </c>
      <c r="O528" t="s">
        <v>21</v>
      </c>
      <c r="P528" t="s">
        <v>75</v>
      </c>
      <c r="Q528" t="s">
        <v>1558</v>
      </c>
      <c r="R528" s="34">
        <v>10.368</v>
      </c>
      <c r="S528" s="31">
        <v>2</v>
      </c>
      <c r="T528" s="35">
        <v>0.2</v>
      </c>
      <c r="U528" s="31">
        <v>3.6288</v>
      </c>
    </row>
    <row r="529" spans="1:21">
      <c r="A529" s="31">
        <v>528</v>
      </c>
      <c r="B529" t="s">
        <v>39</v>
      </c>
      <c r="C529" s="32">
        <v>43022</v>
      </c>
      <c r="D529" s="32">
        <v>43025</v>
      </c>
      <c r="E529" t="s">
        <v>139</v>
      </c>
      <c r="F529" s="33" t="s">
        <v>2263</v>
      </c>
      <c r="G529" t="s">
        <v>2264</v>
      </c>
      <c r="H529" t="s">
        <v>16</v>
      </c>
      <c r="I529" t="s">
        <v>43</v>
      </c>
      <c r="J529" t="s">
        <v>1740</v>
      </c>
      <c r="K529" t="s">
        <v>52</v>
      </c>
      <c r="L529" s="31">
        <v>94601</v>
      </c>
      <c r="M529" t="s">
        <v>11</v>
      </c>
      <c r="N529" s="33" t="s">
        <v>679</v>
      </c>
      <c r="O529" t="s">
        <v>20</v>
      </c>
      <c r="P529" t="s">
        <v>68</v>
      </c>
      <c r="Q529" t="s">
        <v>680</v>
      </c>
      <c r="R529" s="34">
        <v>9.46</v>
      </c>
      <c r="S529" s="31">
        <v>2</v>
      </c>
      <c r="T529" s="35">
        <v>0</v>
      </c>
      <c r="U529" s="31">
        <v>3.6894</v>
      </c>
    </row>
    <row r="530" spans="1:21">
      <c r="A530" s="31">
        <v>529</v>
      </c>
      <c r="B530" t="s">
        <v>39</v>
      </c>
      <c r="C530" s="32">
        <v>41770</v>
      </c>
      <c r="D530" s="32">
        <v>41776</v>
      </c>
      <c r="E530" t="s">
        <v>57</v>
      </c>
      <c r="F530" s="33" t="s">
        <v>2265</v>
      </c>
      <c r="G530" t="s">
        <v>2266</v>
      </c>
      <c r="H530" t="s">
        <v>16</v>
      </c>
      <c r="I530" t="s">
        <v>43</v>
      </c>
      <c r="J530" t="s">
        <v>136</v>
      </c>
      <c r="K530" t="s">
        <v>87</v>
      </c>
      <c r="L530" s="31">
        <v>77095</v>
      </c>
      <c r="M530" t="s">
        <v>8</v>
      </c>
      <c r="N530" s="33" t="s">
        <v>2224</v>
      </c>
      <c r="O530" t="s">
        <v>22</v>
      </c>
      <c r="P530" t="s">
        <v>171</v>
      </c>
      <c r="Q530" t="s">
        <v>2225</v>
      </c>
      <c r="R530" s="34">
        <v>46.864</v>
      </c>
      <c r="S530" s="31">
        <v>2</v>
      </c>
      <c r="T530" s="35">
        <v>0.2</v>
      </c>
      <c r="U530" s="31">
        <v>7.6154</v>
      </c>
    </row>
    <row r="531" spans="1:21">
      <c r="A531" s="31">
        <v>530</v>
      </c>
      <c r="B531" t="s">
        <v>39</v>
      </c>
      <c r="C531" s="32">
        <v>42586</v>
      </c>
      <c r="D531" s="32">
        <v>42590</v>
      </c>
      <c r="E531" t="s">
        <v>57</v>
      </c>
      <c r="F531" s="33" t="s">
        <v>2267</v>
      </c>
      <c r="G531" t="s">
        <v>2268</v>
      </c>
      <c r="H531" t="s">
        <v>18</v>
      </c>
      <c r="I531" t="s">
        <v>43</v>
      </c>
      <c r="J531" t="s">
        <v>2228</v>
      </c>
      <c r="K531" t="s">
        <v>221</v>
      </c>
      <c r="L531" s="31">
        <v>23434</v>
      </c>
      <c r="M531" t="s">
        <v>10</v>
      </c>
      <c r="N531" s="33" t="s">
        <v>2269</v>
      </c>
      <c r="O531" t="s">
        <v>21</v>
      </c>
      <c r="P531" t="s">
        <v>1104</v>
      </c>
      <c r="Q531" t="s">
        <v>2270</v>
      </c>
      <c r="R531" s="34">
        <v>35.06</v>
      </c>
      <c r="S531" s="31">
        <v>2</v>
      </c>
      <c r="T531" s="35">
        <v>0</v>
      </c>
      <c r="U531" s="31">
        <v>10.518</v>
      </c>
    </row>
    <row r="532" spans="1:21">
      <c r="A532" s="31">
        <v>531</v>
      </c>
      <c r="B532" t="s">
        <v>56</v>
      </c>
      <c r="C532" s="32">
        <v>41720</v>
      </c>
      <c r="D532" s="32">
        <v>41724</v>
      </c>
      <c r="E532" t="s">
        <v>57</v>
      </c>
      <c r="F532" s="33" t="s">
        <v>2271</v>
      </c>
      <c r="G532" t="s">
        <v>2272</v>
      </c>
      <c r="H532" t="s">
        <v>16</v>
      </c>
      <c r="I532" t="s">
        <v>43</v>
      </c>
      <c r="J532" t="s">
        <v>2273</v>
      </c>
      <c r="K532" t="s">
        <v>73</v>
      </c>
      <c r="L532" s="31">
        <v>27405</v>
      </c>
      <c r="M532" t="s">
        <v>10</v>
      </c>
      <c r="N532" s="33" t="s">
        <v>189</v>
      </c>
      <c r="O532" t="s">
        <v>21</v>
      </c>
      <c r="P532" t="s">
        <v>82</v>
      </c>
      <c r="Q532" t="s">
        <v>190</v>
      </c>
      <c r="R532" s="34">
        <v>7.644</v>
      </c>
      <c r="S532" s="31">
        <v>4</v>
      </c>
      <c r="T532" s="35">
        <v>0.7</v>
      </c>
      <c r="U532" s="31">
        <v>-5.8604</v>
      </c>
    </row>
    <row r="533" spans="1:21">
      <c r="A533" s="31">
        <v>532</v>
      </c>
      <c r="B533" t="s">
        <v>39</v>
      </c>
      <c r="C533" s="32">
        <v>43000</v>
      </c>
      <c r="D533" s="32">
        <v>43004</v>
      </c>
      <c r="E533" t="s">
        <v>57</v>
      </c>
      <c r="F533" s="33" t="s">
        <v>2274</v>
      </c>
      <c r="G533" t="s">
        <v>2275</v>
      </c>
      <c r="H533" t="s">
        <v>17</v>
      </c>
      <c r="I533" t="s">
        <v>43</v>
      </c>
      <c r="J533" t="s">
        <v>1427</v>
      </c>
      <c r="K533" t="s">
        <v>94</v>
      </c>
      <c r="L533" s="31">
        <v>53209</v>
      </c>
      <c r="M533" t="s">
        <v>8</v>
      </c>
      <c r="N533" s="33" t="s">
        <v>2207</v>
      </c>
      <c r="O533" t="s">
        <v>21</v>
      </c>
      <c r="P533" t="s">
        <v>75</v>
      </c>
      <c r="Q533" t="s">
        <v>2208</v>
      </c>
      <c r="R533" s="34">
        <v>219.84</v>
      </c>
      <c r="S533" s="31">
        <v>4</v>
      </c>
      <c r="T533" s="35">
        <v>0</v>
      </c>
      <c r="U533" s="31">
        <v>107.7216</v>
      </c>
    </row>
    <row r="534" spans="1:21">
      <c r="A534" s="31">
        <v>533</v>
      </c>
      <c r="B534" t="s">
        <v>39</v>
      </c>
      <c r="C534" s="32">
        <v>42050</v>
      </c>
      <c r="D534" s="32">
        <v>42054</v>
      </c>
      <c r="E534" t="s">
        <v>57</v>
      </c>
      <c r="F534" s="33" t="s">
        <v>2276</v>
      </c>
      <c r="G534" t="s">
        <v>2277</v>
      </c>
      <c r="H534" t="s">
        <v>17</v>
      </c>
      <c r="I534" t="s">
        <v>43</v>
      </c>
      <c r="J534" t="s">
        <v>2278</v>
      </c>
      <c r="K534" t="s">
        <v>94</v>
      </c>
      <c r="L534" s="31">
        <v>53142</v>
      </c>
      <c r="M534" t="s">
        <v>8</v>
      </c>
      <c r="N534" s="33" t="s">
        <v>2279</v>
      </c>
      <c r="O534" t="s">
        <v>22</v>
      </c>
      <c r="P534" t="s">
        <v>144</v>
      </c>
      <c r="Q534" t="s">
        <v>2280</v>
      </c>
      <c r="R534" s="34">
        <v>134.97</v>
      </c>
      <c r="S534" s="31">
        <v>3</v>
      </c>
      <c r="T534" s="35">
        <v>0</v>
      </c>
      <c r="U534" s="31">
        <v>64.7856</v>
      </c>
    </row>
    <row r="535" spans="1:21">
      <c r="A535" s="31">
        <v>534</v>
      </c>
      <c r="B535" t="s">
        <v>39</v>
      </c>
      <c r="C535" s="32">
        <v>41981</v>
      </c>
      <c r="D535" s="32">
        <v>41986</v>
      </c>
      <c r="E535" t="s">
        <v>57</v>
      </c>
      <c r="F535" s="33" t="s">
        <v>2281</v>
      </c>
      <c r="G535" t="s">
        <v>2282</v>
      </c>
      <c r="H535" t="s">
        <v>17</v>
      </c>
      <c r="I535" t="s">
        <v>43</v>
      </c>
      <c r="J535" t="s">
        <v>136</v>
      </c>
      <c r="K535" t="s">
        <v>87</v>
      </c>
      <c r="L535" s="31">
        <v>77041</v>
      </c>
      <c r="M535" t="s">
        <v>8</v>
      </c>
      <c r="N535" s="33" t="s">
        <v>2283</v>
      </c>
      <c r="O535" t="s">
        <v>21</v>
      </c>
      <c r="P535" t="s">
        <v>96</v>
      </c>
      <c r="Q535" t="s">
        <v>2284</v>
      </c>
      <c r="R535" s="34">
        <v>60.416</v>
      </c>
      <c r="S535" s="31">
        <v>2</v>
      </c>
      <c r="T535" s="35">
        <v>0.2</v>
      </c>
      <c r="U535" s="31">
        <v>6.0416</v>
      </c>
    </row>
    <row r="536" spans="1:21">
      <c r="A536" s="31">
        <v>535</v>
      </c>
      <c r="B536" t="s">
        <v>39</v>
      </c>
      <c r="C536" s="32">
        <v>42618</v>
      </c>
      <c r="D536" s="32">
        <v>42623</v>
      </c>
      <c r="E536" t="s">
        <v>57</v>
      </c>
      <c r="F536" s="33" t="s">
        <v>2285</v>
      </c>
      <c r="G536" t="s">
        <v>2286</v>
      </c>
      <c r="H536" t="s">
        <v>18</v>
      </c>
      <c r="I536" t="s">
        <v>43</v>
      </c>
      <c r="J536" t="s">
        <v>2287</v>
      </c>
      <c r="K536" t="s">
        <v>2288</v>
      </c>
      <c r="L536" s="31">
        <v>66062</v>
      </c>
      <c r="M536" t="s">
        <v>8</v>
      </c>
      <c r="N536" s="33" t="s">
        <v>1866</v>
      </c>
      <c r="O536" t="s">
        <v>21</v>
      </c>
      <c r="P536" t="s">
        <v>108</v>
      </c>
      <c r="Q536" t="s">
        <v>1867</v>
      </c>
      <c r="R536" s="34">
        <v>107.94</v>
      </c>
      <c r="S536" s="31">
        <v>3</v>
      </c>
      <c r="T536" s="35">
        <v>0</v>
      </c>
      <c r="U536" s="31">
        <v>26.985</v>
      </c>
    </row>
    <row r="537" spans="1:21">
      <c r="A537" s="31">
        <v>536</v>
      </c>
      <c r="B537" t="s">
        <v>39</v>
      </c>
      <c r="C537" s="32">
        <v>42590</v>
      </c>
      <c r="D537" s="32">
        <v>42592</v>
      </c>
      <c r="E537" t="s">
        <v>40</v>
      </c>
      <c r="F537" s="33" t="s">
        <v>2289</v>
      </c>
      <c r="G537" t="s">
        <v>2290</v>
      </c>
      <c r="H537" t="s">
        <v>16</v>
      </c>
      <c r="I537" t="s">
        <v>43</v>
      </c>
      <c r="J537" t="s">
        <v>523</v>
      </c>
      <c r="K537" t="s">
        <v>87</v>
      </c>
      <c r="L537" s="31">
        <v>75081</v>
      </c>
      <c r="M537" t="s">
        <v>8</v>
      </c>
      <c r="N537" s="33" t="s">
        <v>554</v>
      </c>
      <c r="O537" t="s">
        <v>21</v>
      </c>
      <c r="P537" t="s">
        <v>196</v>
      </c>
      <c r="Q537" t="s">
        <v>555</v>
      </c>
      <c r="R537" s="34">
        <v>11.168</v>
      </c>
      <c r="S537" s="31">
        <v>4</v>
      </c>
      <c r="T537" s="35">
        <v>0.2</v>
      </c>
      <c r="U537" s="31">
        <v>3.6296</v>
      </c>
    </row>
    <row r="538" spans="1:21">
      <c r="A538" s="31">
        <v>537</v>
      </c>
      <c r="B538" t="s">
        <v>39</v>
      </c>
      <c r="C538" s="32">
        <v>42411</v>
      </c>
      <c r="D538" s="32">
        <v>42413</v>
      </c>
      <c r="E538" t="s">
        <v>139</v>
      </c>
      <c r="F538" s="33" t="s">
        <v>2291</v>
      </c>
      <c r="G538" t="s">
        <v>2292</v>
      </c>
      <c r="H538" t="s">
        <v>17</v>
      </c>
      <c r="I538" t="s">
        <v>43</v>
      </c>
      <c r="J538" t="s">
        <v>2293</v>
      </c>
      <c r="K538" t="s">
        <v>420</v>
      </c>
      <c r="L538" s="31">
        <v>74133</v>
      </c>
      <c r="M538" t="s">
        <v>8</v>
      </c>
      <c r="N538" s="33" t="s">
        <v>2294</v>
      </c>
      <c r="O538" t="s">
        <v>22</v>
      </c>
      <c r="P538" t="s">
        <v>144</v>
      </c>
      <c r="Q538" t="s">
        <v>2295</v>
      </c>
      <c r="R538" s="34">
        <v>69.93</v>
      </c>
      <c r="S538" s="31">
        <v>7</v>
      </c>
      <c r="T538" s="35">
        <v>0</v>
      </c>
      <c r="U538" s="31">
        <v>0.6993</v>
      </c>
    </row>
    <row r="539" spans="1:21">
      <c r="A539" s="31">
        <v>538</v>
      </c>
      <c r="B539" t="s">
        <v>56</v>
      </c>
      <c r="C539" s="32">
        <v>43059</v>
      </c>
      <c r="D539" s="32">
        <v>43065</v>
      </c>
      <c r="E539" t="s">
        <v>57</v>
      </c>
      <c r="F539" s="33" t="s">
        <v>2296</v>
      </c>
      <c r="G539" t="s">
        <v>2297</v>
      </c>
      <c r="H539" t="s">
        <v>16</v>
      </c>
      <c r="I539" t="s">
        <v>43</v>
      </c>
      <c r="J539" t="s">
        <v>393</v>
      </c>
      <c r="K539" t="s">
        <v>331</v>
      </c>
      <c r="L539" s="31">
        <v>43055</v>
      </c>
      <c r="M539" t="s">
        <v>9</v>
      </c>
      <c r="N539" s="33" t="s">
        <v>2298</v>
      </c>
      <c r="O539" t="s">
        <v>20</v>
      </c>
      <c r="P539" t="s">
        <v>68</v>
      </c>
      <c r="Q539" t="s">
        <v>2299</v>
      </c>
      <c r="R539" s="34">
        <v>77.6</v>
      </c>
      <c r="S539" s="31">
        <v>5</v>
      </c>
      <c r="T539" s="35">
        <v>0.2</v>
      </c>
      <c r="U539" s="31">
        <v>28.13</v>
      </c>
    </row>
    <row r="540" spans="1:21">
      <c r="A540" s="31">
        <v>539</v>
      </c>
      <c r="B540" t="s">
        <v>56</v>
      </c>
      <c r="C540" s="32">
        <v>41784</v>
      </c>
      <c r="D540" s="32">
        <v>41788</v>
      </c>
      <c r="E540" t="s">
        <v>57</v>
      </c>
      <c r="F540" s="33" t="s">
        <v>2300</v>
      </c>
      <c r="G540" t="s">
        <v>2301</v>
      </c>
      <c r="H540" t="s">
        <v>16</v>
      </c>
      <c r="I540" t="s">
        <v>43</v>
      </c>
      <c r="J540" t="s">
        <v>209</v>
      </c>
      <c r="K540" t="s">
        <v>154</v>
      </c>
      <c r="L540" s="31">
        <v>60623</v>
      </c>
      <c r="M540" t="s">
        <v>8</v>
      </c>
      <c r="N540" s="33" t="s">
        <v>2302</v>
      </c>
      <c r="O540" t="s">
        <v>21</v>
      </c>
      <c r="P540" t="s">
        <v>89</v>
      </c>
      <c r="Q540" t="s">
        <v>2303</v>
      </c>
      <c r="R540" s="34">
        <v>75.6</v>
      </c>
      <c r="S540" s="31">
        <v>2</v>
      </c>
      <c r="T540" s="35">
        <v>0.8</v>
      </c>
      <c r="U540" s="31">
        <v>-166.32</v>
      </c>
    </row>
    <row r="541" spans="1:21">
      <c r="A541" s="31">
        <v>540</v>
      </c>
      <c r="B541" t="s">
        <v>39</v>
      </c>
      <c r="C541" s="32">
        <v>42408</v>
      </c>
      <c r="D541" s="32">
        <v>42411</v>
      </c>
      <c r="E541" t="s">
        <v>40</v>
      </c>
      <c r="F541" s="33" t="s">
        <v>2304</v>
      </c>
      <c r="G541" t="s">
        <v>2305</v>
      </c>
      <c r="H541" t="s">
        <v>18</v>
      </c>
      <c r="I541" t="s">
        <v>43</v>
      </c>
      <c r="J541" t="s">
        <v>2306</v>
      </c>
      <c r="K541" t="s">
        <v>73</v>
      </c>
      <c r="L541" s="31">
        <v>27604</v>
      </c>
      <c r="M541" t="s">
        <v>10</v>
      </c>
      <c r="N541" s="33" t="s">
        <v>2307</v>
      </c>
      <c r="O541" t="s">
        <v>22</v>
      </c>
      <c r="P541" t="s">
        <v>144</v>
      </c>
      <c r="Q541" t="s">
        <v>2308</v>
      </c>
      <c r="R541" s="34">
        <v>1127.976</v>
      </c>
      <c r="S541" s="31">
        <v>3</v>
      </c>
      <c r="T541" s="35">
        <v>0.2</v>
      </c>
      <c r="U541" s="31">
        <v>126.8973</v>
      </c>
    </row>
    <row r="542" spans="1:21">
      <c r="A542" s="31">
        <v>541</v>
      </c>
      <c r="B542" t="s">
        <v>56</v>
      </c>
      <c r="C542" s="32">
        <v>42198</v>
      </c>
      <c r="D542" s="32">
        <v>42200</v>
      </c>
      <c r="E542" t="s">
        <v>40</v>
      </c>
      <c r="F542" s="33" t="s">
        <v>2309</v>
      </c>
      <c r="G542" t="s">
        <v>2310</v>
      </c>
      <c r="H542" t="s">
        <v>17</v>
      </c>
      <c r="I542" t="s">
        <v>43</v>
      </c>
      <c r="J542" t="s">
        <v>2311</v>
      </c>
      <c r="K542" t="s">
        <v>746</v>
      </c>
      <c r="L542" s="31">
        <v>31204</v>
      </c>
      <c r="M542" t="s">
        <v>10</v>
      </c>
      <c r="N542" s="33" t="s">
        <v>2312</v>
      </c>
      <c r="O542" t="s">
        <v>21</v>
      </c>
      <c r="P542" t="s">
        <v>75</v>
      </c>
      <c r="Q542" t="s">
        <v>2313</v>
      </c>
      <c r="R542" s="34">
        <v>38.88</v>
      </c>
      <c r="S542" s="31">
        <v>6</v>
      </c>
      <c r="T542" s="35">
        <v>0</v>
      </c>
      <c r="U542" s="31">
        <v>18.6624</v>
      </c>
    </row>
    <row r="543" spans="1:21">
      <c r="A543" s="31">
        <v>542</v>
      </c>
      <c r="B543" t="s">
        <v>39</v>
      </c>
      <c r="C543" s="32">
        <v>41852</v>
      </c>
      <c r="D543" s="32">
        <v>41856</v>
      </c>
      <c r="E543" t="s">
        <v>57</v>
      </c>
      <c r="F543" s="33" t="s">
        <v>2314</v>
      </c>
      <c r="G543" t="s">
        <v>2315</v>
      </c>
      <c r="H543" t="s">
        <v>17</v>
      </c>
      <c r="I543" t="s">
        <v>43</v>
      </c>
      <c r="J543" t="s">
        <v>310</v>
      </c>
      <c r="K543" t="s">
        <v>73</v>
      </c>
      <c r="L543" s="31">
        <v>28205</v>
      </c>
      <c r="M543" t="s">
        <v>10</v>
      </c>
      <c r="N543" s="33" t="s">
        <v>53</v>
      </c>
      <c r="O543" t="s">
        <v>21</v>
      </c>
      <c r="P543" t="s">
        <v>54</v>
      </c>
      <c r="Q543" t="s">
        <v>55</v>
      </c>
      <c r="R543" s="34">
        <v>17.544</v>
      </c>
      <c r="S543" s="31">
        <v>3</v>
      </c>
      <c r="T543" s="35">
        <v>0.2</v>
      </c>
      <c r="U543" s="31">
        <v>5.9211</v>
      </c>
    </row>
    <row r="544" spans="1:21">
      <c r="A544" s="31">
        <v>543</v>
      </c>
      <c r="B544" t="s">
        <v>39</v>
      </c>
      <c r="C544" s="32">
        <v>42569</v>
      </c>
      <c r="D544" s="32">
        <v>42574</v>
      </c>
      <c r="E544" t="s">
        <v>57</v>
      </c>
      <c r="F544" s="33" t="s">
        <v>2316</v>
      </c>
      <c r="G544" t="s">
        <v>2317</v>
      </c>
      <c r="H544" t="s">
        <v>17</v>
      </c>
      <c r="I544" t="s">
        <v>43</v>
      </c>
      <c r="J544" t="s">
        <v>2318</v>
      </c>
      <c r="K544" t="s">
        <v>45</v>
      </c>
      <c r="L544" s="31">
        <v>42104</v>
      </c>
      <c r="M544" t="s">
        <v>10</v>
      </c>
      <c r="N544" s="33" t="s">
        <v>2319</v>
      </c>
      <c r="O544" t="s">
        <v>20</v>
      </c>
      <c r="P544" t="s">
        <v>121</v>
      </c>
      <c r="Q544" t="s">
        <v>2320</v>
      </c>
      <c r="R544" s="34">
        <v>140.81</v>
      </c>
      <c r="S544" s="31">
        <v>1</v>
      </c>
      <c r="T544" s="35">
        <v>0</v>
      </c>
      <c r="U544" s="31">
        <v>39.4268</v>
      </c>
    </row>
    <row r="545" spans="1:21">
      <c r="A545" s="31">
        <v>544</v>
      </c>
      <c r="B545" t="s">
        <v>56</v>
      </c>
      <c r="C545" s="32">
        <v>42945</v>
      </c>
      <c r="D545" s="32">
        <v>42949</v>
      </c>
      <c r="E545" t="s">
        <v>57</v>
      </c>
      <c r="F545" s="33" t="s">
        <v>2321</v>
      </c>
      <c r="G545" t="s">
        <v>2322</v>
      </c>
      <c r="H545" t="s">
        <v>16</v>
      </c>
      <c r="I545" t="s">
        <v>43</v>
      </c>
      <c r="J545" t="s">
        <v>79</v>
      </c>
      <c r="K545" t="s">
        <v>80</v>
      </c>
      <c r="L545" s="31">
        <v>98115</v>
      </c>
      <c r="M545" t="s">
        <v>11</v>
      </c>
      <c r="N545" s="33" t="s">
        <v>2323</v>
      </c>
      <c r="O545" t="s">
        <v>22</v>
      </c>
      <c r="P545" t="s">
        <v>171</v>
      </c>
      <c r="Q545" t="s">
        <v>2324</v>
      </c>
      <c r="R545" s="34">
        <v>90.57</v>
      </c>
      <c r="S545" s="31">
        <v>3</v>
      </c>
      <c r="T545" s="35">
        <v>0</v>
      </c>
      <c r="U545" s="31">
        <v>11.7741</v>
      </c>
    </row>
    <row r="546" spans="1:21">
      <c r="A546" s="31">
        <v>545</v>
      </c>
      <c r="B546" t="s">
        <v>56</v>
      </c>
      <c r="C546" s="32">
        <v>42656</v>
      </c>
      <c r="D546" s="32">
        <v>42660</v>
      </c>
      <c r="E546" t="s">
        <v>57</v>
      </c>
      <c r="F546" s="33" t="s">
        <v>2325</v>
      </c>
      <c r="G546" t="s">
        <v>2326</v>
      </c>
      <c r="H546" t="s">
        <v>17</v>
      </c>
      <c r="I546" t="s">
        <v>43</v>
      </c>
      <c r="J546" t="s">
        <v>304</v>
      </c>
      <c r="K546" t="s">
        <v>305</v>
      </c>
      <c r="L546" s="31">
        <v>80013</v>
      </c>
      <c r="M546" t="s">
        <v>11</v>
      </c>
      <c r="N546" s="33" t="s">
        <v>2327</v>
      </c>
      <c r="O546" t="s">
        <v>20</v>
      </c>
      <c r="P546" t="s">
        <v>63</v>
      </c>
      <c r="Q546" t="s">
        <v>2328</v>
      </c>
      <c r="R546" s="34">
        <v>727.45</v>
      </c>
      <c r="S546" s="31">
        <v>5</v>
      </c>
      <c r="T546" s="35">
        <v>0.5</v>
      </c>
      <c r="U546" s="31">
        <v>-465.568</v>
      </c>
    </row>
    <row r="547" spans="1:21">
      <c r="A547" s="31">
        <v>546</v>
      </c>
      <c r="B547" t="s">
        <v>39</v>
      </c>
      <c r="C547" s="32">
        <v>41841</v>
      </c>
      <c r="D547" s="32">
        <v>41845</v>
      </c>
      <c r="E547" t="s">
        <v>57</v>
      </c>
      <c r="F547" s="33" t="s">
        <v>2329</v>
      </c>
      <c r="G547" t="s">
        <v>2330</v>
      </c>
      <c r="H547" t="s">
        <v>17</v>
      </c>
      <c r="I547" t="s">
        <v>43</v>
      </c>
      <c r="J547" t="s">
        <v>106</v>
      </c>
      <c r="K547" t="s">
        <v>52</v>
      </c>
      <c r="L547" s="31">
        <v>94122</v>
      </c>
      <c r="M547" t="s">
        <v>11</v>
      </c>
      <c r="N547" s="33" t="s">
        <v>2331</v>
      </c>
      <c r="O547" t="s">
        <v>21</v>
      </c>
      <c r="P547" t="s">
        <v>108</v>
      </c>
      <c r="Q547" t="s">
        <v>2332</v>
      </c>
      <c r="R547" s="34">
        <v>99.2</v>
      </c>
      <c r="S547" s="31">
        <v>5</v>
      </c>
      <c r="T547" s="35">
        <v>0</v>
      </c>
      <c r="U547" s="31">
        <v>25.792</v>
      </c>
    </row>
    <row r="548" spans="1:21">
      <c r="A548" s="31">
        <v>547</v>
      </c>
      <c r="B548" t="s">
        <v>39</v>
      </c>
      <c r="C548" s="32">
        <v>43060</v>
      </c>
      <c r="D548" s="32">
        <v>43064</v>
      </c>
      <c r="E548" t="s">
        <v>57</v>
      </c>
      <c r="F548" s="33" t="s">
        <v>2333</v>
      </c>
      <c r="G548" t="s">
        <v>2334</v>
      </c>
      <c r="H548" t="s">
        <v>16</v>
      </c>
      <c r="I548" t="s">
        <v>43</v>
      </c>
      <c r="J548" t="s">
        <v>2335</v>
      </c>
      <c r="K548" t="s">
        <v>80</v>
      </c>
      <c r="L548" s="31">
        <v>99207</v>
      </c>
      <c r="M548" t="s">
        <v>11</v>
      </c>
      <c r="N548" s="33" t="s">
        <v>2336</v>
      </c>
      <c r="O548" t="s">
        <v>20</v>
      </c>
      <c r="P548" t="s">
        <v>63</v>
      </c>
      <c r="Q548" t="s">
        <v>2337</v>
      </c>
      <c r="R548" s="34">
        <v>70.98</v>
      </c>
      <c r="S548" s="31">
        <v>1</v>
      </c>
      <c r="T548" s="35">
        <v>0</v>
      </c>
      <c r="U548" s="31">
        <v>20.5842</v>
      </c>
    </row>
    <row r="549" spans="1:21">
      <c r="A549" s="31">
        <v>548</v>
      </c>
      <c r="B549" t="s">
        <v>39</v>
      </c>
      <c r="C549" s="32">
        <v>42819</v>
      </c>
      <c r="D549" s="32">
        <v>42823</v>
      </c>
      <c r="E549" t="s">
        <v>57</v>
      </c>
      <c r="F549" s="33" t="s">
        <v>2338</v>
      </c>
      <c r="G549" t="s">
        <v>2339</v>
      </c>
      <c r="H549" t="s">
        <v>16</v>
      </c>
      <c r="I549" t="s">
        <v>43</v>
      </c>
      <c r="J549" t="s">
        <v>443</v>
      </c>
      <c r="K549" t="s">
        <v>87</v>
      </c>
      <c r="L549" s="31">
        <v>78207</v>
      </c>
      <c r="M549" t="s">
        <v>8</v>
      </c>
      <c r="N549" s="33" t="s">
        <v>1025</v>
      </c>
      <c r="O549" t="s">
        <v>22</v>
      </c>
      <c r="P549" t="s">
        <v>144</v>
      </c>
      <c r="Q549" t="s">
        <v>1026</v>
      </c>
      <c r="R549" s="34">
        <v>470.376</v>
      </c>
      <c r="S549" s="31">
        <v>3</v>
      </c>
      <c r="T549" s="35">
        <v>0.2</v>
      </c>
      <c r="U549" s="31">
        <v>47.0376</v>
      </c>
    </row>
    <row r="550" spans="1:21">
      <c r="A550" s="31">
        <v>549</v>
      </c>
      <c r="B550" t="s">
        <v>56</v>
      </c>
      <c r="C550" s="32">
        <v>43071</v>
      </c>
      <c r="D550" s="32">
        <v>43074</v>
      </c>
      <c r="E550" t="s">
        <v>139</v>
      </c>
      <c r="F550" s="33" t="s">
        <v>2340</v>
      </c>
      <c r="G550" t="s">
        <v>2341</v>
      </c>
      <c r="H550" t="s">
        <v>16</v>
      </c>
      <c r="I550" t="s">
        <v>43</v>
      </c>
      <c r="J550" t="s">
        <v>2342</v>
      </c>
      <c r="K550" t="s">
        <v>221</v>
      </c>
      <c r="L550" s="31">
        <v>22901</v>
      </c>
      <c r="M550" t="s">
        <v>10</v>
      </c>
      <c r="N550" s="33" t="s">
        <v>2343</v>
      </c>
      <c r="O550" t="s">
        <v>21</v>
      </c>
      <c r="P550" t="s">
        <v>108</v>
      </c>
      <c r="Q550" t="s">
        <v>2344</v>
      </c>
      <c r="R550" s="34">
        <v>34.65</v>
      </c>
      <c r="S550" s="31">
        <v>3</v>
      </c>
      <c r="T550" s="35">
        <v>0</v>
      </c>
      <c r="U550" s="31">
        <v>10.395</v>
      </c>
    </row>
    <row r="551" spans="1:21">
      <c r="A551" s="31">
        <v>550</v>
      </c>
      <c r="B551" t="s">
        <v>39</v>
      </c>
      <c r="C551" s="32">
        <v>43011</v>
      </c>
      <c r="D551" s="32">
        <v>43014</v>
      </c>
      <c r="E551" t="s">
        <v>139</v>
      </c>
      <c r="F551" s="33" t="s">
        <v>2345</v>
      </c>
      <c r="G551" t="s">
        <v>2346</v>
      </c>
      <c r="H551" t="s">
        <v>16</v>
      </c>
      <c r="I551" t="s">
        <v>43</v>
      </c>
      <c r="J551" t="s">
        <v>272</v>
      </c>
      <c r="K551" t="s">
        <v>169</v>
      </c>
      <c r="L551" s="31">
        <v>55407</v>
      </c>
      <c r="M551" t="s">
        <v>8</v>
      </c>
      <c r="N551" s="33" t="s">
        <v>2347</v>
      </c>
      <c r="O551" t="s">
        <v>21</v>
      </c>
      <c r="P551" t="s">
        <v>82</v>
      </c>
      <c r="Q551" t="s">
        <v>2348</v>
      </c>
      <c r="R551" s="34">
        <v>1793.98</v>
      </c>
      <c r="S551" s="31">
        <v>2</v>
      </c>
      <c r="T551" s="35">
        <v>0</v>
      </c>
      <c r="U551" s="31">
        <v>843.1706</v>
      </c>
    </row>
    <row r="552" spans="1:21">
      <c r="A552" s="31">
        <v>551</v>
      </c>
      <c r="B552" t="s">
        <v>39</v>
      </c>
      <c r="C552" s="32">
        <v>43029</v>
      </c>
      <c r="D552" s="32">
        <v>43032</v>
      </c>
      <c r="E552" t="s">
        <v>139</v>
      </c>
      <c r="F552" s="33" t="s">
        <v>2349</v>
      </c>
      <c r="G552" t="s">
        <v>2350</v>
      </c>
      <c r="H552" t="s">
        <v>17</v>
      </c>
      <c r="I552" t="s">
        <v>43</v>
      </c>
      <c r="J552" t="s">
        <v>2239</v>
      </c>
      <c r="K552" t="s">
        <v>188</v>
      </c>
      <c r="L552" s="31">
        <v>46203</v>
      </c>
      <c r="M552" t="s">
        <v>8</v>
      </c>
      <c r="N552" s="33" t="s">
        <v>933</v>
      </c>
      <c r="O552" t="s">
        <v>21</v>
      </c>
      <c r="P552" t="s">
        <v>96</v>
      </c>
      <c r="Q552" t="s">
        <v>934</v>
      </c>
      <c r="R552" s="34">
        <v>909.12</v>
      </c>
      <c r="S552" s="31">
        <v>8</v>
      </c>
      <c r="T552" s="35">
        <v>0</v>
      </c>
      <c r="U552" s="31">
        <v>9.0912</v>
      </c>
    </row>
    <row r="553" spans="1:21">
      <c r="A553" s="31">
        <v>552</v>
      </c>
      <c r="B553" t="s">
        <v>39</v>
      </c>
      <c r="C553" s="32">
        <v>43087</v>
      </c>
      <c r="D553" s="32">
        <v>43092</v>
      </c>
      <c r="E553" t="s">
        <v>57</v>
      </c>
      <c r="F553" s="33" t="s">
        <v>2351</v>
      </c>
      <c r="G553" t="s">
        <v>2352</v>
      </c>
      <c r="H553" t="s">
        <v>16</v>
      </c>
      <c r="I553" t="s">
        <v>43</v>
      </c>
      <c r="J553" t="s">
        <v>1325</v>
      </c>
      <c r="K553" t="s">
        <v>194</v>
      </c>
      <c r="L553" s="31">
        <v>11572</v>
      </c>
      <c r="M553" t="s">
        <v>9</v>
      </c>
      <c r="N553" s="33" t="s">
        <v>2353</v>
      </c>
      <c r="O553" t="s">
        <v>20</v>
      </c>
      <c r="P553" t="s">
        <v>68</v>
      </c>
      <c r="Q553" t="s">
        <v>2354</v>
      </c>
      <c r="R553" s="34">
        <v>18.96</v>
      </c>
      <c r="S553" s="31">
        <v>2</v>
      </c>
      <c r="T553" s="35">
        <v>0</v>
      </c>
      <c r="U553" s="31">
        <v>8.532</v>
      </c>
    </row>
    <row r="554" spans="1:21">
      <c r="A554" s="31">
        <v>553</v>
      </c>
      <c r="B554" t="s">
        <v>39</v>
      </c>
      <c r="C554" s="32">
        <v>41654</v>
      </c>
      <c r="D554" s="32">
        <v>41656</v>
      </c>
      <c r="E554" t="s">
        <v>139</v>
      </c>
      <c r="F554" s="33" t="s">
        <v>2355</v>
      </c>
      <c r="G554" t="s">
        <v>2356</v>
      </c>
      <c r="H554" t="s">
        <v>16</v>
      </c>
      <c r="I554" t="s">
        <v>43</v>
      </c>
      <c r="J554" t="s">
        <v>1766</v>
      </c>
      <c r="K554" t="s">
        <v>746</v>
      </c>
      <c r="L554" s="31">
        <v>30076</v>
      </c>
      <c r="M554" t="s">
        <v>10</v>
      </c>
      <c r="N554" s="33" t="s">
        <v>1283</v>
      </c>
      <c r="O554" t="s">
        <v>22</v>
      </c>
      <c r="P554" t="s">
        <v>171</v>
      </c>
      <c r="Q554" t="s">
        <v>1284</v>
      </c>
      <c r="R554" s="34">
        <v>149.95</v>
      </c>
      <c r="S554" s="31">
        <v>5</v>
      </c>
      <c r="T554" s="35">
        <v>0</v>
      </c>
      <c r="U554" s="31">
        <v>65.978</v>
      </c>
    </row>
    <row r="555" spans="1:21">
      <c r="A555" s="31">
        <v>554</v>
      </c>
      <c r="B555" t="s">
        <v>56</v>
      </c>
      <c r="C555" s="32">
        <v>42964</v>
      </c>
      <c r="D555" s="32">
        <v>42966</v>
      </c>
      <c r="E555" t="s">
        <v>139</v>
      </c>
      <c r="F555" s="33" t="s">
        <v>2357</v>
      </c>
      <c r="G555" t="s">
        <v>2358</v>
      </c>
      <c r="H555" t="s">
        <v>17</v>
      </c>
      <c r="I555" t="s">
        <v>43</v>
      </c>
      <c r="J555" t="s">
        <v>2359</v>
      </c>
      <c r="K555" t="s">
        <v>194</v>
      </c>
      <c r="L555" s="31">
        <v>13601</v>
      </c>
      <c r="M555" t="s">
        <v>9</v>
      </c>
      <c r="N555" s="33" t="s">
        <v>2360</v>
      </c>
      <c r="O555" t="s">
        <v>21</v>
      </c>
      <c r="P555" t="s">
        <v>82</v>
      </c>
      <c r="Q555" t="s">
        <v>2361</v>
      </c>
      <c r="R555" s="34">
        <v>895.92</v>
      </c>
      <c r="S555" s="31">
        <v>5</v>
      </c>
      <c r="T555" s="35">
        <v>0.2</v>
      </c>
      <c r="U555" s="31">
        <v>302.373</v>
      </c>
    </row>
    <row r="556" spans="1:21">
      <c r="A556" s="31">
        <v>555</v>
      </c>
      <c r="B556" t="s">
        <v>39</v>
      </c>
      <c r="C556" s="32">
        <v>42559</v>
      </c>
      <c r="D556" s="32">
        <v>42561</v>
      </c>
      <c r="E556" t="s">
        <v>40</v>
      </c>
      <c r="F556" s="33" t="s">
        <v>2362</v>
      </c>
      <c r="G556" t="s">
        <v>2363</v>
      </c>
      <c r="H556" t="s">
        <v>17</v>
      </c>
      <c r="I556" t="s">
        <v>43</v>
      </c>
      <c r="J556" t="s">
        <v>673</v>
      </c>
      <c r="K556" t="s">
        <v>87</v>
      </c>
      <c r="L556" s="31">
        <v>76017</v>
      </c>
      <c r="M556" t="s">
        <v>8</v>
      </c>
      <c r="N556" s="33" t="s">
        <v>2364</v>
      </c>
      <c r="O556" t="s">
        <v>22</v>
      </c>
      <c r="P556" t="s">
        <v>144</v>
      </c>
      <c r="Q556" t="s">
        <v>2365</v>
      </c>
      <c r="R556" s="34">
        <v>863.64</v>
      </c>
      <c r="S556" s="31">
        <v>9</v>
      </c>
      <c r="T556" s="35">
        <v>0.2</v>
      </c>
      <c r="U556" s="31">
        <v>107.955</v>
      </c>
    </row>
    <row r="557" spans="1:21">
      <c r="A557" s="31">
        <v>556</v>
      </c>
      <c r="B557" t="s">
        <v>39</v>
      </c>
      <c r="C557" s="32">
        <v>42559</v>
      </c>
      <c r="D557" s="32">
        <v>42563</v>
      </c>
      <c r="E557" t="s">
        <v>57</v>
      </c>
      <c r="F557" s="33" t="s">
        <v>2366</v>
      </c>
      <c r="G557" t="s">
        <v>2367</v>
      </c>
      <c r="H557" t="s">
        <v>16</v>
      </c>
      <c r="I557" t="s">
        <v>43</v>
      </c>
      <c r="J557" t="s">
        <v>2368</v>
      </c>
      <c r="K557" t="s">
        <v>305</v>
      </c>
      <c r="L557" s="31">
        <v>80020</v>
      </c>
      <c r="M557" t="s">
        <v>11</v>
      </c>
      <c r="N557" s="33" t="s">
        <v>2369</v>
      </c>
      <c r="O557" t="s">
        <v>21</v>
      </c>
      <c r="P557" t="s">
        <v>82</v>
      </c>
      <c r="Q557" t="s">
        <v>2370</v>
      </c>
      <c r="R557" s="34">
        <v>19.968</v>
      </c>
      <c r="S557" s="31">
        <v>2</v>
      </c>
      <c r="T557" s="35">
        <v>0.7</v>
      </c>
      <c r="U557" s="31">
        <v>-13.312</v>
      </c>
    </row>
    <row r="558" spans="1:21">
      <c r="A558" s="31">
        <v>557</v>
      </c>
      <c r="B558" t="s">
        <v>39</v>
      </c>
      <c r="C558" s="32">
        <v>42980</v>
      </c>
      <c r="D558" s="32">
        <v>42984</v>
      </c>
      <c r="E558" t="s">
        <v>57</v>
      </c>
      <c r="F558" s="33" t="s">
        <v>2371</v>
      </c>
      <c r="G558" t="s">
        <v>2372</v>
      </c>
      <c r="H558" t="s">
        <v>17</v>
      </c>
      <c r="I558" t="s">
        <v>43</v>
      </c>
      <c r="J558" t="s">
        <v>193</v>
      </c>
      <c r="K558" t="s">
        <v>194</v>
      </c>
      <c r="L558" s="31">
        <v>10009</v>
      </c>
      <c r="M558" t="s">
        <v>9</v>
      </c>
      <c r="N558" s="33" t="s">
        <v>1561</v>
      </c>
      <c r="O558" t="s">
        <v>21</v>
      </c>
      <c r="P558" t="s">
        <v>108</v>
      </c>
      <c r="Q558" t="s">
        <v>1562</v>
      </c>
      <c r="R558" s="34">
        <v>23.1</v>
      </c>
      <c r="S558" s="31">
        <v>2</v>
      </c>
      <c r="T558" s="35">
        <v>0</v>
      </c>
      <c r="U558" s="31">
        <v>6.468</v>
      </c>
    </row>
    <row r="559" spans="1:21">
      <c r="A559" s="31">
        <v>558</v>
      </c>
      <c r="B559" t="s">
        <v>39</v>
      </c>
      <c r="C559" s="32">
        <v>41987</v>
      </c>
      <c r="D559" s="32">
        <v>41992</v>
      </c>
      <c r="E559" t="s">
        <v>57</v>
      </c>
      <c r="F559" s="33" t="s">
        <v>2373</v>
      </c>
      <c r="G559" t="s">
        <v>2374</v>
      </c>
      <c r="H559" t="s">
        <v>16</v>
      </c>
      <c r="I559" t="s">
        <v>43</v>
      </c>
      <c r="J559" t="s">
        <v>209</v>
      </c>
      <c r="K559" t="s">
        <v>154</v>
      </c>
      <c r="L559" s="31">
        <v>60610</v>
      </c>
      <c r="M559" t="s">
        <v>8</v>
      </c>
      <c r="N559" s="33" t="s">
        <v>2375</v>
      </c>
      <c r="O559" t="s">
        <v>21</v>
      </c>
      <c r="P559" t="s">
        <v>82</v>
      </c>
      <c r="Q559" t="s">
        <v>2376</v>
      </c>
      <c r="R559" s="34">
        <v>5.104</v>
      </c>
      <c r="S559" s="31">
        <v>4</v>
      </c>
      <c r="T559" s="35">
        <v>0.8</v>
      </c>
      <c r="U559" s="31">
        <v>-8.6768</v>
      </c>
    </row>
    <row r="560" spans="1:21">
      <c r="A560" s="31">
        <v>559</v>
      </c>
      <c r="B560" t="s">
        <v>39</v>
      </c>
      <c r="C560" s="32">
        <v>42576</v>
      </c>
      <c r="D560" s="32">
        <v>42578</v>
      </c>
      <c r="E560" t="s">
        <v>139</v>
      </c>
      <c r="F560" s="33" t="s">
        <v>2377</v>
      </c>
      <c r="G560" t="s">
        <v>2378</v>
      </c>
      <c r="H560" t="s">
        <v>16</v>
      </c>
      <c r="I560" t="s">
        <v>43</v>
      </c>
      <c r="J560" t="s">
        <v>330</v>
      </c>
      <c r="K560" t="s">
        <v>331</v>
      </c>
      <c r="L560" s="31">
        <v>43229</v>
      </c>
      <c r="M560" t="s">
        <v>9</v>
      </c>
      <c r="N560" s="33" t="s">
        <v>2379</v>
      </c>
      <c r="O560" t="s">
        <v>22</v>
      </c>
      <c r="P560" t="s">
        <v>1351</v>
      </c>
      <c r="Q560" t="s">
        <v>2380</v>
      </c>
      <c r="R560" s="34">
        <v>1439.976</v>
      </c>
      <c r="S560" s="31">
        <v>4</v>
      </c>
      <c r="T560" s="35">
        <v>0.4</v>
      </c>
      <c r="U560" s="31">
        <v>191.9968</v>
      </c>
    </row>
    <row r="561" spans="1:21">
      <c r="A561" s="31">
        <v>560</v>
      </c>
      <c r="B561" t="s">
        <v>56</v>
      </c>
      <c r="C561" s="32">
        <v>43071</v>
      </c>
      <c r="D561" s="32">
        <v>43073</v>
      </c>
      <c r="E561" t="s">
        <v>40</v>
      </c>
      <c r="F561" s="33" t="s">
        <v>2381</v>
      </c>
      <c r="G561" t="s">
        <v>2382</v>
      </c>
      <c r="H561" t="s">
        <v>16</v>
      </c>
      <c r="I561" t="s">
        <v>43</v>
      </c>
      <c r="J561" t="s">
        <v>136</v>
      </c>
      <c r="K561" t="s">
        <v>87</v>
      </c>
      <c r="L561" s="31">
        <v>77036</v>
      </c>
      <c r="M561" t="s">
        <v>8</v>
      </c>
      <c r="N561" s="33" t="s">
        <v>2383</v>
      </c>
      <c r="O561" t="s">
        <v>21</v>
      </c>
      <c r="P561" t="s">
        <v>89</v>
      </c>
      <c r="Q561" t="s">
        <v>2384</v>
      </c>
      <c r="R561" s="34">
        <v>294.62</v>
      </c>
      <c r="S561" s="31">
        <v>5</v>
      </c>
      <c r="T561" s="35">
        <v>0.8</v>
      </c>
      <c r="U561" s="31">
        <v>-766.012</v>
      </c>
    </row>
    <row r="562" spans="1:21">
      <c r="A562" s="31">
        <v>561</v>
      </c>
      <c r="B562" t="s">
        <v>39</v>
      </c>
      <c r="C562" s="32">
        <v>42836</v>
      </c>
      <c r="D562" s="32">
        <v>42843</v>
      </c>
      <c r="E562" t="s">
        <v>57</v>
      </c>
      <c r="F562" s="33" t="s">
        <v>2385</v>
      </c>
      <c r="G562" t="s">
        <v>2386</v>
      </c>
      <c r="H562" t="s">
        <v>16</v>
      </c>
      <c r="I562" t="s">
        <v>43</v>
      </c>
      <c r="J562" t="s">
        <v>390</v>
      </c>
      <c r="K562" t="s">
        <v>52</v>
      </c>
      <c r="L562" s="31">
        <v>91104</v>
      </c>
      <c r="M562" t="s">
        <v>11</v>
      </c>
      <c r="N562" s="33" t="s">
        <v>2387</v>
      </c>
      <c r="O562" t="s">
        <v>22</v>
      </c>
      <c r="P562" t="s">
        <v>171</v>
      </c>
      <c r="Q562" t="s">
        <v>2388</v>
      </c>
      <c r="R562" s="34">
        <v>199.95</v>
      </c>
      <c r="S562" s="31">
        <v>5</v>
      </c>
      <c r="T562" s="35">
        <v>0</v>
      </c>
      <c r="U562" s="31">
        <v>21.9945</v>
      </c>
    </row>
    <row r="563" spans="1:21">
      <c r="A563" s="31">
        <v>562</v>
      </c>
      <c r="B563" t="s">
        <v>39</v>
      </c>
      <c r="C563" s="32">
        <v>42349</v>
      </c>
      <c r="D563" s="32">
        <v>42349</v>
      </c>
      <c r="E563" t="s">
        <v>755</v>
      </c>
      <c r="F563" s="33" t="s">
        <v>2389</v>
      </c>
      <c r="G563" t="s">
        <v>2390</v>
      </c>
      <c r="H563" t="s">
        <v>16</v>
      </c>
      <c r="I563" t="s">
        <v>43</v>
      </c>
      <c r="J563" t="s">
        <v>136</v>
      </c>
      <c r="K563" t="s">
        <v>87</v>
      </c>
      <c r="L563" s="31">
        <v>77041</v>
      </c>
      <c r="M563" t="s">
        <v>8</v>
      </c>
      <c r="N563" s="33" t="s">
        <v>2391</v>
      </c>
      <c r="O563" t="s">
        <v>22</v>
      </c>
      <c r="P563" t="s">
        <v>171</v>
      </c>
      <c r="Q563" t="s">
        <v>2392</v>
      </c>
      <c r="R563" s="34">
        <v>159.984</v>
      </c>
      <c r="S563" s="31">
        <v>2</v>
      </c>
      <c r="T563" s="35">
        <v>0.2</v>
      </c>
      <c r="U563" s="31">
        <v>35.9964</v>
      </c>
    </row>
    <row r="564" spans="1:21">
      <c r="A564" s="31">
        <v>563</v>
      </c>
      <c r="B564" t="s">
        <v>39</v>
      </c>
      <c r="C564" s="32">
        <v>42631</v>
      </c>
      <c r="D564" s="32">
        <v>42636</v>
      </c>
      <c r="E564" t="s">
        <v>57</v>
      </c>
      <c r="F564" s="33" t="s">
        <v>2393</v>
      </c>
      <c r="G564" t="s">
        <v>2394</v>
      </c>
      <c r="H564" t="s">
        <v>16</v>
      </c>
      <c r="I564" t="s">
        <v>43</v>
      </c>
      <c r="J564" t="s">
        <v>906</v>
      </c>
      <c r="K564" t="s">
        <v>241</v>
      </c>
      <c r="L564" s="31">
        <v>36830</v>
      </c>
      <c r="M564" t="s">
        <v>10</v>
      </c>
      <c r="N564" s="33" t="s">
        <v>2395</v>
      </c>
      <c r="O564" t="s">
        <v>20</v>
      </c>
      <c r="P564" t="s">
        <v>121</v>
      </c>
      <c r="Q564" t="s">
        <v>2396</v>
      </c>
      <c r="R564" s="34">
        <v>350.98</v>
      </c>
      <c r="S564" s="31">
        <v>1</v>
      </c>
      <c r="T564" s="35">
        <v>0</v>
      </c>
      <c r="U564" s="31">
        <v>84.2352</v>
      </c>
    </row>
    <row r="565" spans="1:21">
      <c r="A565" s="31">
        <v>564</v>
      </c>
      <c r="B565" t="s">
        <v>39</v>
      </c>
      <c r="C565" s="32">
        <v>42632</v>
      </c>
      <c r="D565" s="32">
        <v>42634</v>
      </c>
      <c r="E565" t="s">
        <v>139</v>
      </c>
      <c r="F565" s="33" t="s">
        <v>2397</v>
      </c>
      <c r="G565" t="s">
        <v>2398</v>
      </c>
      <c r="H565" t="s">
        <v>18</v>
      </c>
      <c r="I565" t="s">
        <v>43</v>
      </c>
      <c r="J565" t="s">
        <v>1870</v>
      </c>
      <c r="K565" t="s">
        <v>829</v>
      </c>
      <c r="L565" s="31">
        <v>2908</v>
      </c>
      <c r="M565" t="s">
        <v>9</v>
      </c>
      <c r="N565" s="33" t="s">
        <v>1137</v>
      </c>
      <c r="O565" t="s">
        <v>21</v>
      </c>
      <c r="P565" t="s">
        <v>96</v>
      </c>
      <c r="Q565" t="s">
        <v>1138</v>
      </c>
      <c r="R565" s="34">
        <v>1606.23</v>
      </c>
      <c r="S565" s="31">
        <v>9</v>
      </c>
      <c r="T565" s="35">
        <v>0</v>
      </c>
      <c r="U565" s="31">
        <v>481.869</v>
      </c>
    </row>
    <row r="566" spans="1:21">
      <c r="A566" s="31">
        <v>565</v>
      </c>
      <c r="B566" t="s">
        <v>39</v>
      </c>
      <c r="C566" s="32">
        <v>43003</v>
      </c>
      <c r="D566" s="32">
        <v>43007</v>
      </c>
      <c r="E566" t="s">
        <v>57</v>
      </c>
      <c r="F566" s="33" t="s">
        <v>2399</v>
      </c>
      <c r="G566" t="s">
        <v>2400</v>
      </c>
      <c r="H566" t="s">
        <v>16</v>
      </c>
      <c r="I566" t="s">
        <v>43</v>
      </c>
      <c r="J566" t="s">
        <v>259</v>
      </c>
      <c r="K566" t="s">
        <v>169</v>
      </c>
      <c r="L566" s="31">
        <v>55901</v>
      </c>
      <c r="M566" t="s">
        <v>8</v>
      </c>
      <c r="N566" s="33" t="s">
        <v>2401</v>
      </c>
      <c r="O566" t="s">
        <v>21</v>
      </c>
      <c r="P566" t="s">
        <v>82</v>
      </c>
      <c r="Q566" t="s">
        <v>2402</v>
      </c>
      <c r="R566" s="34">
        <v>8.26</v>
      </c>
      <c r="S566" s="31">
        <v>2</v>
      </c>
      <c r="T566" s="35">
        <v>0</v>
      </c>
      <c r="U566" s="31">
        <v>3.8822</v>
      </c>
    </row>
    <row r="567" spans="1:21">
      <c r="A567" s="31">
        <v>566</v>
      </c>
      <c r="B567" t="s">
        <v>39</v>
      </c>
      <c r="C567" s="32">
        <v>42568</v>
      </c>
      <c r="D567" s="32">
        <v>42572</v>
      </c>
      <c r="E567" t="s">
        <v>57</v>
      </c>
      <c r="F567" s="33" t="s">
        <v>2403</v>
      </c>
      <c r="G567" t="s">
        <v>2404</v>
      </c>
      <c r="H567" t="s">
        <v>17</v>
      </c>
      <c r="I567" t="s">
        <v>43</v>
      </c>
      <c r="J567" t="s">
        <v>2405</v>
      </c>
      <c r="K567" t="s">
        <v>504</v>
      </c>
      <c r="L567" s="31">
        <v>8861</v>
      </c>
      <c r="M567" t="s">
        <v>9</v>
      </c>
      <c r="N567" s="33" t="s">
        <v>1880</v>
      </c>
      <c r="O567" t="s">
        <v>21</v>
      </c>
      <c r="P567" t="s">
        <v>89</v>
      </c>
      <c r="Q567" t="s">
        <v>1881</v>
      </c>
      <c r="R567" s="34">
        <v>162.64</v>
      </c>
      <c r="S567" s="31">
        <v>2</v>
      </c>
      <c r="T567" s="35">
        <v>0</v>
      </c>
      <c r="U567" s="31">
        <v>45.5392</v>
      </c>
    </row>
    <row r="568" spans="1:21">
      <c r="A568" s="31">
        <v>567</v>
      </c>
      <c r="B568" t="s">
        <v>39</v>
      </c>
      <c r="C568" s="32">
        <v>42572</v>
      </c>
      <c r="D568" s="32">
        <v>42574</v>
      </c>
      <c r="E568" t="s">
        <v>40</v>
      </c>
      <c r="F568" s="33" t="s">
        <v>2406</v>
      </c>
      <c r="G568" t="s">
        <v>2407</v>
      </c>
      <c r="H568" t="s">
        <v>17</v>
      </c>
      <c r="I568" t="s">
        <v>43</v>
      </c>
      <c r="J568" t="s">
        <v>118</v>
      </c>
      <c r="K568" t="s">
        <v>119</v>
      </c>
      <c r="L568" s="31">
        <v>19134</v>
      </c>
      <c r="M568" t="s">
        <v>9</v>
      </c>
      <c r="N568" s="33" t="s">
        <v>2408</v>
      </c>
      <c r="O568" t="s">
        <v>21</v>
      </c>
      <c r="P568" t="s">
        <v>82</v>
      </c>
      <c r="Q568" t="s">
        <v>2409</v>
      </c>
      <c r="R568" s="34">
        <v>1.941</v>
      </c>
      <c r="S568" s="31">
        <v>1</v>
      </c>
      <c r="T568" s="35">
        <v>0.7</v>
      </c>
      <c r="U568" s="31">
        <v>-1.294</v>
      </c>
    </row>
    <row r="569" spans="1:21">
      <c r="A569" s="31">
        <v>568</v>
      </c>
      <c r="B569" t="s">
        <v>56</v>
      </c>
      <c r="C569" s="32">
        <v>43059</v>
      </c>
      <c r="D569" s="32">
        <v>43064</v>
      </c>
      <c r="E569" t="s">
        <v>57</v>
      </c>
      <c r="F569" s="33" t="s">
        <v>2410</v>
      </c>
      <c r="G569" t="s">
        <v>2411</v>
      </c>
      <c r="H569" t="s">
        <v>16</v>
      </c>
      <c r="I569" t="s">
        <v>43</v>
      </c>
      <c r="J569" t="s">
        <v>2412</v>
      </c>
      <c r="K569" t="s">
        <v>52</v>
      </c>
      <c r="L569" s="31">
        <v>91761</v>
      </c>
      <c r="M569" t="s">
        <v>11</v>
      </c>
      <c r="N569" s="33" t="s">
        <v>1111</v>
      </c>
      <c r="O569" t="s">
        <v>20</v>
      </c>
      <c r="P569" t="s">
        <v>121</v>
      </c>
      <c r="Q569" t="s">
        <v>1112</v>
      </c>
      <c r="R569" s="34">
        <v>283.92</v>
      </c>
      <c r="S569" s="31">
        <v>5</v>
      </c>
      <c r="T569" s="35">
        <v>0.2</v>
      </c>
      <c r="U569" s="31">
        <v>-46.137</v>
      </c>
    </row>
    <row r="570" spans="1:21">
      <c r="A570" s="31">
        <v>569</v>
      </c>
      <c r="B570" t="s">
        <v>39</v>
      </c>
      <c r="C570" s="32">
        <v>42700</v>
      </c>
      <c r="D570" s="32">
        <v>42706</v>
      </c>
      <c r="E570" t="s">
        <v>57</v>
      </c>
      <c r="F570" s="33" t="s">
        <v>2413</v>
      </c>
      <c r="G570" t="s">
        <v>2414</v>
      </c>
      <c r="H570" t="s">
        <v>17</v>
      </c>
      <c r="I570" t="s">
        <v>43</v>
      </c>
      <c r="J570" t="s">
        <v>79</v>
      </c>
      <c r="K570" t="s">
        <v>80</v>
      </c>
      <c r="L570" s="31">
        <v>98105</v>
      </c>
      <c r="M570" t="s">
        <v>11</v>
      </c>
      <c r="N570" s="33" t="s">
        <v>2415</v>
      </c>
      <c r="O570" t="s">
        <v>21</v>
      </c>
      <c r="P570" t="s">
        <v>82</v>
      </c>
      <c r="Q570" t="s">
        <v>2416</v>
      </c>
      <c r="R570" s="34">
        <v>7.312</v>
      </c>
      <c r="S570" s="31">
        <v>2</v>
      </c>
      <c r="T570" s="35">
        <v>0.2</v>
      </c>
      <c r="U570" s="31">
        <v>2.5592</v>
      </c>
    </row>
    <row r="571" spans="1:21">
      <c r="A571" s="31">
        <v>570</v>
      </c>
      <c r="B571" t="s">
        <v>39</v>
      </c>
      <c r="C571" s="32">
        <v>42990</v>
      </c>
      <c r="D571" s="32">
        <v>42993</v>
      </c>
      <c r="E571" t="s">
        <v>139</v>
      </c>
      <c r="F571" s="33" t="s">
        <v>2417</v>
      </c>
      <c r="G571" t="s">
        <v>2418</v>
      </c>
      <c r="H571" t="s">
        <v>16</v>
      </c>
      <c r="I571" t="s">
        <v>43</v>
      </c>
      <c r="J571" t="s">
        <v>2419</v>
      </c>
      <c r="K571" t="s">
        <v>1518</v>
      </c>
      <c r="L571" s="31">
        <v>21215</v>
      </c>
      <c r="M571" t="s">
        <v>9</v>
      </c>
      <c r="N571" s="33" t="s">
        <v>2420</v>
      </c>
      <c r="O571" t="s">
        <v>21</v>
      </c>
      <c r="P571" t="s">
        <v>75</v>
      </c>
      <c r="Q571" t="s">
        <v>2421</v>
      </c>
      <c r="R571" s="34">
        <v>39.9</v>
      </c>
      <c r="S571" s="31">
        <v>5</v>
      </c>
      <c r="T571" s="35">
        <v>0</v>
      </c>
      <c r="U571" s="31">
        <v>19.95</v>
      </c>
    </row>
    <row r="572" spans="1:21">
      <c r="A572" s="31">
        <v>571</v>
      </c>
      <c r="B572" t="s">
        <v>39</v>
      </c>
      <c r="C572" s="32">
        <v>42931</v>
      </c>
      <c r="D572" s="32">
        <v>42935</v>
      </c>
      <c r="E572" t="s">
        <v>57</v>
      </c>
      <c r="F572" s="33" t="s">
        <v>2422</v>
      </c>
      <c r="G572" t="s">
        <v>2423</v>
      </c>
      <c r="H572" t="s">
        <v>16</v>
      </c>
      <c r="I572" t="s">
        <v>43</v>
      </c>
      <c r="J572" t="s">
        <v>345</v>
      </c>
      <c r="K572" t="s">
        <v>182</v>
      </c>
      <c r="L572" s="31">
        <v>19805</v>
      </c>
      <c r="M572" t="s">
        <v>9</v>
      </c>
      <c r="N572" s="33" t="s">
        <v>2424</v>
      </c>
      <c r="O572" t="s">
        <v>21</v>
      </c>
      <c r="P572" t="s">
        <v>82</v>
      </c>
      <c r="Q572" t="s">
        <v>2425</v>
      </c>
      <c r="R572" s="34">
        <v>26.55</v>
      </c>
      <c r="S572" s="31">
        <v>3</v>
      </c>
      <c r="T572" s="35">
        <v>0</v>
      </c>
      <c r="U572" s="31">
        <v>13.0095</v>
      </c>
    </row>
    <row r="573" spans="1:21">
      <c r="A573" s="31">
        <v>572</v>
      </c>
      <c r="B573" t="s">
        <v>39</v>
      </c>
      <c r="C573" s="32">
        <v>41838</v>
      </c>
      <c r="D573" s="32">
        <v>41838</v>
      </c>
      <c r="E573" t="s">
        <v>755</v>
      </c>
      <c r="F573" s="33" t="s">
        <v>2426</v>
      </c>
      <c r="G573" t="s">
        <v>2427</v>
      </c>
      <c r="H573" t="s">
        <v>18</v>
      </c>
      <c r="I573" t="s">
        <v>43</v>
      </c>
      <c r="J573" t="s">
        <v>768</v>
      </c>
      <c r="K573" t="s">
        <v>215</v>
      </c>
      <c r="L573" s="31">
        <v>85705</v>
      </c>
      <c r="M573" t="s">
        <v>11</v>
      </c>
      <c r="N573" s="33" t="s">
        <v>2428</v>
      </c>
      <c r="O573" t="s">
        <v>20</v>
      </c>
      <c r="P573" t="s">
        <v>121</v>
      </c>
      <c r="Q573" t="s">
        <v>2429</v>
      </c>
      <c r="R573" s="34">
        <v>259.136</v>
      </c>
      <c r="S573" s="31">
        <v>4</v>
      </c>
      <c r="T573" s="35">
        <v>0.2</v>
      </c>
      <c r="U573" s="31">
        <v>-25.9136</v>
      </c>
    </row>
    <row r="574" spans="1:21">
      <c r="A574" s="31">
        <v>573</v>
      </c>
      <c r="B574" t="s">
        <v>56</v>
      </c>
      <c r="C574" s="32">
        <v>41912</v>
      </c>
      <c r="D574" s="32">
        <v>41917</v>
      </c>
      <c r="E574" t="s">
        <v>57</v>
      </c>
      <c r="F574" s="33" t="s">
        <v>2430</v>
      </c>
      <c r="G574" t="s">
        <v>2431</v>
      </c>
      <c r="H574" t="s">
        <v>16</v>
      </c>
      <c r="I574" t="s">
        <v>43</v>
      </c>
      <c r="J574" t="s">
        <v>2432</v>
      </c>
      <c r="K574" t="s">
        <v>61</v>
      </c>
      <c r="L574" s="31">
        <v>33437</v>
      </c>
      <c r="M574" t="s">
        <v>10</v>
      </c>
      <c r="N574" s="33" t="s">
        <v>2433</v>
      </c>
      <c r="O574" t="s">
        <v>21</v>
      </c>
      <c r="P574" t="s">
        <v>75</v>
      </c>
      <c r="Q574" t="s">
        <v>2434</v>
      </c>
      <c r="R574" s="34">
        <v>15.552</v>
      </c>
      <c r="S574" s="31">
        <v>3</v>
      </c>
      <c r="T574" s="35">
        <v>0.2</v>
      </c>
      <c r="U574" s="31">
        <v>5.4432</v>
      </c>
    </row>
    <row r="575" spans="1:21">
      <c r="A575" s="31">
        <v>574</v>
      </c>
      <c r="B575" t="s">
        <v>39</v>
      </c>
      <c r="C575" s="32">
        <v>42632</v>
      </c>
      <c r="D575" s="32">
        <v>42636</v>
      </c>
      <c r="E575" t="s">
        <v>57</v>
      </c>
      <c r="F575" s="33" t="s">
        <v>2435</v>
      </c>
      <c r="G575" t="s">
        <v>2436</v>
      </c>
      <c r="H575" t="s">
        <v>16</v>
      </c>
      <c r="I575" t="s">
        <v>43</v>
      </c>
      <c r="J575" t="s">
        <v>2437</v>
      </c>
      <c r="K575" t="s">
        <v>52</v>
      </c>
      <c r="L575" s="31">
        <v>95207</v>
      </c>
      <c r="M575" t="s">
        <v>11</v>
      </c>
      <c r="N575" s="33" t="s">
        <v>2438</v>
      </c>
      <c r="O575" t="s">
        <v>21</v>
      </c>
      <c r="P575" t="s">
        <v>75</v>
      </c>
      <c r="Q575" t="s">
        <v>2439</v>
      </c>
      <c r="R575" s="34">
        <v>159.88</v>
      </c>
      <c r="S575" s="31">
        <v>7</v>
      </c>
      <c r="T575" s="35">
        <v>0</v>
      </c>
      <c r="U575" s="31">
        <v>73.5448</v>
      </c>
    </row>
    <row r="576" spans="1:21">
      <c r="A576" s="31">
        <v>575</v>
      </c>
      <c r="B576" t="s">
        <v>39</v>
      </c>
      <c r="C576" s="32">
        <v>41813</v>
      </c>
      <c r="D576" s="32">
        <v>41818</v>
      </c>
      <c r="E576" t="s">
        <v>57</v>
      </c>
      <c r="F576" s="33" t="s">
        <v>2440</v>
      </c>
      <c r="G576" t="s">
        <v>2441</v>
      </c>
      <c r="H576" t="s">
        <v>16</v>
      </c>
      <c r="I576" t="s">
        <v>43</v>
      </c>
      <c r="J576" t="s">
        <v>118</v>
      </c>
      <c r="K576" t="s">
        <v>119</v>
      </c>
      <c r="L576" s="31">
        <v>19143</v>
      </c>
      <c r="M576" t="s">
        <v>9</v>
      </c>
      <c r="N576" s="33" t="s">
        <v>847</v>
      </c>
      <c r="O576" t="s">
        <v>22</v>
      </c>
      <c r="P576" t="s">
        <v>171</v>
      </c>
      <c r="Q576" t="s">
        <v>848</v>
      </c>
      <c r="R576" s="34">
        <v>86.376</v>
      </c>
      <c r="S576" s="31">
        <v>3</v>
      </c>
      <c r="T576" s="35">
        <v>0.2</v>
      </c>
      <c r="U576" s="31">
        <v>1.0797</v>
      </c>
    </row>
    <row r="577" spans="1:21">
      <c r="A577" s="31">
        <v>576</v>
      </c>
      <c r="B577" t="s">
        <v>56</v>
      </c>
      <c r="C577" s="32">
        <v>41779</v>
      </c>
      <c r="D577" s="32">
        <v>41781</v>
      </c>
      <c r="E577" t="s">
        <v>40</v>
      </c>
      <c r="F577" s="33" t="s">
        <v>2442</v>
      </c>
      <c r="G577" t="s">
        <v>2443</v>
      </c>
      <c r="H577" t="s">
        <v>17</v>
      </c>
      <c r="I577" t="s">
        <v>43</v>
      </c>
      <c r="J577" t="s">
        <v>181</v>
      </c>
      <c r="K577" t="s">
        <v>2444</v>
      </c>
      <c r="L577" s="31">
        <v>3820</v>
      </c>
      <c r="M577" t="s">
        <v>9</v>
      </c>
      <c r="N577" s="33" t="s">
        <v>2445</v>
      </c>
      <c r="O577" t="s">
        <v>21</v>
      </c>
      <c r="P577" t="s">
        <v>89</v>
      </c>
      <c r="Q577" t="s">
        <v>2446</v>
      </c>
      <c r="R577" s="34">
        <v>33.28</v>
      </c>
      <c r="S577" s="31">
        <v>4</v>
      </c>
      <c r="T577" s="35">
        <v>0</v>
      </c>
      <c r="U577" s="31">
        <v>9.3184</v>
      </c>
    </row>
    <row r="578" spans="1:21">
      <c r="A578" s="31">
        <v>577</v>
      </c>
      <c r="B578" t="s">
        <v>39</v>
      </c>
      <c r="C578" s="32">
        <v>42338</v>
      </c>
      <c r="D578" s="32">
        <v>42342</v>
      </c>
      <c r="E578" t="s">
        <v>57</v>
      </c>
      <c r="F578" s="33" t="s">
        <v>2447</v>
      </c>
      <c r="G578" t="s">
        <v>2448</v>
      </c>
      <c r="H578" t="s">
        <v>16</v>
      </c>
      <c r="I578" t="s">
        <v>43</v>
      </c>
      <c r="J578" t="s">
        <v>118</v>
      </c>
      <c r="K578" t="s">
        <v>119</v>
      </c>
      <c r="L578" s="31">
        <v>19134</v>
      </c>
      <c r="M578" t="s">
        <v>9</v>
      </c>
      <c r="N578" s="33" t="s">
        <v>81</v>
      </c>
      <c r="O578" t="s">
        <v>21</v>
      </c>
      <c r="P578" t="s">
        <v>82</v>
      </c>
      <c r="Q578" t="s">
        <v>83</v>
      </c>
      <c r="R578" s="34">
        <v>152.991</v>
      </c>
      <c r="S578" s="31">
        <v>3</v>
      </c>
      <c r="T578" s="35">
        <v>0.7</v>
      </c>
      <c r="U578" s="31">
        <v>-122.3928</v>
      </c>
    </row>
    <row r="579" spans="1:21">
      <c r="A579" s="31">
        <v>578</v>
      </c>
      <c r="B579" t="s">
        <v>39</v>
      </c>
      <c r="C579" s="32">
        <v>42369</v>
      </c>
      <c r="D579" s="32">
        <v>42374</v>
      </c>
      <c r="E579" t="s">
        <v>57</v>
      </c>
      <c r="F579" s="33" t="s">
        <v>2449</v>
      </c>
      <c r="G579" t="s">
        <v>2450</v>
      </c>
      <c r="H579" t="s">
        <v>16</v>
      </c>
      <c r="I579" t="s">
        <v>43</v>
      </c>
      <c r="J579" t="s">
        <v>484</v>
      </c>
      <c r="K579" t="s">
        <v>87</v>
      </c>
      <c r="L579" s="31">
        <v>75051</v>
      </c>
      <c r="M579" t="s">
        <v>8</v>
      </c>
      <c r="N579" s="33" t="s">
        <v>2451</v>
      </c>
      <c r="O579" t="s">
        <v>20</v>
      </c>
      <c r="P579" t="s">
        <v>68</v>
      </c>
      <c r="Q579" t="s">
        <v>2452</v>
      </c>
      <c r="R579" s="34">
        <v>14.76</v>
      </c>
      <c r="S579" s="31">
        <v>5</v>
      </c>
      <c r="T579" s="35">
        <v>0.6</v>
      </c>
      <c r="U579" s="31">
        <v>-11.439</v>
      </c>
    </row>
    <row r="580" spans="1:21">
      <c r="A580" s="31">
        <v>579</v>
      </c>
      <c r="B580" t="s">
        <v>56</v>
      </c>
      <c r="C580" s="32">
        <v>43058</v>
      </c>
      <c r="D580" s="32">
        <v>43065</v>
      </c>
      <c r="E580" t="s">
        <v>57</v>
      </c>
      <c r="F580" s="33" t="s">
        <v>2453</v>
      </c>
      <c r="G580" t="s">
        <v>2454</v>
      </c>
      <c r="H580" t="s">
        <v>16</v>
      </c>
      <c r="I580" t="s">
        <v>43</v>
      </c>
      <c r="J580" t="s">
        <v>2455</v>
      </c>
      <c r="K580" t="s">
        <v>87</v>
      </c>
      <c r="L580" s="31">
        <v>77840</v>
      </c>
      <c r="M580" t="s">
        <v>8</v>
      </c>
      <c r="N580" s="33" t="s">
        <v>2456</v>
      </c>
      <c r="O580" t="s">
        <v>20</v>
      </c>
      <c r="P580" t="s">
        <v>121</v>
      </c>
      <c r="Q580" t="s">
        <v>2457</v>
      </c>
      <c r="R580" s="34">
        <v>233.058</v>
      </c>
      <c r="S580" s="31">
        <v>3</v>
      </c>
      <c r="T580" s="35">
        <v>0.3</v>
      </c>
      <c r="U580" s="31">
        <v>-53.2704</v>
      </c>
    </row>
    <row r="581" spans="1:21">
      <c r="A581" s="31">
        <v>580</v>
      </c>
      <c r="B581" t="s">
        <v>39</v>
      </c>
      <c r="C581" s="32">
        <v>41967</v>
      </c>
      <c r="D581" s="32">
        <v>41972</v>
      </c>
      <c r="E581" t="s">
        <v>40</v>
      </c>
      <c r="F581" s="33" t="s">
        <v>2458</v>
      </c>
      <c r="G581" t="s">
        <v>2459</v>
      </c>
      <c r="H581" t="s">
        <v>16</v>
      </c>
      <c r="I581" t="s">
        <v>43</v>
      </c>
      <c r="J581" t="s">
        <v>2460</v>
      </c>
      <c r="K581" t="s">
        <v>385</v>
      </c>
      <c r="L581" s="31">
        <v>63116</v>
      </c>
      <c r="M581" t="s">
        <v>8</v>
      </c>
      <c r="N581" s="33" t="s">
        <v>2461</v>
      </c>
      <c r="O581" t="s">
        <v>22</v>
      </c>
      <c r="P581" t="s">
        <v>171</v>
      </c>
      <c r="Q581" t="s">
        <v>2462</v>
      </c>
      <c r="R581" s="34">
        <v>111.79</v>
      </c>
      <c r="S581" s="31">
        <v>7</v>
      </c>
      <c r="T581" s="35">
        <v>0</v>
      </c>
      <c r="U581" s="31">
        <v>43.5981</v>
      </c>
    </row>
    <row r="582" spans="1:21">
      <c r="A582" s="31">
        <v>581</v>
      </c>
      <c r="B582" t="s">
        <v>39</v>
      </c>
      <c r="C582" s="32">
        <v>42807</v>
      </c>
      <c r="D582" s="32">
        <v>42813</v>
      </c>
      <c r="E582" t="s">
        <v>57</v>
      </c>
      <c r="F582" s="33" t="s">
        <v>2463</v>
      </c>
      <c r="G582" t="s">
        <v>2464</v>
      </c>
      <c r="H582" t="s">
        <v>18</v>
      </c>
      <c r="I582" t="s">
        <v>43</v>
      </c>
      <c r="J582" t="s">
        <v>2465</v>
      </c>
      <c r="K582" t="s">
        <v>52</v>
      </c>
      <c r="L582" s="31">
        <v>95336</v>
      </c>
      <c r="M582" t="s">
        <v>11</v>
      </c>
      <c r="N582" s="33" t="s">
        <v>2466</v>
      </c>
      <c r="O582" t="s">
        <v>21</v>
      </c>
      <c r="P582" t="s">
        <v>75</v>
      </c>
      <c r="Q582" t="s">
        <v>2467</v>
      </c>
      <c r="R582" s="34">
        <v>314.55</v>
      </c>
      <c r="S582" s="31">
        <v>3</v>
      </c>
      <c r="T582" s="35">
        <v>0</v>
      </c>
      <c r="U582" s="31">
        <v>150.984</v>
      </c>
    </row>
    <row r="583" spans="1:21">
      <c r="A583" s="31">
        <v>582</v>
      </c>
      <c r="B583" t="s">
        <v>39</v>
      </c>
      <c r="C583" s="32">
        <v>42762</v>
      </c>
      <c r="D583" s="32">
        <v>42765</v>
      </c>
      <c r="E583" t="s">
        <v>40</v>
      </c>
      <c r="F583" s="33" t="s">
        <v>2468</v>
      </c>
      <c r="G583" t="s">
        <v>2469</v>
      </c>
      <c r="H583" t="s">
        <v>16</v>
      </c>
      <c r="I583" t="s">
        <v>43</v>
      </c>
      <c r="J583" t="s">
        <v>2183</v>
      </c>
      <c r="K583" t="s">
        <v>331</v>
      </c>
      <c r="L583" s="31">
        <v>44240</v>
      </c>
      <c r="M583" t="s">
        <v>9</v>
      </c>
      <c r="N583" s="33" t="s">
        <v>1121</v>
      </c>
      <c r="O583" t="s">
        <v>21</v>
      </c>
      <c r="P583" t="s">
        <v>108</v>
      </c>
      <c r="Q583" t="s">
        <v>1122</v>
      </c>
      <c r="R583" s="34">
        <v>14.016</v>
      </c>
      <c r="S583" s="31">
        <v>3</v>
      </c>
      <c r="T583" s="35">
        <v>0.2</v>
      </c>
      <c r="U583" s="31">
        <v>1.752</v>
      </c>
    </row>
    <row r="584" spans="1:21">
      <c r="A584" s="31">
        <v>583</v>
      </c>
      <c r="B584" t="s">
        <v>39</v>
      </c>
      <c r="C584" s="32">
        <v>41852</v>
      </c>
      <c r="D584" s="32">
        <v>41854</v>
      </c>
      <c r="E584" t="s">
        <v>139</v>
      </c>
      <c r="F584" s="33" t="s">
        <v>2470</v>
      </c>
      <c r="G584" t="s">
        <v>2471</v>
      </c>
      <c r="H584" t="s">
        <v>16</v>
      </c>
      <c r="I584" t="s">
        <v>43</v>
      </c>
      <c r="J584" t="s">
        <v>106</v>
      </c>
      <c r="K584" t="s">
        <v>52</v>
      </c>
      <c r="L584" s="31">
        <v>94122</v>
      </c>
      <c r="M584" t="s">
        <v>11</v>
      </c>
      <c r="N584" s="33" t="s">
        <v>2472</v>
      </c>
      <c r="O584" t="s">
        <v>21</v>
      </c>
      <c r="P584" t="s">
        <v>82</v>
      </c>
      <c r="Q584" t="s">
        <v>2473</v>
      </c>
      <c r="R584" s="34">
        <v>19.752</v>
      </c>
      <c r="S584" s="31">
        <v>3</v>
      </c>
      <c r="T584" s="35">
        <v>0.2</v>
      </c>
      <c r="U584" s="31">
        <v>6.9132</v>
      </c>
    </row>
    <row r="585" spans="1:21">
      <c r="A585" s="31">
        <v>584</v>
      </c>
      <c r="B585" t="s">
        <v>39</v>
      </c>
      <c r="C585" s="32">
        <v>42658</v>
      </c>
      <c r="D585" s="32">
        <v>42664</v>
      </c>
      <c r="E585" t="s">
        <v>57</v>
      </c>
      <c r="F585" s="33" t="s">
        <v>2474</v>
      </c>
      <c r="G585" t="s">
        <v>2475</v>
      </c>
      <c r="H585" t="s">
        <v>18</v>
      </c>
      <c r="I585" t="s">
        <v>43</v>
      </c>
      <c r="J585" t="s">
        <v>2476</v>
      </c>
      <c r="K585" t="s">
        <v>101</v>
      </c>
      <c r="L585" s="31">
        <v>84106</v>
      </c>
      <c r="M585" t="s">
        <v>11</v>
      </c>
      <c r="N585" s="33" t="s">
        <v>2477</v>
      </c>
      <c r="O585" t="s">
        <v>21</v>
      </c>
      <c r="P585" t="s">
        <v>75</v>
      </c>
      <c r="Q585" t="s">
        <v>2478</v>
      </c>
      <c r="R585" s="34">
        <v>45.68</v>
      </c>
      <c r="S585" s="31">
        <v>2</v>
      </c>
      <c r="T585" s="35">
        <v>0</v>
      </c>
      <c r="U585" s="31">
        <v>21.0128</v>
      </c>
    </row>
    <row r="586" spans="1:21">
      <c r="A586" s="31">
        <v>585</v>
      </c>
      <c r="B586" t="s">
        <v>39</v>
      </c>
      <c r="C586" s="32">
        <v>42565</v>
      </c>
      <c r="D586" s="32">
        <v>42565</v>
      </c>
      <c r="E586" t="s">
        <v>755</v>
      </c>
      <c r="F586" s="33" t="s">
        <v>2479</v>
      </c>
      <c r="G586" t="s">
        <v>2480</v>
      </c>
      <c r="H586" t="s">
        <v>16</v>
      </c>
      <c r="I586" t="s">
        <v>43</v>
      </c>
      <c r="J586" t="s">
        <v>957</v>
      </c>
      <c r="K586" t="s">
        <v>241</v>
      </c>
      <c r="L586" s="31">
        <v>35810</v>
      </c>
      <c r="M586" t="s">
        <v>10</v>
      </c>
      <c r="N586" s="33" t="s">
        <v>2481</v>
      </c>
      <c r="O586" t="s">
        <v>22</v>
      </c>
      <c r="P586" t="s">
        <v>171</v>
      </c>
      <c r="Q586" t="s">
        <v>2482</v>
      </c>
      <c r="R586" s="34">
        <v>29</v>
      </c>
      <c r="S586" s="31">
        <v>2</v>
      </c>
      <c r="T586" s="35">
        <v>0</v>
      </c>
      <c r="U586" s="31">
        <v>7.25</v>
      </c>
    </row>
    <row r="587" spans="1:21">
      <c r="A587" s="31">
        <v>586</v>
      </c>
      <c r="B587" t="s">
        <v>56</v>
      </c>
      <c r="C587" s="32">
        <v>41834</v>
      </c>
      <c r="D587" s="32">
        <v>41840</v>
      </c>
      <c r="E587" t="s">
        <v>57</v>
      </c>
      <c r="F587" s="33" t="s">
        <v>2483</v>
      </c>
      <c r="G587" t="s">
        <v>2484</v>
      </c>
      <c r="H587" t="s">
        <v>18</v>
      </c>
      <c r="I587" t="s">
        <v>43</v>
      </c>
      <c r="J587" t="s">
        <v>304</v>
      </c>
      <c r="K587" t="s">
        <v>154</v>
      </c>
      <c r="L587" s="31">
        <v>60505</v>
      </c>
      <c r="M587" t="s">
        <v>8</v>
      </c>
      <c r="N587" s="33" t="s">
        <v>1385</v>
      </c>
      <c r="O587" t="s">
        <v>21</v>
      </c>
      <c r="P587" t="s">
        <v>82</v>
      </c>
      <c r="Q587" t="s">
        <v>1386</v>
      </c>
      <c r="R587" s="34">
        <v>29.932</v>
      </c>
      <c r="S587" s="31">
        <v>7</v>
      </c>
      <c r="T587" s="35">
        <v>0.8</v>
      </c>
      <c r="U587" s="31">
        <v>-46.3946</v>
      </c>
    </row>
    <row r="588" spans="1:21">
      <c r="A588" s="31">
        <v>587</v>
      </c>
      <c r="B588" t="s">
        <v>39</v>
      </c>
      <c r="C588" s="32">
        <v>41957</v>
      </c>
      <c r="D588" s="32">
        <v>41959</v>
      </c>
      <c r="E588" t="s">
        <v>40</v>
      </c>
      <c r="F588" s="33" t="s">
        <v>2485</v>
      </c>
      <c r="G588" t="s">
        <v>2486</v>
      </c>
      <c r="H588" t="s">
        <v>16</v>
      </c>
      <c r="I588" t="s">
        <v>43</v>
      </c>
      <c r="J588" t="s">
        <v>474</v>
      </c>
      <c r="K588" t="s">
        <v>475</v>
      </c>
      <c r="L588" s="31">
        <v>6824</v>
      </c>
      <c r="M588" t="s">
        <v>9</v>
      </c>
      <c r="N588" s="33" t="s">
        <v>2487</v>
      </c>
      <c r="O588" t="s">
        <v>22</v>
      </c>
      <c r="P588" t="s">
        <v>144</v>
      </c>
      <c r="Q588" t="s">
        <v>2488</v>
      </c>
      <c r="R588" s="34">
        <v>832.93</v>
      </c>
      <c r="S588" s="31">
        <v>7</v>
      </c>
      <c r="T588" s="35">
        <v>0</v>
      </c>
      <c r="U588" s="31">
        <v>233.2204</v>
      </c>
    </row>
    <row r="589" spans="1:21">
      <c r="A589" s="31">
        <v>588</v>
      </c>
      <c r="B589" t="s">
        <v>39</v>
      </c>
      <c r="C589" s="32">
        <v>41902</v>
      </c>
      <c r="D589" s="32">
        <v>41907</v>
      </c>
      <c r="E589" t="s">
        <v>57</v>
      </c>
      <c r="F589" s="33" t="s">
        <v>2489</v>
      </c>
      <c r="G589" t="s">
        <v>2490</v>
      </c>
      <c r="H589" t="s">
        <v>17</v>
      </c>
      <c r="I589" t="s">
        <v>43</v>
      </c>
      <c r="J589" t="s">
        <v>889</v>
      </c>
      <c r="K589" t="s">
        <v>61</v>
      </c>
      <c r="L589" s="31">
        <v>32216</v>
      </c>
      <c r="M589" t="s">
        <v>10</v>
      </c>
      <c r="N589" s="33" t="s">
        <v>2491</v>
      </c>
      <c r="O589" t="s">
        <v>21</v>
      </c>
      <c r="P589" t="s">
        <v>108</v>
      </c>
      <c r="Q589" t="s">
        <v>2492</v>
      </c>
      <c r="R589" s="34">
        <v>2.816</v>
      </c>
      <c r="S589" s="31">
        <v>2</v>
      </c>
      <c r="T589" s="35">
        <v>0.2</v>
      </c>
      <c r="U589" s="31">
        <v>0.9856</v>
      </c>
    </row>
    <row r="590" spans="1:21">
      <c r="A590" s="31">
        <v>589</v>
      </c>
      <c r="B590" t="s">
        <v>39</v>
      </c>
      <c r="C590" s="32">
        <v>42944</v>
      </c>
      <c r="D590" s="32">
        <v>42948</v>
      </c>
      <c r="E590" t="s">
        <v>57</v>
      </c>
      <c r="F590" s="33" t="s">
        <v>2493</v>
      </c>
      <c r="G590" t="s">
        <v>2494</v>
      </c>
      <c r="H590" t="s">
        <v>17</v>
      </c>
      <c r="I590" t="s">
        <v>43</v>
      </c>
      <c r="J590" t="s">
        <v>106</v>
      </c>
      <c r="K590" t="s">
        <v>52</v>
      </c>
      <c r="L590" s="31">
        <v>94110</v>
      </c>
      <c r="M590" t="s">
        <v>11</v>
      </c>
      <c r="N590" s="33" t="s">
        <v>1603</v>
      </c>
      <c r="O590" t="s">
        <v>21</v>
      </c>
      <c r="P590" t="s">
        <v>82</v>
      </c>
      <c r="Q590" t="s">
        <v>1604</v>
      </c>
      <c r="R590" s="34">
        <v>9.984</v>
      </c>
      <c r="S590" s="31">
        <v>4</v>
      </c>
      <c r="T590" s="35">
        <v>0.2</v>
      </c>
      <c r="U590" s="31">
        <v>3.6192</v>
      </c>
    </row>
    <row r="591" spans="1:21">
      <c r="A591" s="31">
        <v>590</v>
      </c>
      <c r="B591" t="s">
        <v>39</v>
      </c>
      <c r="C591" s="32">
        <v>42344</v>
      </c>
      <c r="D591" s="32">
        <v>42344</v>
      </c>
      <c r="E591" t="s">
        <v>755</v>
      </c>
      <c r="F591" s="33" t="s">
        <v>2495</v>
      </c>
      <c r="G591" t="s">
        <v>2496</v>
      </c>
      <c r="H591" t="s">
        <v>16</v>
      </c>
      <c r="I591" t="s">
        <v>43</v>
      </c>
      <c r="J591" t="s">
        <v>2497</v>
      </c>
      <c r="K591" t="s">
        <v>331</v>
      </c>
      <c r="L591" s="31">
        <v>43302</v>
      </c>
      <c r="M591" t="s">
        <v>9</v>
      </c>
      <c r="N591" s="33" t="s">
        <v>2498</v>
      </c>
      <c r="O591" t="s">
        <v>22</v>
      </c>
      <c r="P591" t="s">
        <v>144</v>
      </c>
      <c r="Q591" t="s">
        <v>2499</v>
      </c>
      <c r="R591" s="34">
        <v>485.94</v>
      </c>
      <c r="S591" s="31">
        <v>2</v>
      </c>
      <c r="T591" s="35">
        <v>0.4</v>
      </c>
      <c r="U591" s="31">
        <v>-89.089</v>
      </c>
    </row>
    <row r="592" spans="1:21">
      <c r="A592" s="31">
        <v>591</v>
      </c>
      <c r="B592" t="s">
        <v>39</v>
      </c>
      <c r="C592" s="32">
        <v>42448</v>
      </c>
      <c r="D592" s="32">
        <v>42450</v>
      </c>
      <c r="E592" t="s">
        <v>40</v>
      </c>
      <c r="F592" s="33" t="s">
        <v>2500</v>
      </c>
      <c r="G592" t="s">
        <v>2501</v>
      </c>
      <c r="H592" t="s">
        <v>16</v>
      </c>
      <c r="I592" t="s">
        <v>43</v>
      </c>
      <c r="J592" t="s">
        <v>2502</v>
      </c>
      <c r="K592" t="s">
        <v>305</v>
      </c>
      <c r="L592" s="31">
        <v>80122</v>
      </c>
      <c r="M592" t="s">
        <v>11</v>
      </c>
      <c r="N592" s="33" t="s">
        <v>2503</v>
      </c>
      <c r="O592" t="s">
        <v>20</v>
      </c>
      <c r="P592" t="s">
        <v>47</v>
      </c>
      <c r="Q592" t="s">
        <v>2504</v>
      </c>
      <c r="R592" s="34">
        <v>72.294</v>
      </c>
      <c r="S592" s="31">
        <v>1</v>
      </c>
      <c r="T592" s="35">
        <v>0.7</v>
      </c>
      <c r="U592" s="31">
        <v>-98.8018</v>
      </c>
    </row>
    <row r="593" spans="1:21">
      <c r="A593" s="31">
        <v>592</v>
      </c>
      <c r="B593" t="s">
        <v>39</v>
      </c>
      <c r="C593" s="32">
        <v>42912</v>
      </c>
      <c r="D593" s="32">
        <v>42917</v>
      </c>
      <c r="E593" t="s">
        <v>57</v>
      </c>
      <c r="F593" s="33" t="s">
        <v>2505</v>
      </c>
      <c r="G593" t="s">
        <v>2506</v>
      </c>
      <c r="H593" t="s">
        <v>16</v>
      </c>
      <c r="I593" t="s">
        <v>43</v>
      </c>
      <c r="J593" t="s">
        <v>1770</v>
      </c>
      <c r="K593" t="s">
        <v>188</v>
      </c>
      <c r="L593" s="31">
        <v>46350</v>
      </c>
      <c r="M593" t="s">
        <v>8</v>
      </c>
      <c r="N593" s="33" t="s">
        <v>1690</v>
      </c>
      <c r="O593" t="s">
        <v>20</v>
      </c>
      <c r="P593" t="s">
        <v>68</v>
      </c>
      <c r="Q593" t="s">
        <v>1691</v>
      </c>
      <c r="R593" s="34">
        <v>526.45</v>
      </c>
      <c r="S593" s="31">
        <v>5</v>
      </c>
      <c r="T593" s="35">
        <v>0</v>
      </c>
      <c r="U593" s="31">
        <v>31.587</v>
      </c>
    </row>
    <row r="594" spans="1:21">
      <c r="A594" s="31">
        <v>593</v>
      </c>
      <c r="B594" t="s">
        <v>39</v>
      </c>
      <c r="C594" s="32">
        <v>42689</v>
      </c>
      <c r="D594" s="32">
        <v>42691</v>
      </c>
      <c r="E594" t="s">
        <v>40</v>
      </c>
      <c r="F594" s="33" t="s">
        <v>2507</v>
      </c>
      <c r="G594" t="s">
        <v>2508</v>
      </c>
      <c r="H594" t="s">
        <v>16</v>
      </c>
      <c r="I594" t="s">
        <v>43</v>
      </c>
      <c r="J594" t="s">
        <v>51</v>
      </c>
      <c r="K594" t="s">
        <v>52</v>
      </c>
      <c r="L594" s="31">
        <v>90049</v>
      </c>
      <c r="M594" t="s">
        <v>11</v>
      </c>
      <c r="N594" s="33" t="s">
        <v>2509</v>
      </c>
      <c r="O594" t="s">
        <v>21</v>
      </c>
      <c r="P594" t="s">
        <v>82</v>
      </c>
      <c r="Q594" t="s">
        <v>2510</v>
      </c>
      <c r="R594" s="34">
        <v>1016.792</v>
      </c>
      <c r="S594" s="31">
        <v>1</v>
      </c>
      <c r="T594" s="35">
        <v>0.2</v>
      </c>
      <c r="U594" s="31">
        <v>381.297</v>
      </c>
    </row>
    <row r="595" spans="1:21">
      <c r="A595" s="31">
        <v>594</v>
      </c>
      <c r="B595" t="s">
        <v>39</v>
      </c>
      <c r="C595" s="32">
        <v>43060</v>
      </c>
      <c r="D595" s="32">
        <v>43064</v>
      </c>
      <c r="E595" t="s">
        <v>57</v>
      </c>
      <c r="F595" s="33" t="s">
        <v>2511</v>
      </c>
      <c r="G595" t="s">
        <v>2512</v>
      </c>
      <c r="H595" t="s">
        <v>18</v>
      </c>
      <c r="I595" t="s">
        <v>43</v>
      </c>
      <c r="J595" t="s">
        <v>390</v>
      </c>
      <c r="K595" t="s">
        <v>52</v>
      </c>
      <c r="L595" s="31">
        <v>91104</v>
      </c>
      <c r="M595" t="s">
        <v>11</v>
      </c>
      <c r="N595" s="33" t="s">
        <v>264</v>
      </c>
      <c r="O595" t="s">
        <v>21</v>
      </c>
      <c r="P595" t="s">
        <v>96</v>
      </c>
      <c r="Q595" t="s">
        <v>265</v>
      </c>
      <c r="R595" s="34">
        <v>56.56</v>
      </c>
      <c r="S595" s="31">
        <v>2</v>
      </c>
      <c r="T595" s="35">
        <v>0</v>
      </c>
      <c r="U595" s="31">
        <v>15.2712</v>
      </c>
    </row>
    <row r="596" spans="1:21">
      <c r="A596" s="31">
        <v>595</v>
      </c>
      <c r="B596" t="s">
        <v>39</v>
      </c>
      <c r="C596" s="32">
        <v>42050</v>
      </c>
      <c r="D596" s="32">
        <v>42053</v>
      </c>
      <c r="E596" t="s">
        <v>40</v>
      </c>
      <c r="F596" s="33" t="s">
        <v>2513</v>
      </c>
      <c r="G596" t="s">
        <v>2514</v>
      </c>
      <c r="H596" t="s">
        <v>16</v>
      </c>
      <c r="I596" t="s">
        <v>43</v>
      </c>
      <c r="J596" t="s">
        <v>51</v>
      </c>
      <c r="K596" t="s">
        <v>52</v>
      </c>
      <c r="L596" s="31">
        <v>90004</v>
      </c>
      <c r="M596" t="s">
        <v>11</v>
      </c>
      <c r="N596" s="33" t="s">
        <v>2515</v>
      </c>
      <c r="O596" t="s">
        <v>21</v>
      </c>
      <c r="P596" t="s">
        <v>75</v>
      </c>
      <c r="Q596" t="s">
        <v>2516</v>
      </c>
      <c r="R596" s="34">
        <v>13.36</v>
      </c>
      <c r="S596" s="31">
        <v>2</v>
      </c>
      <c r="T596" s="35">
        <v>0</v>
      </c>
      <c r="U596" s="31">
        <v>6.4128</v>
      </c>
    </row>
    <row r="597" spans="1:21">
      <c r="A597" s="31">
        <v>596</v>
      </c>
      <c r="B597" t="s">
        <v>39</v>
      </c>
      <c r="C597" s="32">
        <v>42316</v>
      </c>
      <c r="D597" s="32">
        <v>42318</v>
      </c>
      <c r="E597" t="s">
        <v>40</v>
      </c>
      <c r="F597" s="33" t="s">
        <v>2517</v>
      </c>
      <c r="G597" t="s">
        <v>2518</v>
      </c>
      <c r="H597" t="s">
        <v>18</v>
      </c>
      <c r="I597" t="s">
        <v>43</v>
      </c>
      <c r="J597" t="s">
        <v>588</v>
      </c>
      <c r="K597" t="s">
        <v>52</v>
      </c>
      <c r="L597" s="31">
        <v>92024</v>
      </c>
      <c r="M597" t="s">
        <v>11</v>
      </c>
      <c r="N597" s="33" t="s">
        <v>2519</v>
      </c>
      <c r="O597" t="s">
        <v>21</v>
      </c>
      <c r="P597" t="s">
        <v>196</v>
      </c>
      <c r="Q597" t="s">
        <v>2520</v>
      </c>
      <c r="R597" s="34">
        <v>5</v>
      </c>
      <c r="S597" s="31">
        <v>1</v>
      </c>
      <c r="T597" s="35">
        <v>0</v>
      </c>
      <c r="U597" s="31">
        <v>2.4</v>
      </c>
    </row>
    <row r="598" spans="1:21">
      <c r="A598" s="31">
        <v>597</v>
      </c>
      <c r="B598" t="s">
        <v>56</v>
      </c>
      <c r="C598" s="32">
        <v>42356</v>
      </c>
      <c r="D598" s="32">
        <v>42356</v>
      </c>
      <c r="E598" t="s">
        <v>755</v>
      </c>
      <c r="F598" s="33" t="s">
        <v>2521</v>
      </c>
      <c r="G598" t="s">
        <v>2522</v>
      </c>
      <c r="H598" t="s">
        <v>16</v>
      </c>
      <c r="I598" t="s">
        <v>43</v>
      </c>
      <c r="J598" t="s">
        <v>193</v>
      </c>
      <c r="K598" t="s">
        <v>194</v>
      </c>
      <c r="L598" s="31">
        <v>10035</v>
      </c>
      <c r="M598" t="s">
        <v>9</v>
      </c>
      <c r="N598" s="33" t="s">
        <v>1267</v>
      </c>
      <c r="O598" t="s">
        <v>22</v>
      </c>
      <c r="P598" t="s">
        <v>171</v>
      </c>
      <c r="Q598" t="s">
        <v>1268</v>
      </c>
      <c r="R598" s="34">
        <v>166.24</v>
      </c>
      <c r="S598" s="31">
        <v>1</v>
      </c>
      <c r="T598" s="35">
        <v>0</v>
      </c>
      <c r="U598" s="31">
        <v>24.936</v>
      </c>
    </row>
    <row r="599" spans="1:21">
      <c r="A599" s="31">
        <v>598</v>
      </c>
      <c r="B599" t="s">
        <v>39</v>
      </c>
      <c r="C599" s="32">
        <v>42772</v>
      </c>
      <c r="D599" s="32">
        <v>42775</v>
      </c>
      <c r="E599" t="s">
        <v>139</v>
      </c>
      <c r="F599" s="33" t="s">
        <v>2523</v>
      </c>
      <c r="G599" t="s">
        <v>2524</v>
      </c>
      <c r="H599" t="s">
        <v>16</v>
      </c>
      <c r="I599" t="s">
        <v>43</v>
      </c>
      <c r="J599" t="s">
        <v>673</v>
      </c>
      <c r="K599" t="s">
        <v>221</v>
      </c>
      <c r="L599" s="31">
        <v>22204</v>
      </c>
      <c r="M599" t="s">
        <v>10</v>
      </c>
      <c r="N599" s="33" t="s">
        <v>1258</v>
      </c>
      <c r="O599" t="s">
        <v>20</v>
      </c>
      <c r="P599" t="s">
        <v>47</v>
      </c>
      <c r="Q599" t="s">
        <v>1259</v>
      </c>
      <c r="R599" s="34">
        <v>359.97</v>
      </c>
      <c r="S599" s="31">
        <v>3</v>
      </c>
      <c r="T599" s="35">
        <v>0</v>
      </c>
      <c r="U599" s="31">
        <v>79.1934</v>
      </c>
    </row>
    <row r="600" spans="1:21">
      <c r="A600" s="31">
        <v>599</v>
      </c>
      <c r="B600" t="s">
        <v>39</v>
      </c>
      <c r="C600" s="32">
        <v>43020</v>
      </c>
      <c r="D600" s="32">
        <v>43020</v>
      </c>
      <c r="E600" t="s">
        <v>755</v>
      </c>
      <c r="F600" s="33" t="s">
        <v>2525</v>
      </c>
      <c r="G600" t="s">
        <v>2526</v>
      </c>
      <c r="H600" t="s">
        <v>18</v>
      </c>
      <c r="I600" t="s">
        <v>43</v>
      </c>
      <c r="J600" t="s">
        <v>468</v>
      </c>
      <c r="K600" t="s">
        <v>73</v>
      </c>
      <c r="L600" s="31">
        <v>28110</v>
      </c>
      <c r="M600" t="s">
        <v>10</v>
      </c>
      <c r="N600" s="33" t="s">
        <v>2527</v>
      </c>
      <c r="O600" t="s">
        <v>21</v>
      </c>
      <c r="P600" t="s">
        <v>75</v>
      </c>
      <c r="Q600" t="s">
        <v>2528</v>
      </c>
      <c r="R600" s="34">
        <v>7.968</v>
      </c>
      <c r="S600" s="31">
        <v>2</v>
      </c>
      <c r="T600" s="35">
        <v>0.2</v>
      </c>
      <c r="U600" s="31">
        <v>2.6892</v>
      </c>
    </row>
    <row r="601" spans="1:21">
      <c r="A601" s="31">
        <v>600</v>
      </c>
      <c r="B601" t="s">
        <v>39</v>
      </c>
      <c r="C601" s="32">
        <v>42995</v>
      </c>
      <c r="D601" s="32">
        <v>42995</v>
      </c>
      <c r="E601" t="s">
        <v>755</v>
      </c>
      <c r="F601" s="33" t="s">
        <v>2529</v>
      </c>
      <c r="G601" t="s">
        <v>2530</v>
      </c>
      <c r="H601" t="s">
        <v>16</v>
      </c>
      <c r="I601" t="s">
        <v>43</v>
      </c>
      <c r="J601" t="s">
        <v>79</v>
      </c>
      <c r="K601" t="s">
        <v>80</v>
      </c>
      <c r="L601" s="31">
        <v>98115</v>
      </c>
      <c r="M601" t="s">
        <v>11</v>
      </c>
      <c r="N601" s="33" t="s">
        <v>2531</v>
      </c>
      <c r="O601" t="s">
        <v>21</v>
      </c>
      <c r="P601" t="s">
        <v>75</v>
      </c>
      <c r="Q601" t="s">
        <v>2532</v>
      </c>
      <c r="R601" s="34">
        <v>12.96</v>
      </c>
      <c r="S601" s="31">
        <v>2</v>
      </c>
      <c r="T601" s="35">
        <v>0</v>
      </c>
      <c r="U601" s="31">
        <v>6.3504</v>
      </c>
    </row>
    <row r="602" spans="1:21">
      <c r="A602" s="31">
        <v>601</v>
      </c>
      <c r="B602" t="s">
        <v>39</v>
      </c>
      <c r="C602" s="32">
        <v>43038</v>
      </c>
      <c r="D602" s="32">
        <v>43041</v>
      </c>
      <c r="E602" t="s">
        <v>139</v>
      </c>
      <c r="F602" s="33" t="s">
        <v>2533</v>
      </c>
      <c r="G602" t="s">
        <v>2534</v>
      </c>
      <c r="H602" t="s">
        <v>16</v>
      </c>
      <c r="I602" t="s">
        <v>43</v>
      </c>
      <c r="J602" t="s">
        <v>79</v>
      </c>
      <c r="K602" t="s">
        <v>80</v>
      </c>
      <c r="L602" s="31">
        <v>98115</v>
      </c>
      <c r="M602" t="s">
        <v>11</v>
      </c>
      <c r="N602" s="33" t="s">
        <v>2535</v>
      </c>
      <c r="O602" t="s">
        <v>20</v>
      </c>
      <c r="P602" t="s">
        <v>121</v>
      </c>
      <c r="Q602" t="s">
        <v>2536</v>
      </c>
      <c r="R602" s="34">
        <v>97.568</v>
      </c>
      <c r="S602" s="31">
        <v>2</v>
      </c>
      <c r="T602" s="35">
        <v>0.2</v>
      </c>
      <c r="U602" s="31">
        <v>-6.098</v>
      </c>
    </row>
    <row r="603" spans="1:21">
      <c r="A603" s="31">
        <v>602</v>
      </c>
      <c r="B603" t="s">
        <v>39</v>
      </c>
      <c r="C603" s="32">
        <v>42495</v>
      </c>
      <c r="D603" s="32">
        <v>42498</v>
      </c>
      <c r="E603" t="s">
        <v>139</v>
      </c>
      <c r="F603" s="33" t="s">
        <v>2537</v>
      </c>
      <c r="G603" t="s">
        <v>2538</v>
      </c>
      <c r="H603" t="s">
        <v>17</v>
      </c>
      <c r="I603" t="s">
        <v>43</v>
      </c>
      <c r="J603" t="s">
        <v>711</v>
      </c>
      <c r="K603" t="s">
        <v>231</v>
      </c>
      <c r="L603" s="31">
        <v>37130</v>
      </c>
      <c r="M603" t="s">
        <v>10</v>
      </c>
      <c r="N603" s="33" t="s">
        <v>2539</v>
      </c>
      <c r="O603" t="s">
        <v>21</v>
      </c>
      <c r="P603" t="s">
        <v>75</v>
      </c>
      <c r="Q603" t="s">
        <v>2540</v>
      </c>
      <c r="R603" s="34">
        <v>14.352</v>
      </c>
      <c r="S603" s="31">
        <v>3</v>
      </c>
      <c r="T603" s="35">
        <v>0.2</v>
      </c>
      <c r="U603" s="31">
        <v>5.2026</v>
      </c>
    </row>
    <row r="604" spans="1:21">
      <c r="A604" s="31">
        <v>603</v>
      </c>
      <c r="B604" t="s">
        <v>39</v>
      </c>
      <c r="C604" s="32">
        <v>42743</v>
      </c>
      <c r="D604" s="32">
        <v>42746</v>
      </c>
      <c r="E604" t="s">
        <v>139</v>
      </c>
      <c r="F604" s="33" t="s">
        <v>2541</v>
      </c>
      <c r="G604" t="s">
        <v>2542</v>
      </c>
      <c r="H604" t="s">
        <v>17</v>
      </c>
      <c r="I604" t="s">
        <v>43</v>
      </c>
      <c r="J604" t="s">
        <v>79</v>
      </c>
      <c r="K604" t="s">
        <v>80</v>
      </c>
      <c r="L604" s="31">
        <v>98115</v>
      </c>
      <c r="M604" t="s">
        <v>11</v>
      </c>
      <c r="N604" s="33" t="s">
        <v>2543</v>
      </c>
      <c r="O604" t="s">
        <v>20</v>
      </c>
      <c r="P604" t="s">
        <v>63</v>
      </c>
      <c r="Q604" t="s">
        <v>2544</v>
      </c>
      <c r="R604" s="34">
        <v>892.98</v>
      </c>
      <c r="S604" s="31">
        <v>2</v>
      </c>
      <c r="T604" s="35">
        <v>0</v>
      </c>
      <c r="U604" s="31">
        <v>80.3682</v>
      </c>
    </row>
    <row r="605" spans="1:21">
      <c r="A605" s="31">
        <v>604</v>
      </c>
      <c r="B605" t="s">
        <v>39</v>
      </c>
      <c r="C605" s="32">
        <v>43044</v>
      </c>
      <c r="D605" s="32">
        <v>43048</v>
      </c>
      <c r="E605" t="s">
        <v>57</v>
      </c>
      <c r="F605" s="33" t="s">
        <v>2545</v>
      </c>
      <c r="G605" t="s">
        <v>2546</v>
      </c>
      <c r="H605" t="s">
        <v>16</v>
      </c>
      <c r="I605" t="s">
        <v>43</v>
      </c>
      <c r="J605" t="s">
        <v>193</v>
      </c>
      <c r="K605" t="s">
        <v>194</v>
      </c>
      <c r="L605" s="31">
        <v>10009</v>
      </c>
      <c r="M605" t="s">
        <v>9</v>
      </c>
      <c r="N605" s="33" t="s">
        <v>1043</v>
      </c>
      <c r="O605" t="s">
        <v>22</v>
      </c>
      <c r="P605" t="s">
        <v>171</v>
      </c>
      <c r="Q605" t="s">
        <v>1044</v>
      </c>
      <c r="R605" s="34">
        <v>390.75</v>
      </c>
      <c r="S605" s="31">
        <v>5</v>
      </c>
      <c r="T605" s="35">
        <v>0</v>
      </c>
      <c r="U605" s="31">
        <v>171.93</v>
      </c>
    </row>
    <row r="606" spans="1:21">
      <c r="A606" s="31">
        <v>605</v>
      </c>
      <c r="B606" t="s">
        <v>56</v>
      </c>
      <c r="C606" s="32">
        <v>42897</v>
      </c>
      <c r="D606" s="32">
        <v>42898</v>
      </c>
      <c r="E606" t="s">
        <v>139</v>
      </c>
      <c r="F606" s="33" t="s">
        <v>2547</v>
      </c>
      <c r="G606" t="s">
        <v>2548</v>
      </c>
      <c r="H606" t="s">
        <v>18</v>
      </c>
      <c r="I606" t="s">
        <v>43</v>
      </c>
      <c r="J606" t="s">
        <v>817</v>
      </c>
      <c r="K606" t="s">
        <v>215</v>
      </c>
      <c r="L606" s="31">
        <v>85345</v>
      </c>
      <c r="M606" t="s">
        <v>11</v>
      </c>
      <c r="N606" s="33" t="s">
        <v>2549</v>
      </c>
      <c r="O606" t="s">
        <v>20</v>
      </c>
      <c r="P606" t="s">
        <v>121</v>
      </c>
      <c r="Q606" t="s">
        <v>2550</v>
      </c>
      <c r="R606" s="34">
        <v>280.792</v>
      </c>
      <c r="S606" s="31">
        <v>1</v>
      </c>
      <c r="T606" s="35">
        <v>0.2</v>
      </c>
      <c r="U606" s="31">
        <v>35.099</v>
      </c>
    </row>
    <row r="607" spans="1:21">
      <c r="A607" s="31">
        <v>606</v>
      </c>
      <c r="B607" t="s">
        <v>39</v>
      </c>
      <c r="C607" s="32">
        <v>42936</v>
      </c>
      <c r="D607" s="32">
        <v>42941</v>
      </c>
      <c r="E607" t="s">
        <v>57</v>
      </c>
      <c r="F607" s="33" t="s">
        <v>2551</v>
      </c>
      <c r="G607" t="s">
        <v>2552</v>
      </c>
      <c r="H607" t="s">
        <v>17</v>
      </c>
      <c r="I607" t="s">
        <v>43</v>
      </c>
      <c r="J607" t="s">
        <v>2553</v>
      </c>
      <c r="K607" t="s">
        <v>2554</v>
      </c>
      <c r="L607" s="31">
        <v>57103</v>
      </c>
      <c r="M607" t="s">
        <v>8</v>
      </c>
      <c r="N607" s="33" t="s">
        <v>2555</v>
      </c>
      <c r="O607" t="s">
        <v>21</v>
      </c>
      <c r="P607" t="s">
        <v>54</v>
      </c>
      <c r="Q607" t="s">
        <v>2556</v>
      </c>
      <c r="R607" s="34">
        <v>14.62</v>
      </c>
      <c r="S607" s="31">
        <v>2</v>
      </c>
      <c r="T607" s="35">
        <v>0</v>
      </c>
      <c r="U607" s="31">
        <v>6.8714</v>
      </c>
    </row>
    <row r="608" spans="1:21">
      <c r="A608" s="31">
        <v>607</v>
      </c>
      <c r="B608" t="s">
        <v>39</v>
      </c>
      <c r="C608" s="32">
        <v>42262</v>
      </c>
      <c r="D608" s="32">
        <v>42266</v>
      </c>
      <c r="E608" t="s">
        <v>40</v>
      </c>
      <c r="F608" s="33" t="s">
        <v>2557</v>
      </c>
      <c r="G608" t="s">
        <v>2558</v>
      </c>
      <c r="H608" t="s">
        <v>17</v>
      </c>
      <c r="I608" t="s">
        <v>43</v>
      </c>
      <c r="J608" t="s">
        <v>193</v>
      </c>
      <c r="K608" t="s">
        <v>194</v>
      </c>
      <c r="L608" s="31">
        <v>10035</v>
      </c>
      <c r="M608" t="s">
        <v>9</v>
      </c>
      <c r="N608" s="33" t="s">
        <v>2369</v>
      </c>
      <c r="O608" t="s">
        <v>21</v>
      </c>
      <c r="P608" t="s">
        <v>82</v>
      </c>
      <c r="Q608" t="s">
        <v>2370</v>
      </c>
      <c r="R608" s="34">
        <v>79.872</v>
      </c>
      <c r="S608" s="31">
        <v>3</v>
      </c>
      <c r="T608" s="35">
        <v>0.2</v>
      </c>
      <c r="U608" s="31">
        <v>29.952</v>
      </c>
    </row>
    <row r="609" spans="1:21">
      <c r="A609" s="31">
        <v>608</v>
      </c>
      <c r="B609" t="s">
        <v>39</v>
      </c>
      <c r="C609" s="32">
        <v>43001</v>
      </c>
      <c r="D609" s="32">
        <v>43004</v>
      </c>
      <c r="E609" t="s">
        <v>139</v>
      </c>
      <c r="F609" s="33" t="s">
        <v>2559</v>
      </c>
      <c r="G609" t="s">
        <v>2560</v>
      </c>
      <c r="H609" t="s">
        <v>18</v>
      </c>
      <c r="I609" t="s">
        <v>43</v>
      </c>
      <c r="J609" t="s">
        <v>2561</v>
      </c>
      <c r="K609" t="s">
        <v>305</v>
      </c>
      <c r="L609" s="31">
        <v>80525</v>
      </c>
      <c r="M609" t="s">
        <v>11</v>
      </c>
      <c r="N609" s="33" t="s">
        <v>2562</v>
      </c>
      <c r="O609" t="s">
        <v>21</v>
      </c>
      <c r="P609" t="s">
        <v>149</v>
      </c>
      <c r="Q609" t="s">
        <v>2563</v>
      </c>
      <c r="R609" s="34">
        <v>14.352</v>
      </c>
      <c r="S609" s="31">
        <v>3</v>
      </c>
      <c r="T609" s="35">
        <v>0.2</v>
      </c>
      <c r="U609" s="31">
        <v>5.2026</v>
      </c>
    </row>
    <row r="610" spans="1:21">
      <c r="A610" s="31">
        <v>609</v>
      </c>
      <c r="B610" t="s">
        <v>39</v>
      </c>
      <c r="C610" s="32">
        <v>41912</v>
      </c>
      <c r="D610" s="32">
        <v>41916</v>
      </c>
      <c r="E610" t="s">
        <v>57</v>
      </c>
      <c r="F610" s="33" t="s">
        <v>2564</v>
      </c>
      <c r="G610" t="s">
        <v>2565</v>
      </c>
      <c r="H610" t="s">
        <v>16</v>
      </c>
      <c r="I610" t="s">
        <v>43</v>
      </c>
      <c r="J610" t="s">
        <v>2566</v>
      </c>
      <c r="K610" t="s">
        <v>231</v>
      </c>
      <c r="L610" s="31">
        <v>37042</v>
      </c>
      <c r="M610" t="s">
        <v>10</v>
      </c>
      <c r="N610" s="33" t="s">
        <v>782</v>
      </c>
      <c r="O610" t="s">
        <v>21</v>
      </c>
      <c r="P610" t="s">
        <v>89</v>
      </c>
      <c r="Q610" t="s">
        <v>783</v>
      </c>
      <c r="R610" s="34">
        <v>69.216</v>
      </c>
      <c r="S610" s="31">
        <v>6</v>
      </c>
      <c r="T610" s="35">
        <v>0.2</v>
      </c>
      <c r="U610" s="31">
        <v>11.2476</v>
      </c>
    </row>
    <row r="611" spans="1:21">
      <c r="A611" s="31">
        <v>610</v>
      </c>
      <c r="B611" t="s">
        <v>39</v>
      </c>
      <c r="C611" s="32">
        <v>42247</v>
      </c>
      <c r="D611" s="32">
        <v>42249</v>
      </c>
      <c r="E611" t="s">
        <v>139</v>
      </c>
      <c r="F611" s="33" t="s">
        <v>2567</v>
      </c>
      <c r="G611" t="s">
        <v>2568</v>
      </c>
      <c r="H611" t="s">
        <v>17</v>
      </c>
      <c r="I611" t="s">
        <v>43</v>
      </c>
      <c r="J611" t="s">
        <v>106</v>
      </c>
      <c r="K611" t="s">
        <v>52</v>
      </c>
      <c r="L611" s="31">
        <v>94122</v>
      </c>
      <c r="M611" t="s">
        <v>11</v>
      </c>
      <c r="N611" s="33" t="s">
        <v>2569</v>
      </c>
      <c r="O611" t="s">
        <v>20</v>
      </c>
      <c r="P611" t="s">
        <v>47</v>
      </c>
      <c r="Q611" t="s">
        <v>2570</v>
      </c>
      <c r="R611" s="34">
        <v>1552.831</v>
      </c>
      <c r="S611" s="31">
        <v>7</v>
      </c>
      <c r="T611" s="35">
        <v>0.15</v>
      </c>
      <c r="U611" s="31">
        <v>200.9546</v>
      </c>
    </row>
    <row r="612" spans="1:21">
      <c r="A612" s="31">
        <v>611</v>
      </c>
      <c r="B612" t="s">
        <v>56</v>
      </c>
      <c r="C612" s="32">
        <v>42819</v>
      </c>
      <c r="D612" s="32">
        <v>42820</v>
      </c>
      <c r="E612" t="s">
        <v>139</v>
      </c>
      <c r="F612" s="33" t="s">
        <v>2571</v>
      </c>
      <c r="G612" t="s">
        <v>2572</v>
      </c>
      <c r="H612" t="s">
        <v>16</v>
      </c>
      <c r="I612" t="s">
        <v>43</v>
      </c>
      <c r="J612" t="s">
        <v>1837</v>
      </c>
      <c r="K612" t="s">
        <v>52</v>
      </c>
      <c r="L612" s="31">
        <v>93727</v>
      </c>
      <c r="M612" t="s">
        <v>11</v>
      </c>
      <c r="N612" s="33" t="s">
        <v>2573</v>
      </c>
      <c r="O612" t="s">
        <v>21</v>
      </c>
      <c r="P612" t="s">
        <v>89</v>
      </c>
      <c r="Q612" t="s">
        <v>2574</v>
      </c>
      <c r="R612" s="34">
        <v>176.04</v>
      </c>
      <c r="S612" s="31">
        <v>4</v>
      </c>
      <c r="T612" s="35">
        <v>0</v>
      </c>
      <c r="U612" s="31">
        <v>45.7704</v>
      </c>
    </row>
    <row r="613" spans="1:21">
      <c r="A613" s="31">
        <v>612</v>
      </c>
      <c r="B613" t="s">
        <v>56</v>
      </c>
      <c r="C613" s="32">
        <v>42344</v>
      </c>
      <c r="D613" s="32">
        <v>42348</v>
      </c>
      <c r="E613" t="s">
        <v>57</v>
      </c>
      <c r="F613" s="33" t="s">
        <v>2575</v>
      </c>
      <c r="G613" t="s">
        <v>2576</v>
      </c>
      <c r="H613" t="s">
        <v>16</v>
      </c>
      <c r="I613" t="s">
        <v>43</v>
      </c>
      <c r="J613" t="s">
        <v>193</v>
      </c>
      <c r="K613" t="s">
        <v>194</v>
      </c>
      <c r="L613" s="31">
        <v>10009</v>
      </c>
      <c r="M613" t="s">
        <v>9</v>
      </c>
      <c r="N613" s="33" t="s">
        <v>2577</v>
      </c>
      <c r="O613" t="s">
        <v>21</v>
      </c>
      <c r="P613" t="s">
        <v>75</v>
      </c>
      <c r="Q613" t="s">
        <v>2578</v>
      </c>
      <c r="R613" s="34">
        <v>6.48</v>
      </c>
      <c r="S613" s="31">
        <v>1</v>
      </c>
      <c r="T613" s="35">
        <v>0</v>
      </c>
      <c r="U613" s="31">
        <v>3.1104</v>
      </c>
    </row>
    <row r="614" spans="1:21">
      <c r="A614" s="31">
        <v>613</v>
      </c>
      <c r="B614" t="s">
        <v>39</v>
      </c>
      <c r="C614" s="32">
        <v>42755</v>
      </c>
      <c r="D614" s="32">
        <v>42760</v>
      </c>
      <c r="E614" t="s">
        <v>57</v>
      </c>
      <c r="F614" s="33" t="s">
        <v>2579</v>
      </c>
      <c r="G614" t="s">
        <v>2580</v>
      </c>
      <c r="H614" t="s">
        <v>16</v>
      </c>
      <c r="I614" t="s">
        <v>43</v>
      </c>
      <c r="J614" t="s">
        <v>106</v>
      </c>
      <c r="K614" t="s">
        <v>52</v>
      </c>
      <c r="L614" s="31">
        <v>94122</v>
      </c>
      <c r="M614" t="s">
        <v>11</v>
      </c>
      <c r="N614" s="33" t="s">
        <v>2581</v>
      </c>
      <c r="O614" t="s">
        <v>21</v>
      </c>
      <c r="P614" t="s">
        <v>108</v>
      </c>
      <c r="Q614" t="s">
        <v>2582</v>
      </c>
      <c r="R614" s="34">
        <v>24.2</v>
      </c>
      <c r="S614" s="31">
        <v>5</v>
      </c>
      <c r="T614" s="35">
        <v>0</v>
      </c>
      <c r="U614" s="31">
        <v>7.986</v>
      </c>
    </row>
    <row r="615" spans="1:21">
      <c r="A615" s="31">
        <v>614</v>
      </c>
      <c r="B615" t="s">
        <v>39</v>
      </c>
      <c r="C615" s="32">
        <v>42162</v>
      </c>
      <c r="D615" s="32">
        <v>42164</v>
      </c>
      <c r="E615" t="s">
        <v>40</v>
      </c>
      <c r="F615" s="33" t="s">
        <v>2583</v>
      </c>
      <c r="G615" t="s">
        <v>2584</v>
      </c>
      <c r="H615" t="s">
        <v>17</v>
      </c>
      <c r="I615" t="s">
        <v>43</v>
      </c>
      <c r="J615" t="s">
        <v>51</v>
      </c>
      <c r="K615" t="s">
        <v>52</v>
      </c>
      <c r="L615" s="31">
        <v>90036</v>
      </c>
      <c r="M615" t="s">
        <v>11</v>
      </c>
      <c r="N615" s="33" t="s">
        <v>2585</v>
      </c>
      <c r="O615" t="s">
        <v>21</v>
      </c>
      <c r="P615" t="s">
        <v>82</v>
      </c>
      <c r="Q615" t="s">
        <v>2586</v>
      </c>
      <c r="R615" s="34">
        <v>7.52</v>
      </c>
      <c r="S615" s="31">
        <v>5</v>
      </c>
      <c r="T615" s="35">
        <v>0.2</v>
      </c>
      <c r="U615" s="31">
        <v>2.632</v>
      </c>
    </row>
    <row r="616" spans="1:21">
      <c r="A616" s="31">
        <v>615</v>
      </c>
      <c r="B616" t="s">
        <v>39</v>
      </c>
      <c r="C616" s="32">
        <v>43020</v>
      </c>
      <c r="D616" s="32">
        <v>43026</v>
      </c>
      <c r="E616" t="s">
        <v>57</v>
      </c>
      <c r="F616" s="33" t="s">
        <v>2587</v>
      </c>
      <c r="G616" t="s">
        <v>2588</v>
      </c>
      <c r="H616" t="s">
        <v>17</v>
      </c>
      <c r="I616" t="s">
        <v>43</v>
      </c>
      <c r="J616" t="s">
        <v>2589</v>
      </c>
      <c r="K616" t="s">
        <v>434</v>
      </c>
      <c r="L616" s="31">
        <v>87105</v>
      </c>
      <c r="M616" t="s">
        <v>11</v>
      </c>
      <c r="N616" s="33" t="s">
        <v>2590</v>
      </c>
      <c r="O616" t="s">
        <v>22</v>
      </c>
      <c r="P616" t="s">
        <v>171</v>
      </c>
      <c r="Q616" t="s">
        <v>2591</v>
      </c>
      <c r="R616" s="34">
        <v>595</v>
      </c>
      <c r="S616" s="31">
        <v>5</v>
      </c>
      <c r="T616" s="35">
        <v>0</v>
      </c>
      <c r="U616" s="31">
        <v>95.2</v>
      </c>
    </row>
    <row r="617" spans="1:21">
      <c r="A617" s="31">
        <v>616</v>
      </c>
      <c r="B617" t="s">
        <v>39</v>
      </c>
      <c r="C617" s="32">
        <v>42478</v>
      </c>
      <c r="D617" s="32">
        <v>42483</v>
      </c>
      <c r="E617" t="s">
        <v>57</v>
      </c>
      <c r="F617" s="33" t="s">
        <v>2592</v>
      </c>
      <c r="G617" t="s">
        <v>2593</v>
      </c>
      <c r="H617" t="s">
        <v>18</v>
      </c>
      <c r="I617" t="s">
        <v>43</v>
      </c>
      <c r="J617" t="s">
        <v>2594</v>
      </c>
      <c r="K617" t="s">
        <v>154</v>
      </c>
      <c r="L617" s="31">
        <v>60126</v>
      </c>
      <c r="M617" t="s">
        <v>8</v>
      </c>
      <c r="N617" s="33" t="s">
        <v>255</v>
      </c>
      <c r="O617" t="s">
        <v>21</v>
      </c>
      <c r="P617" t="s">
        <v>96</v>
      </c>
      <c r="Q617" t="s">
        <v>256</v>
      </c>
      <c r="R617" s="34">
        <v>230.376</v>
      </c>
      <c r="S617" s="31">
        <v>3</v>
      </c>
      <c r="T617" s="35">
        <v>0.2</v>
      </c>
      <c r="U617" s="31">
        <v>-48.9549</v>
      </c>
    </row>
    <row r="618" spans="1:21">
      <c r="A618" s="31">
        <v>617</v>
      </c>
      <c r="B618" t="s">
        <v>39</v>
      </c>
      <c r="C618" s="32">
        <v>41723</v>
      </c>
      <c r="D618" s="32">
        <v>41730</v>
      </c>
      <c r="E618" t="s">
        <v>57</v>
      </c>
      <c r="F618" s="33" t="s">
        <v>2595</v>
      </c>
      <c r="G618" t="s">
        <v>2596</v>
      </c>
      <c r="H618" t="s">
        <v>16</v>
      </c>
      <c r="I618" t="s">
        <v>43</v>
      </c>
      <c r="J618" t="s">
        <v>193</v>
      </c>
      <c r="K618" t="s">
        <v>194</v>
      </c>
      <c r="L618" s="31">
        <v>10009</v>
      </c>
      <c r="M618" t="s">
        <v>9</v>
      </c>
      <c r="N618" s="33" t="s">
        <v>2597</v>
      </c>
      <c r="O618" t="s">
        <v>20</v>
      </c>
      <c r="P618" t="s">
        <v>121</v>
      </c>
      <c r="Q618" t="s">
        <v>2598</v>
      </c>
      <c r="R618" s="34">
        <v>366.786</v>
      </c>
      <c r="S618" s="31">
        <v>7</v>
      </c>
      <c r="T618" s="35">
        <v>0.1</v>
      </c>
      <c r="U618" s="31">
        <v>65.2064</v>
      </c>
    </row>
    <row r="619" spans="1:21">
      <c r="A619" s="31">
        <v>618</v>
      </c>
      <c r="B619" t="s">
        <v>39</v>
      </c>
      <c r="C619" s="32">
        <v>41961</v>
      </c>
      <c r="D619" s="32">
        <v>41963</v>
      </c>
      <c r="E619" t="s">
        <v>40</v>
      </c>
      <c r="F619" s="33" t="s">
        <v>2599</v>
      </c>
      <c r="G619" t="s">
        <v>2600</v>
      </c>
      <c r="H619" t="s">
        <v>16</v>
      </c>
      <c r="I619" t="s">
        <v>43</v>
      </c>
      <c r="J619" t="s">
        <v>1453</v>
      </c>
      <c r="K619" t="s">
        <v>305</v>
      </c>
      <c r="L619" s="31">
        <v>80027</v>
      </c>
      <c r="M619" t="s">
        <v>11</v>
      </c>
      <c r="N619" s="33" t="s">
        <v>2601</v>
      </c>
      <c r="O619" t="s">
        <v>20</v>
      </c>
      <c r="P619" t="s">
        <v>63</v>
      </c>
      <c r="Q619" t="s">
        <v>2602</v>
      </c>
      <c r="R619" s="34">
        <v>145.98</v>
      </c>
      <c r="S619" s="31">
        <v>2</v>
      </c>
      <c r="T619" s="35">
        <v>0.5</v>
      </c>
      <c r="U619" s="31">
        <v>-99.2664</v>
      </c>
    </row>
    <row r="620" spans="1:21">
      <c r="A620" s="31">
        <v>619</v>
      </c>
      <c r="B620" t="s">
        <v>39</v>
      </c>
      <c r="C620" s="32">
        <v>42196</v>
      </c>
      <c r="D620" s="32">
        <v>42198</v>
      </c>
      <c r="E620" t="s">
        <v>40</v>
      </c>
      <c r="F620" s="33" t="s">
        <v>2603</v>
      </c>
      <c r="G620" t="s">
        <v>2604</v>
      </c>
      <c r="H620" t="s">
        <v>16</v>
      </c>
      <c r="I620" t="s">
        <v>43</v>
      </c>
      <c r="J620" t="s">
        <v>79</v>
      </c>
      <c r="K620" t="s">
        <v>80</v>
      </c>
      <c r="L620" s="31">
        <v>98115</v>
      </c>
      <c r="M620" t="s">
        <v>11</v>
      </c>
      <c r="N620" s="33" t="s">
        <v>2605</v>
      </c>
      <c r="O620" t="s">
        <v>21</v>
      </c>
      <c r="P620" t="s">
        <v>75</v>
      </c>
      <c r="Q620" t="s">
        <v>2606</v>
      </c>
      <c r="R620" s="34">
        <v>29.97</v>
      </c>
      <c r="S620" s="31">
        <v>3</v>
      </c>
      <c r="T620" s="35">
        <v>0</v>
      </c>
      <c r="U620" s="31">
        <v>13.4865</v>
      </c>
    </row>
    <row r="621" spans="1:21">
      <c r="A621" s="31">
        <v>620</v>
      </c>
      <c r="B621" t="s">
        <v>56</v>
      </c>
      <c r="C621" s="32">
        <v>42391</v>
      </c>
      <c r="D621" s="32">
        <v>42397</v>
      </c>
      <c r="E621" t="s">
        <v>57</v>
      </c>
      <c r="F621" s="33" t="s">
        <v>2607</v>
      </c>
      <c r="G621" t="s">
        <v>2608</v>
      </c>
      <c r="H621" t="s">
        <v>16</v>
      </c>
      <c r="I621" t="s">
        <v>43</v>
      </c>
      <c r="J621" t="s">
        <v>974</v>
      </c>
      <c r="K621" t="s">
        <v>73</v>
      </c>
      <c r="L621" s="31">
        <v>28314</v>
      </c>
      <c r="M621" t="s">
        <v>10</v>
      </c>
      <c r="N621" s="33" t="s">
        <v>2609</v>
      </c>
      <c r="O621" t="s">
        <v>20</v>
      </c>
      <c r="P621" t="s">
        <v>68</v>
      </c>
      <c r="Q621" t="s">
        <v>2610</v>
      </c>
      <c r="R621" s="34">
        <v>14.272</v>
      </c>
      <c r="S621" s="31">
        <v>8</v>
      </c>
      <c r="T621" s="35">
        <v>0.2</v>
      </c>
      <c r="U621" s="31">
        <v>4.2816</v>
      </c>
    </row>
    <row r="622" spans="1:21">
      <c r="A622" s="31">
        <v>621</v>
      </c>
      <c r="B622" t="s">
        <v>39</v>
      </c>
      <c r="C622" s="32">
        <v>42982</v>
      </c>
      <c r="D622" s="32">
        <v>42986</v>
      </c>
      <c r="E622" t="s">
        <v>40</v>
      </c>
      <c r="F622" s="33" t="s">
        <v>2611</v>
      </c>
      <c r="G622" t="s">
        <v>2612</v>
      </c>
      <c r="H622" t="s">
        <v>17</v>
      </c>
      <c r="I622" t="s">
        <v>43</v>
      </c>
      <c r="J622" t="s">
        <v>51</v>
      </c>
      <c r="K622" t="s">
        <v>52</v>
      </c>
      <c r="L622" s="31">
        <v>90036</v>
      </c>
      <c r="M622" t="s">
        <v>11</v>
      </c>
      <c r="N622" s="33" t="s">
        <v>2613</v>
      </c>
      <c r="O622" t="s">
        <v>20</v>
      </c>
      <c r="P622" t="s">
        <v>63</v>
      </c>
      <c r="Q622" t="s">
        <v>2614</v>
      </c>
      <c r="R622" s="34">
        <v>1322.352</v>
      </c>
      <c r="S622" s="31">
        <v>3</v>
      </c>
      <c r="T622" s="35">
        <v>0.2</v>
      </c>
      <c r="U622" s="31">
        <v>-99.1764</v>
      </c>
    </row>
    <row r="623" spans="1:21">
      <c r="A623" s="31">
        <v>622</v>
      </c>
      <c r="B623" t="s">
        <v>39</v>
      </c>
      <c r="C623" s="32">
        <v>42286</v>
      </c>
      <c r="D623" s="32">
        <v>42290</v>
      </c>
      <c r="E623" t="s">
        <v>40</v>
      </c>
      <c r="F623" s="33" t="s">
        <v>2615</v>
      </c>
      <c r="G623" t="s">
        <v>2616</v>
      </c>
      <c r="H623" t="s">
        <v>16</v>
      </c>
      <c r="I623" t="s">
        <v>43</v>
      </c>
      <c r="J623" t="s">
        <v>193</v>
      </c>
      <c r="K623" t="s">
        <v>194</v>
      </c>
      <c r="L623" s="31">
        <v>10024</v>
      </c>
      <c r="M623" t="s">
        <v>9</v>
      </c>
      <c r="N623" s="33" t="s">
        <v>2617</v>
      </c>
      <c r="O623" t="s">
        <v>22</v>
      </c>
      <c r="P623" t="s">
        <v>144</v>
      </c>
      <c r="Q623" t="s">
        <v>2618</v>
      </c>
      <c r="R623" s="34">
        <v>631.96</v>
      </c>
      <c r="S623" s="31">
        <v>4</v>
      </c>
      <c r="T623" s="35">
        <v>0</v>
      </c>
      <c r="U623" s="31">
        <v>303.3408</v>
      </c>
    </row>
    <row r="624" spans="1:21">
      <c r="A624" s="31">
        <v>623</v>
      </c>
      <c r="B624" t="s">
        <v>39</v>
      </c>
      <c r="C624" s="32">
        <v>41962</v>
      </c>
      <c r="D624" s="32">
        <v>41966</v>
      </c>
      <c r="E624" t="s">
        <v>57</v>
      </c>
      <c r="F624" s="33" t="s">
        <v>2619</v>
      </c>
      <c r="G624" t="s">
        <v>2620</v>
      </c>
      <c r="H624" t="s">
        <v>16</v>
      </c>
      <c r="I624" t="s">
        <v>43</v>
      </c>
      <c r="J624" t="s">
        <v>2621</v>
      </c>
      <c r="K624" t="s">
        <v>194</v>
      </c>
      <c r="L624" s="31">
        <v>14701</v>
      </c>
      <c r="M624" t="s">
        <v>9</v>
      </c>
      <c r="N624" s="33" t="s">
        <v>2622</v>
      </c>
      <c r="O624" t="s">
        <v>22</v>
      </c>
      <c r="P624" t="s">
        <v>144</v>
      </c>
      <c r="Q624" t="s">
        <v>2623</v>
      </c>
      <c r="R624" s="34">
        <v>4548.81</v>
      </c>
      <c r="S624" s="31">
        <v>7</v>
      </c>
      <c r="T624" s="35">
        <v>0</v>
      </c>
      <c r="U624" s="31">
        <v>1228.1787</v>
      </c>
    </row>
    <row r="625" spans="1:21">
      <c r="A625" s="31">
        <v>624</v>
      </c>
      <c r="B625" t="s">
        <v>39</v>
      </c>
      <c r="C625" s="32">
        <v>41806</v>
      </c>
      <c r="D625" s="32">
        <v>41812</v>
      </c>
      <c r="E625" t="s">
        <v>57</v>
      </c>
      <c r="F625" s="33" t="s">
        <v>2624</v>
      </c>
      <c r="G625" t="s">
        <v>2625</v>
      </c>
      <c r="H625" t="s">
        <v>16</v>
      </c>
      <c r="I625" t="s">
        <v>43</v>
      </c>
      <c r="J625" t="s">
        <v>2626</v>
      </c>
      <c r="K625" t="s">
        <v>188</v>
      </c>
      <c r="L625" s="31">
        <v>46544</v>
      </c>
      <c r="M625" t="s">
        <v>8</v>
      </c>
      <c r="N625" s="33" t="s">
        <v>915</v>
      </c>
      <c r="O625" t="s">
        <v>20</v>
      </c>
      <c r="P625" t="s">
        <v>121</v>
      </c>
      <c r="Q625" t="s">
        <v>916</v>
      </c>
      <c r="R625" s="34">
        <v>647.84</v>
      </c>
      <c r="S625" s="31">
        <v>8</v>
      </c>
      <c r="T625" s="35">
        <v>0</v>
      </c>
      <c r="U625" s="31">
        <v>32.392</v>
      </c>
    </row>
    <row r="626" spans="1:21">
      <c r="A626" s="31">
        <v>625</v>
      </c>
      <c r="B626" t="s">
        <v>39</v>
      </c>
      <c r="C626" s="32">
        <v>42903</v>
      </c>
      <c r="D626" s="32">
        <v>42906</v>
      </c>
      <c r="E626" t="s">
        <v>139</v>
      </c>
      <c r="F626" s="33" t="s">
        <v>2627</v>
      </c>
      <c r="G626" t="s">
        <v>2628</v>
      </c>
      <c r="H626" t="s">
        <v>17</v>
      </c>
      <c r="I626" t="s">
        <v>43</v>
      </c>
      <c r="J626" t="s">
        <v>2203</v>
      </c>
      <c r="K626" t="s">
        <v>154</v>
      </c>
      <c r="L626" s="31">
        <v>60076</v>
      </c>
      <c r="M626" t="s">
        <v>8</v>
      </c>
      <c r="N626" s="33" t="s">
        <v>1758</v>
      </c>
      <c r="O626" t="s">
        <v>21</v>
      </c>
      <c r="P626" t="s">
        <v>75</v>
      </c>
      <c r="Q626" t="s">
        <v>1759</v>
      </c>
      <c r="R626" s="34">
        <v>12.224</v>
      </c>
      <c r="S626" s="31">
        <v>2</v>
      </c>
      <c r="T626" s="35">
        <v>0.2</v>
      </c>
      <c r="U626" s="31">
        <v>4.4312</v>
      </c>
    </row>
    <row r="627" spans="1:21">
      <c r="A627" s="31">
        <v>626</v>
      </c>
      <c r="B627" t="s">
        <v>39</v>
      </c>
      <c r="C627" s="32">
        <v>42688</v>
      </c>
      <c r="D627" s="32">
        <v>42693</v>
      </c>
      <c r="E627" t="s">
        <v>57</v>
      </c>
      <c r="F627" s="33" t="s">
        <v>2629</v>
      </c>
      <c r="G627" t="s">
        <v>2630</v>
      </c>
      <c r="H627" t="s">
        <v>16</v>
      </c>
      <c r="I627" t="s">
        <v>43</v>
      </c>
      <c r="J627" t="s">
        <v>106</v>
      </c>
      <c r="K627" t="s">
        <v>52</v>
      </c>
      <c r="L627" s="31">
        <v>94110</v>
      </c>
      <c r="M627" t="s">
        <v>11</v>
      </c>
      <c r="N627" s="33" t="s">
        <v>2631</v>
      </c>
      <c r="O627" t="s">
        <v>21</v>
      </c>
      <c r="P627" t="s">
        <v>54</v>
      </c>
      <c r="Q627" t="s">
        <v>2632</v>
      </c>
      <c r="R627" s="34">
        <v>7.38</v>
      </c>
      <c r="S627" s="31">
        <v>2</v>
      </c>
      <c r="T627" s="35">
        <v>0</v>
      </c>
      <c r="U627" s="31">
        <v>3.4686</v>
      </c>
    </row>
    <row r="628" spans="1:21">
      <c r="A628" s="31">
        <v>627</v>
      </c>
      <c r="B628" t="s">
        <v>39</v>
      </c>
      <c r="C628" s="32">
        <v>43071</v>
      </c>
      <c r="D628" s="32">
        <v>43075</v>
      </c>
      <c r="E628" t="s">
        <v>57</v>
      </c>
      <c r="F628" s="33" t="s">
        <v>2633</v>
      </c>
      <c r="G628" t="s">
        <v>2634</v>
      </c>
      <c r="H628" t="s">
        <v>18</v>
      </c>
      <c r="I628" t="s">
        <v>43</v>
      </c>
      <c r="J628" t="s">
        <v>1073</v>
      </c>
      <c r="K628" t="s">
        <v>61</v>
      </c>
      <c r="L628" s="31">
        <v>33614</v>
      </c>
      <c r="M628" t="s">
        <v>10</v>
      </c>
      <c r="N628" s="33" t="s">
        <v>1034</v>
      </c>
      <c r="O628" t="s">
        <v>21</v>
      </c>
      <c r="P628" t="s">
        <v>82</v>
      </c>
      <c r="Q628" t="s">
        <v>1035</v>
      </c>
      <c r="R628" s="34">
        <v>45.66</v>
      </c>
      <c r="S628" s="31">
        <v>5</v>
      </c>
      <c r="T628" s="35">
        <v>0.7</v>
      </c>
      <c r="U628" s="31">
        <v>-33.484</v>
      </c>
    </row>
    <row r="629" spans="1:21">
      <c r="A629" s="31">
        <v>628</v>
      </c>
      <c r="B629" t="s">
        <v>39</v>
      </c>
      <c r="C629" s="32">
        <v>42100</v>
      </c>
      <c r="D629" s="32">
        <v>42104</v>
      </c>
      <c r="E629" t="s">
        <v>57</v>
      </c>
      <c r="F629" s="33" t="s">
        <v>2635</v>
      </c>
      <c r="G629" t="s">
        <v>2636</v>
      </c>
      <c r="H629" t="s">
        <v>16</v>
      </c>
      <c r="I629" t="s">
        <v>43</v>
      </c>
      <c r="J629" t="s">
        <v>136</v>
      </c>
      <c r="K629" t="s">
        <v>87</v>
      </c>
      <c r="L629" s="31">
        <v>77041</v>
      </c>
      <c r="M629" t="s">
        <v>8</v>
      </c>
      <c r="N629" s="33" t="s">
        <v>1121</v>
      </c>
      <c r="O629" t="s">
        <v>21</v>
      </c>
      <c r="P629" t="s">
        <v>108</v>
      </c>
      <c r="Q629" t="s">
        <v>1122</v>
      </c>
      <c r="R629" s="34">
        <v>42.048</v>
      </c>
      <c r="S629" s="31">
        <v>9</v>
      </c>
      <c r="T629" s="35">
        <v>0.2</v>
      </c>
      <c r="U629" s="31">
        <v>5.256</v>
      </c>
    </row>
    <row r="630" spans="1:21">
      <c r="A630" s="31">
        <v>629</v>
      </c>
      <c r="B630" t="s">
        <v>39</v>
      </c>
      <c r="C630" s="32">
        <v>42253</v>
      </c>
      <c r="D630" s="32">
        <v>42255</v>
      </c>
      <c r="E630" t="s">
        <v>139</v>
      </c>
      <c r="F630" s="33" t="s">
        <v>2637</v>
      </c>
      <c r="G630" t="s">
        <v>2638</v>
      </c>
      <c r="H630" t="s">
        <v>17</v>
      </c>
      <c r="I630" t="s">
        <v>43</v>
      </c>
      <c r="J630" t="s">
        <v>2639</v>
      </c>
      <c r="K630" t="s">
        <v>52</v>
      </c>
      <c r="L630" s="31">
        <v>92253</v>
      </c>
      <c r="M630" t="s">
        <v>11</v>
      </c>
      <c r="N630" s="33" t="s">
        <v>311</v>
      </c>
      <c r="O630" t="s">
        <v>22</v>
      </c>
      <c r="P630" t="s">
        <v>171</v>
      </c>
      <c r="Q630" t="s">
        <v>312</v>
      </c>
      <c r="R630" s="34">
        <v>46.32</v>
      </c>
      <c r="S630" s="31">
        <v>4</v>
      </c>
      <c r="T630" s="35">
        <v>0</v>
      </c>
      <c r="U630" s="31">
        <v>18.0648</v>
      </c>
    </row>
    <row r="631" spans="1:21">
      <c r="A631" s="31">
        <v>630</v>
      </c>
      <c r="B631" t="s">
        <v>39</v>
      </c>
      <c r="C631" s="32">
        <v>42490</v>
      </c>
      <c r="D631" s="32">
        <v>42494</v>
      </c>
      <c r="E631" t="s">
        <v>57</v>
      </c>
      <c r="F631" s="33" t="s">
        <v>2640</v>
      </c>
      <c r="G631" t="s">
        <v>2641</v>
      </c>
      <c r="H631" t="s">
        <v>17</v>
      </c>
      <c r="I631" t="s">
        <v>43</v>
      </c>
      <c r="J631" t="s">
        <v>403</v>
      </c>
      <c r="K631" t="s">
        <v>215</v>
      </c>
      <c r="L631" s="31">
        <v>85254</v>
      </c>
      <c r="M631" t="s">
        <v>11</v>
      </c>
      <c r="N631" s="33" t="s">
        <v>2642</v>
      </c>
      <c r="O631" t="s">
        <v>20</v>
      </c>
      <c r="P631" t="s">
        <v>68</v>
      </c>
      <c r="Q631" t="s">
        <v>2643</v>
      </c>
      <c r="R631" s="34">
        <v>111.888</v>
      </c>
      <c r="S631" s="31">
        <v>7</v>
      </c>
      <c r="T631" s="35">
        <v>0.2</v>
      </c>
      <c r="U631" s="31">
        <v>22.3776</v>
      </c>
    </row>
    <row r="632" spans="1:21">
      <c r="A632" s="31">
        <v>631</v>
      </c>
      <c r="B632" t="s">
        <v>39</v>
      </c>
      <c r="C632" s="32">
        <v>41908</v>
      </c>
      <c r="D632" s="32">
        <v>41913</v>
      </c>
      <c r="E632" t="s">
        <v>40</v>
      </c>
      <c r="F632" s="33" t="s">
        <v>2644</v>
      </c>
      <c r="G632" t="s">
        <v>2645</v>
      </c>
      <c r="H632" t="s">
        <v>17</v>
      </c>
      <c r="I632" t="s">
        <v>43</v>
      </c>
      <c r="J632" t="s">
        <v>118</v>
      </c>
      <c r="K632" t="s">
        <v>119</v>
      </c>
      <c r="L632" s="31">
        <v>19134</v>
      </c>
      <c r="M632" t="s">
        <v>9</v>
      </c>
      <c r="N632" s="33" t="s">
        <v>1733</v>
      </c>
      <c r="O632" t="s">
        <v>21</v>
      </c>
      <c r="P632" t="s">
        <v>89</v>
      </c>
      <c r="Q632" t="s">
        <v>1734</v>
      </c>
      <c r="R632" s="34">
        <v>143.952</v>
      </c>
      <c r="S632" s="31">
        <v>3</v>
      </c>
      <c r="T632" s="35">
        <v>0.2</v>
      </c>
      <c r="U632" s="31">
        <v>14.3952</v>
      </c>
    </row>
    <row r="633" spans="1:21">
      <c r="A633" s="31">
        <v>632</v>
      </c>
      <c r="B633" t="s">
        <v>39</v>
      </c>
      <c r="C633" s="32">
        <v>43090</v>
      </c>
      <c r="D633" s="32">
        <v>43093</v>
      </c>
      <c r="E633" t="s">
        <v>139</v>
      </c>
      <c r="F633" s="33" t="s">
        <v>2646</v>
      </c>
      <c r="G633" t="s">
        <v>2647</v>
      </c>
      <c r="H633" t="s">
        <v>16</v>
      </c>
      <c r="I633" t="s">
        <v>43</v>
      </c>
      <c r="J633" t="s">
        <v>2318</v>
      </c>
      <c r="K633" t="s">
        <v>45</v>
      </c>
      <c r="L633" s="31">
        <v>42104</v>
      </c>
      <c r="M633" t="s">
        <v>10</v>
      </c>
      <c r="N633" s="33" t="s">
        <v>2648</v>
      </c>
      <c r="O633" t="s">
        <v>22</v>
      </c>
      <c r="P633" t="s">
        <v>171</v>
      </c>
      <c r="Q633" t="s">
        <v>2649</v>
      </c>
      <c r="R633" s="34">
        <v>71</v>
      </c>
      <c r="S633" s="31">
        <v>4</v>
      </c>
      <c r="T633" s="35">
        <v>0</v>
      </c>
      <c r="U633" s="31">
        <v>27.69</v>
      </c>
    </row>
    <row r="634" spans="1:21">
      <c r="A634" s="31">
        <v>633</v>
      </c>
      <c r="B634" t="s">
        <v>39</v>
      </c>
      <c r="C634" s="32">
        <v>42594</v>
      </c>
      <c r="D634" s="32">
        <v>42597</v>
      </c>
      <c r="E634" t="s">
        <v>40</v>
      </c>
      <c r="F634" s="33" t="s">
        <v>2650</v>
      </c>
      <c r="G634" t="s">
        <v>2651</v>
      </c>
      <c r="H634" t="s">
        <v>16</v>
      </c>
      <c r="I634" t="s">
        <v>43</v>
      </c>
      <c r="J634" t="s">
        <v>2652</v>
      </c>
      <c r="K634" t="s">
        <v>87</v>
      </c>
      <c r="L634" s="31">
        <v>75007</v>
      </c>
      <c r="M634" t="s">
        <v>8</v>
      </c>
      <c r="N634" s="33" t="s">
        <v>2653</v>
      </c>
      <c r="O634" t="s">
        <v>22</v>
      </c>
      <c r="P634" t="s">
        <v>171</v>
      </c>
      <c r="Q634" t="s">
        <v>2654</v>
      </c>
      <c r="R634" s="34">
        <v>1399.944</v>
      </c>
      <c r="S634" s="31">
        <v>7</v>
      </c>
      <c r="T634" s="35">
        <v>0.2</v>
      </c>
      <c r="U634" s="31">
        <v>52.4979</v>
      </c>
    </row>
    <row r="635" spans="1:21">
      <c r="A635" s="31">
        <v>634</v>
      </c>
      <c r="B635" t="s">
        <v>39</v>
      </c>
      <c r="C635" s="32">
        <v>42525</v>
      </c>
      <c r="D635" s="32">
        <v>42525</v>
      </c>
      <c r="E635" t="s">
        <v>755</v>
      </c>
      <c r="F635" s="33" t="s">
        <v>2655</v>
      </c>
      <c r="G635" t="s">
        <v>2656</v>
      </c>
      <c r="H635" t="s">
        <v>16</v>
      </c>
      <c r="I635" t="s">
        <v>43</v>
      </c>
      <c r="J635" t="s">
        <v>193</v>
      </c>
      <c r="K635" t="s">
        <v>194</v>
      </c>
      <c r="L635" s="31">
        <v>10035</v>
      </c>
      <c r="M635" t="s">
        <v>9</v>
      </c>
      <c r="N635" s="33" t="s">
        <v>1737</v>
      </c>
      <c r="O635" t="s">
        <v>21</v>
      </c>
      <c r="P635" t="s">
        <v>75</v>
      </c>
      <c r="Q635" t="s">
        <v>138</v>
      </c>
      <c r="R635" s="34">
        <v>14.94</v>
      </c>
      <c r="S635" s="31">
        <v>3</v>
      </c>
      <c r="T635" s="35">
        <v>0</v>
      </c>
      <c r="U635" s="31">
        <v>7.0218</v>
      </c>
    </row>
    <row r="636" spans="1:21">
      <c r="A636" s="31">
        <v>635</v>
      </c>
      <c r="B636" t="s">
        <v>39</v>
      </c>
      <c r="C636" s="32">
        <v>41989</v>
      </c>
      <c r="D636" s="32">
        <v>41994</v>
      </c>
      <c r="E636" t="s">
        <v>57</v>
      </c>
      <c r="F636" s="33" t="s">
        <v>2657</v>
      </c>
      <c r="G636" t="s">
        <v>2658</v>
      </c>
      <c r="H636" t="s">
        <v>17</v>
      </c>
      <c r="I636" t="s">
        <v>43</v>
      </c>
      <c r="J636" t="s">
        <v>889</v>
      </c>
      <c r="K636" t="s">
        <v>61</v>
      </c>
      <c r="L636" s="31">
        <v>32216</v>
      </c>
      <c r="M636" t="s">
        <v>10</v>
      </c>
      <c r="N636" s="33" t="s">
        <v>2659</v>
      </c>
      <c r="O636" t="s">
        <v>21</v>
      </c>
      <c r="P636" t="s">
        <v>82</v>
      </c>
      <c r="Q636" t="s">
        <v>2660</v>
      </c>
      <c r="R636" s="34">
        <v>1.167</v>
      </c>
      <c r="S636" s="31">
        <v>1</v>
      </c>
      <c r="T636" s="35">
        <v>0.7</v>
      </c>
      <c r="U636" s="31">
        <v>-0.8558</v>
      </c>
    </row>
    <row r="637" spans="1:21">
      <c r="A637" s="31">
        <v>636</v>
      </c>
      <c r="B637" t="s">
        <v>39</v>
      </c>
      <c r="C637" s="32">
        <v>42488</v>
      </c>
      <c r="D637" s="32">
        <v>42495</v>
      </c>
      <c r="E637" t="s">
        <v>57</v>
      </c>
      <c r="F637" s="33" t="s">
        <v>2661</v>
      </c>
      <c r="G637" t="s">
        <v>2662</v>
      </c>
      <c r="H637" t="s">
        <v>17</v>
      </c>
      <c r="I637" t="s">
        <v>43</v>
      </c>
      <c r="J637" t="s">
        <v>51</v>
      </c>
      <c r="K637" t="s">
        <v>52</v>
      </c>
      <c r="L637" s="31">
        <v>90045</v>
      </c>
      <c r="M637" t="s">
        <v>11</v>
      </c>
      <c r="N637" s="33" t="s">
        <v>2663</v>
      </c>
      <c r="O637" t="s">
        <v>20</v>
      </c>
      <c r="P637" t="s">
        <v>121</v>
      </c>
      <c r="Q637" t="s">
        <v>2664</v>
      </c>
      <c r="R637" s="34">
        <v>41.568</v>
      </c>
      <c r="S637" s="31">
        <v>2</v>
      </c>
      <c r="T637" s="35">
        <v>0.2</v>
      </c>
      <c r="U637" s="31">
        <v>2.598</v>
      </c>
    </row>
    <row r="638" spans="1:21">
      <c r="A638" s="31">
        <v>637</v>
      </c>
      <c r="B638" t="s">
        <v>39</v>
      </c>
      <c r="C638" s="32">
        <v>41755</v>
      </c>
      <c r="D638" s="32">
        <v>41762</v>
      </c>
      <c r="E638" t="s">
        <v>57</v>
      </c>
      <c r="F638" s="33" t="s">
        <v>2665</v>
      </c>
      <c r="G638" t="s">
        <v>2666</v>
      </c>
      <c r="H638" t="s">
        <v>17</v>
      </c>
      <c r="I638" t="s">
        <v>43</v>
      </c>
      <c r="J638" t="s">
        <v>51</v>
      </c>
      <c r="K638" t="s">
        <v>52</v>
      </c>
      <c r="L638" s="31">
        <v>90049</v>
      </c>
      <c r="M638" t="s">
        <v>11</v>
      </c>
      <c r="N638" s="33" t="s">
        <v>860</v>
      </c>
      <c r="O638" t="s">
        <v>20</v>
      </c>
      <c r="P638" t="s">
        <v>121</v>
      </c>
      <c r="Q638" t="s">
        <v>861</v>
      </c>
      <c r="R638" s="34">
        <v>230.28</v>
      </c>
      <c r="S638" s="31">
        <v>3</v>
      </c>
      <c r="T638" s="35">
        <v>0.2</v>
      </c>
      <c r="U638" s="31">
        <v>23.028</v>
      </c>
    </row>
    <row r="639" spans="1:21">
      <c r="A639" s="31">
        <v>638</v>
      </c>
      <c r="B639" t="s">
        <v>39</v>
      </c>
      <c r="C639" s="32">
        <v>41976</v>
      </c>
      <c r="D639" s="32">
        <v>41979</v>
      </c>
      <c r="E639" t="s">
        <v>40</v>
      </c>
      <c r="F639" s="33" t="s">
        <v>2667</v>
      </c>
      <c r="G639" t="s">
        <v>2668</v>
      </c>
      <c r="H639" t="s">
        <v>17</v>
      </c>
      <c r="I639" t="s">
        <v>43</v>
      </c>
      <c r="J639" t="s">
        <v>2460</v>
      </c>
      <c r="K639" t="s">
        <v>385</v>
      </c>
      <c r="L639" s="31">
        <v>63116</v>
      </c>
      <c r="M639" t="s">
        <v>8</v>
      </c>
      <c r="N639" s="33" t="s">
        <v>2669</v>
      </c>
      <c r="O639" t="s">
        <v>21</v>
      </c>
      <c r="P639" t="s">
        <v>75</v>
      </c>
      <c r="Q639" t="s">
        <v>2670</v>
      </c>
      <c r="R639" s="34">
        <v>25.92</v>
      </c>
      <c r="S639" s="31">
        <v>4</v>
      </c>
      <c r="T639" s="35">
        <v>0</v>
      </c>
      <c r="U639" s="31">
        <v>12.4416</v>
      </c>
    </row>
    <row r="640" spans="1:21">
      <c r="A640" s="31">
        <v>639</v>
      </c>
      <c r="B640" t="s">
        <v>39</v>
      </c>
      <c r="C640" s="32">
        <v>43030</v>
      </c>
      <c r="D640" s="32">
        <v>43032</v>
      </c>
      <c r="E640" t="s">
        <v>139</v>
      </c>
      <c r="F640" s="33" t="s">
        <v>2671</v>
      </c>
      <c r="G640" t="s">
        <v>2672</v>
      </c>
      <c r="H640" t="s">
        <v>18</v>
      </c>
      <c r="I640" t="s">
        <v>43</v>
      </c>
      <c r="J640" t="s">
        <v>193</v>
      </c>
      <c r="K640" t="s">
        <v>194</v>
      </c>
      <c r="L640" s="31">
        <v>10024</v>
      </c>
      <c r="M640" t="s">
        <v>9</v>
      </c>
      <c r="N640" s="33" t="s">
        <v>2673</v>
      </c>
      <c r="O640" t="s">
        <v>22</v>
      </c>
      <c r="P640" t="s">
        <v>1351</v>
      </c>
      <c r="Q640" t="s">
        <v>2674</v>
      </c>
      <c r="R640" s="34">
        <v>11199.968</v>
      </c>
      <c r="S640" s="31">
        <v>4</v>
      </c>
      <c r="T640" s="35">
        <v>0.2</v>
      </c>
      <c r="U640" s="31">
        <v>3919.9888</v>
      </c>
    </row>
    <row r="641" spans="1:21">
      <c r="A641" s="31">
        <v>640</v>
      </c>
      <c r="B641" t="s">
        <v>56</v>
      </c>
      <c r="C641" s="32">
        <v>42870</v>
      </c>
      <c r="D641" s="32">
        <v>42875</v>
      </c>
      <c r="E641" t="s">
        <v>57</v>
      </c>
      <c r="F641" s="33" t="s">
        <v>2675</v>
      </c>
      <c r="G641" t="s">
        <v>2676</v>
      </c>
      <c r="H641" t="s">
        <v>16</v>
      </c>
      <c r="I641" t="s">
        <v>43</v>
      </c>
      <c r="J641" t="s">
        <v>79</v>
      </c>
      <c r="K641" t="s">
        <v>80</v>
      </c>
      <c r="L641" s="31">
        <v>98103</v>
      </c>
      <c r="M641" t="s">
        <v>11</v>
      </c>
      <c r="N641" s="33" t="s">
        <v>2677</v>
      </c>
      <c r="O641" t="s">
        <v>20</v>
      </c>
      <c r="P641" t="s">
        <v>68</v>
      </c>
      <c r="Q641" t="s">
        <v>2678</v>
      </c>
      <c r="R641" s="34">
        <v>39.96</v>
      </c>
      <c r="S641" s="31">
        <v>2</v>
      </c>
      <c r="T641" s="35">
        <v>0</v>
      </c>
      <c r="U641" s="31">
        <v>17.1828</v>
      </c>
    </row>
    <row r="642" spans="1:21">
      <c r="A642" s="31">
        <v>641</v>
      </c>
      <c r="B642" t="s">
        <v>39</v>
      </c>
      <c r="C642" s="32">
        <v>42231</v>
      </c>
      <c r="D642" s="32">
        <v>42235</v>
      </c>
      <c r="E642" t="s">
        <v>57</v>
      </c>
      <c r="F642" s="33" t="s">
        <v>2679</v>
      </c>
      <c r="G642" t="s">
        <v>2680</v>
      </c>
      <c r="H642" t="s">
        <v>17</v>
      </c>
      <c r="I642" t="s">
        <v>43</v>
      </c>
      <c r="J642" t="s">
        <v>51</v>
      </c>
      <c r="K642" t="s">
        <v>52</v>
      </c>
      <c r="L642" s="31">
        <v>90045</v>
      </c>
      <c r="M642" t="s">
        <v>11</v>
      </c>
      <c r="N642" s="33" t="s">
        <v>1637</v>
      </c>
      <c r="O642" t="s">
        <v>21</v>
      </c>
      <c r="P642" t="s">
        <v>96</v>
      </c>
      <c r="Q642" t="s">
        <v>1638</v>
      </c>
      <c r="R642" s="34">
        <v>323.1</v>
      </c>
      <c r="S642" s="31">
        <v>2</v>
      </c>
      <c r="T642" s="35">
        <v>0</v>
      </c>
      <c r="U642" s="31">
        <v>61.389</v>
      </c>
    </row>
    <row r="643" spans="1:21">
      <c r="A643" s="31">
        <v>642</v>
      </c>
      <c r="B643" t="s">
        <v>39</v>
      </c>
      <c r="C643" s="32">
        <v>42898</v>
      </c>
      <c r="D643" s="32">
        <v>42904</v>
      </c>
      <c r="E643" t="s">
        <v>57</v>
      </c>
      <c r="F643" s="33" t="s">
        <v>2681</v>
      </c>
      <c r="G643" t="s">
        <v>2682</v>
      </c>
      <c r="H643" t="s">
        <v>16</v>
      </c>
      <c r="I643" t="s">
        <v>43</v>
      </c>
      <c r="J643" t="s">
        <v>193</v>
      </c>
      <c r="K643" t="s">
        <v>194</v>
      </c>
      <c r="L643" s="31">
        <v>10035</v>
      </c>
      <c r="M643" t="s">
        <v>9</v>
      </c>
      <c r="N643" s="33" t="s">
        <v>2683</v>
      </c>
      <c r="O643" t="s">
        <v>21</v>
      </c>
      <c r="P643" t="s">
        <v>75</v>
      </c>
      <c r="Q643" t="s">
        <v>2684</v>
      </c>
      <c r="R643" s="34">
        <v>19.04</v>
      </c>
      <c r="S643" s="31">
        <v>4</v>
      </c>
      <c r="T643" s="35">
        <v>0</v>
      </c>
      <c r="U643" s="31">
        <v>9.3296</v>
      </c>
    </row>
    <row r="644" spans="1:21">
      <c r="A644" s="31">
        <v>643</v>
      </c>
      <c r="B644" t="s">
        <v>39</v>
      </c>
      <c r="C644" s="32">
        <v>42839</v>
      </c>
      <c r="D644" s="32">
        <v>42840</v>
      </c>
      <c r="E644" t="s">
        <v>139</v>
      </c>
      <c r="F644" s="33" t="s">
        <v>2685</v>
      </c>
      <c r="G644" t="s">
        <v>2686</v>
      </c>
      <c r="H644" t="s">
        <v>18</v>
      </c>
      <c r="I644" t="s">
        <v>43</v>
      </c>
      <c r="J644" t="s">
        <v>220</v>
      </c>
      <c r="K644" t="s">
        <v>385</v>
      </c>
      <c r="L644" s="31">
        <v>65807</v>
      </c>
      <c r="M644" t="s">
        <v>8</v>
      </c>
      <c r="N644" s="33" t="s">
        <v>2687</v>
      </c>
      <c r="O644" t="s">
        <v>21</v>
      </c>
      <c r="P644" t="s">
        <v>82</v>
      </c>
      <c r="Q644" t="s">
        <v>2688</v>
      </c>
      <c r="R644" s="34">
        <v>8.76</v>
      </c>
      <c r="S644" s="31">
        <v>2</v>
      </c>
      <c r="T644" s="35">
        <v>0</v>
      </c>
      <c r="U644" s="31">
        <v>4.2048</v>
      </c>
    </row>
    <row r="645" spans="1:21">
      <c r="A645" s="31">
        <v>644</v>
      </c>
      <c r="B645" t="s">
        <v>39</v>
      </c>
      <c r="C645" s="32">
        <v>42644</v>
      </c>
      <c r="D645" s="32">
        <v>42644</v>
      </c>
      <c r="E645" t="s">
        <v>755</v>
      </c>
      <c r="F645" s="33" t="s">
        <v>2689</v>
      </c>
      <c r="G645" t="s">
        <v>2690</v>
      </c>
      <c r="H645" t="s">
        <v>16</v>
      </c>
      <c r="I645" t="s">
        <v>43</v>
      </c>
      <c r="J645" t="s">
        <v>2691</v>
      </c>
      <c r="K645" t="s">
        <v>87</v>
      </c>
      <c r="L645" s="31">
        <v>79109</v>
      </c>
      <c r="M645" t="s">
        <v>8</v>
      </c>
      <c r="N645" s="33" t="s">
        <v>1200</v>
      </c>
      <c r="O645" t="s">
        <v>22</v>
      </c>
      <c r="P645" t="s">
        <v>171</v>
      </c>
      <c r="Q645" t="s">
        <v>1201</v>
      </c>
      <c r="R645" s="34">
        <v>79.512</v>
      </c>
      <c r="S645" s="31">
        <v>3</v>
      </c>
      <c r="T645" s="35">
        <v>0.2</v>
      </c>
      <c r="U645" s="31">
        <v>20.8719</v>
      </c>
    </row>
    <row r="646" spans="1:21">
      <c r="A646" s="31">
        <v>645</v>
      </c>
      <c r="B646" t="s">
        <v>56</v>
      </c>
      <c r="C646" s="32">
        <v>42241</v>
      </c>
      <c r="D646" s="32">
        <v>42246</v>
      </c>
      <c r="E646" t="s">
        <v>57</v>
      </c>
      <c r="F646" s="33" t="s">
        <v>2692</v>
      </c>
      <c r="G646" t="s">
        <v>2693</v>
      </c>
      <c r="H646" t="s">
        <v>18</v>
      </c>
      <c r="I646" t="s">
        <v>43</v>
      </c>
      <c r="J646" t="s">
        <v>51</v>
      </c>
      <c r="K646" t="s">
        <v>52</v>
      </c>
      <c r="L646" s="31">
        <v>90045</v>
      </c>
      <c r="M646" t="s">
        <v>11</v>
      </c>
      <c r="N646" s="33" t="s">
        <v>120</v>
      </c>
      <c r="O646" t="s">
        <v>20</v>
      </c>
      <c r="P646" t="s">
        <v>121</v>
      </c>
      <c r="Q646" t="s">
        <v>122</v>
      </c>
      <c r="R646" s="34">
        <v>40.784</v>
      </c>
      <c r="S646" s="31">
        <v>1</v>
      </c>
      <c r="T646" s="35">
        <v>0.2</v>
      </c>
      <c r="U646" s="31">
        <v>4.5882</v>
      </c>
    </row>
    <row r="647" spans="1:21">
      <c r="A647" s="31">
        <v>646</v>
      </c>
      <c r="B647" t="s">
        <v>39</v>
      </c>
      <c r="C647" s="32">
        <v>41891</v>
      </c>
      <c r="D647" s="32">
        <v>41894</v>
      </c>
      <c r="E647" t="s">
        <v>40</v>
      </c>
      <c r="F647" s="33" t="s">
        <v>2694</v>
      </c>
      <c r="G647" t="s">
        <v>2695</v>
      </c>
      <c r="H647" t="s">
        <v>17</v>
      </c>
      <c r="I647" t="s">
        <v>43</v>
      </c>
      <c r="J647" t="s">
        <v>734</v>
      </c>
      <c r="K647" t="s">
        <v>735</v>
      </c>
      <c r="L647" s="31">
        <v>1852</v>
      </c>
      <c r="M647" t="s">
        <v>9</v>
      </c>
      <c r="N647" s="33" t="s">
        <v>2696</v>
      </c>
      <c r="O647" t="s">
        <v>21</v>
      </c>
      <c r="P647" t="s">
        <v>75</v>
      </c>
      <c r="Q647" t="s">
        <v>2697</v>
      </c>
      <c r="R647" s="34">
        <v>166.44</v>
      </c>
      <c r="S647" s="31">
        <v>3</v>
      </c>
      <c r="T647" s="35">
        <v>0</v>
      </c>
      <c r="U647" s="31">
        <v>79.8912</v>
      </c>
    </row>
    <row r="648" spans="1:21">
      <c r="A648" s="31">
        <v>647</v>
      </c>
      <c r="B648" t="s">
        <v>39</v>
      </c>
      <c r="C648" s="32">
        <v>43072</v>
      </c>
      <c r="D648" s="32">
        <v>43072</v>
      </c>
      <c r="E648" t="s">
        <v>755</v>
      </c>
      <c r="F648" s="33" t="s">
        <v>2698</v>
      </c>
      <c r="G648" t="s">
        <v>2699</v>
      </c>
      <c r="H648" t="s">
        <v>16</v>
      </c>
      <c r="I648" t="s">
        <v>43</v>
      </c>
      <c r="J648" t="s">
        <v>588</v>
      </c>
      <c r="K648" t="s">
        <v>52</v>
      </c>
      <c r="L648" s="31">
        <v>92024</v>
      </c>
      <c r="M648" t="s">
        <v>11</v>
      </c>
      <c r="N648" s="33" t="s">
        <v>2700</v>
      </c>
      <c r="O648" t="s">
        <v>21</v>
      </c>
      <c r="P648" t="s">
        <v>75</v>
      </c>
      <c r="Q648" t="s">
        <v>2701</v>
      </c>
      <c r="R648" s="34">
        <v>166.44</v>
      </c>
      <c r="S648" s="31">
        <v>3</v>
      </c>
      <c r="T648" s="35">
        <v>0</v>
      </c>
      <c r="U648" s="31">
        <v>79.8912</v>
      </c>
    </row>
    <row r="649" spans="1:21">
      <c r="A649" s="31">
        <v>648</v>
      </c>
      <c r="B649" t="s">
        <v>56</v>
      </c>
      <c r="C649" s="32">
        <v>41811</v>
      </c>
      <c r="D649" s="32">
        <v>41811</v>
      </c>
      <c r="E649" t="s">
        <v>755</v>
      </c>
      <c r="F649" s="33" t="s">
        <v>2702</v>
      </c>
      <c r="G649" t="s">
        <v>2703</v>
      </c>
      <c r="H649" t="s">
        <v>16</v>
      </c>
      <c r="I649" t="s">
        <v>43</v>
      </c>
      <c r="J649" t="s">
        <v>1879</v>
      </c>
      <c r="K649" t="s">
        <v>305</v>
      </c>
      <c r="L649" s="31">
        <v>81001</v>
      </c>
      <c r="M649" t="s">
        <v>11</v>
      </c>
      <c r="N649" s="33" t="s">
        <v>2704</v>
      </c>
      <c r="O649" t="s">
        <v>21</v>
      </c>
      <c r="P649" t="s">
        <v>82</v>
      </c>
      <c r="Q649" t="s">
        <v>2705</v>
      </c>
      <c r="R649" s="34">
        <v>11.088</v>
      </c>
      <c r="S649" s="31">
        <v>7</v>
      </c>
      <c r="T649" s="35">
        <v>0.7</v>
      </c>
      <c r="U649" s="31">
        <v>-8.1312</v>
      </c>
    </row>
    <row r="650" spans="1:21">
      <c r="A650" s="31">
        <v>649</v>
      </c>
      <c r="B650" t="s">
        <v>39</v>
      </c>
      <c r="C650" s="32">
        <v>42407</v>
      </c>
      <c r="D650" s="32">
        <v>42409</v>
      </c>
      <c r="E650" t="s">
        <v>139</v>
      </c>
      <c r="F650" s="33" t="s">
        <v>2706</v>
      </c>
      <c r="G650" t="s">
        <v>2707</v>
      </c>
      <c r="H650" t="s">
        <v>16</v>
      </c>
      <c r="I650" t="s">
        <v>43</v>
      </c>
      <c r="J650" t="s">
        <v>1389</v>
      </c>
      <c r="K650" t="s">
        <v>331</v>
      </c>
      <c r="L650" s="31">
        <v>43130</v>
      </c>
      <c r="M650" t="s">
        <v>9</v>
      </c>
      <c r="N650" s="33" t="s">
        <v>2708</v>
      </c>
      <c r="O650" t="s">
        <v>21</v>
      </c>
      <c r="P650" t="s">
        <v>75</v>
      </c>
      <c r="Q650" t="s">
        <v>2709</v>
      </c>
      <c r="R650" s="34">
        <v>30.352</v>
      </c>
      <c r="S650" s="31">
        <v>2</v>
      </c>
      <c r="T650" s="35">
        <v>0.2</v>
      </c>
      <c r="U650" s="31">
        <v>10.6232</v>
      </c>
    </row>
    <row r="651" spans="1:21">
      <c r="A651" s="31">
        <v>650</v>
      </c>
      <c r="B651" t="s">
        <v>39</v>
      </c>
      <c r="C651" s="32">
        <v>42973</v>
      </c>
      <c r="D651" s="32">
        <v>42979</v>
      </c>
      <c r="E651" t="s">
        <v>57</v>
      </c>
      <c r="F651" s="33" t="s">
        <v>2710</v>
      </c>
      <c r="G651" t="s">
        <v>2711</v>
      </c>
      <c r="H651" t="s">
        <v>18</v>
      </c>
      <c r="I651" t="s">
        <v>43</v>
      </c>
      <c r="J651" t="s">
        <v>330</v>
      </c>
      <c r="K651" t="s">
        <v>746</v>
      </c>
      <c r="L651" s="31">
        <v>31907</v>
      </c>
      <c r="M651" t="s">
        <v>10</v>
      </c>
      <c r="N651" s="33" t="s">
        <v>847</v>
      </c>
      <c r="O651" t="s">
        <v>22</v>
      </c>
      <c r="P651" t="s">
        <v>171</v>
      </c>
      <c r="Q651" t="s">
        <v>848</v>
      </c>
      <c r="R651" s="34">
        <v>71.98</v>
      </c>
      <c r="S651" s="31">
        <v>2</v>
      </c>
      <c r="T651" s="35">
        <v>0</v>
      </c>
      <c r="U651" s="31">
        <v>15.1158</v>
      </c>
    </row>
    <row r="652" spans="1:21">
      <c r="A652" s="31">
        <v>651</v>
      </c>
      <c r="B652" t="s">
        <v>39</v>
      </c>
      <c r="C652" s="32">
        <v>41916</v>
      </c>
      <c r="D652" s="32">
        <v>41920</v>
      </c>
      <c r="E652" t="s">
        <v>57</v>
      </c>
      <c r="F652" s="33" t="s">
        <v>2712</v>
      </c>
      <c r="G652" t="s">
        <v>2713</v>
      </c>
      <c r="H652" t="s">
        <v>16</v>
      </c>
      <c r="I652" t="s">
        <v>43</v>
      </c>
      <c r="J652" t="s">
        <v>2714</v>
      </c>
      <c r="K652" t="s">
        <v>52</v>
      </c>
      <c r="L652" s="31">
        <v>94591</v>
      </c>
      <c r="M652" t="s">
        <v>11</v>
      </c>
      <c r="N652" s="33" t="s">
        <v>2715</v>
      </c>
      <c r="O652" t="s">
        <v>21</v>
      </c>
      <c r="P652" t="s">
        <v>54</v>
      </c>
      <c r="Q652" t="s">
        <v>2716</v>
      </c>
      <c r="R652" s="34">
        <v>14.45</v>
      </c>
      <c r="S652" s="31">
        <v>5</v>
      </c>
      <c r="T652" s="35">
        <v>0</v>
      </c>
      <c r="U652" s="31">
        <v>6.7915</v>
      </c>
    </row>
    <row r="653" spans="1:21">
      <c r="A653" s="31">
        <v>652</v>
      </c>
      <c r="B653" t="s">
        <v>39</v>
      </c>
      <c r="C653" s="32">
        <v>42779</v>
      </c>
      <c r="D653" s="32">
        <v>42785</v>
      </c>
      <c r="E653" t="s">
        <v>57</v>
      </c>
      <c r="F653" s="33" t="s">
        <v>2717</v>
      </c>
      <c r="G653" t="s">
        <v>2718</v>
      </c>
      <c r="H653" t="s">
        <v>16</v>
      </c>
      <c r="I653" t="s">
        <v>43</v>
      </c>
      <c r="J653" t="s">
        <v>79</v>
      </c>
      <c r="K653" t="s">
        <v>80</v>
      </c>
      <c r="L653" s="31">
        <v>98105</v>
      </c>
      <c r="M653" t="s">
        <v>11</v>
      </c>
      <c r="N653" s="33" t="s">
        <v>413</v>
      </c>
      <c r="O653" t="s">
        <v>21</v>
      </c>
      <c r="P653" t="s">
        <v>108</v>
      </c>
      <c r="Q653" t="s">
        <v>414</v>
      </c>
      <c r="R653" s="34">
        <v>6.63</v>
      </c>
      <c r="S653" s="31">
        <v>3</v>
      </c>
      <c r="T653" s="35">
        <v>0</v>
      </c>
      <c r="U653" s="31">
        <v>1.7901</v>
      </c>
    </row>
    <row r="654" spans="1:21">
      <c r="A654" s="31">
        <v>653</v>
      </c>
      <c r="B654" t="s">
        <v>39</v>
      </c>
      <c r="C654" s="32">
        <v>41947</v>
      </c>
      <c r="D654" s="32">
        <v>41951</v>
      </c>
      <c r="E654" t="s">
        <v>57</v>
      </c>
      <c r="F654" s="33" t="s">
        <v>2719</v>
      </c>
      <c r="G654" t="s">
        <v>2720</v>
      </c>
      <c r="H654" t="s">
        <v>16</v>
      </c>
      <c r="I654" t="s">
        <v>43</v>
      </c>
      <c r="J654" t="s">
        <v>588</v>
      </c>
      <c r="K654" t="s">
        <v>52</v>
      </c>
      <c r="L654" s="31">
        <v>92037</v>
      </c>
      <c r="M654" t="s">
        <v>11</v>
      </c>
      <c r="N654" s="33" t="s">
        <v>2721</v>
      </c>
      <c r="O654" t="s">
        <v>20</v>
      </c>
      <c r="P654" t="s">
        <v>68</v>
      </c>
      <c r="Q654" t="s">
        <v>2722</v>
      </c>
      <c r="R654" s="34">
        <v>35.34</v>
      </c>
      <c r="S654" s="31">
        <v>2</v>
      </c>
      <c r="T654" s="35">
        <v>0</v>
      </c>
      <c r="U654" s="31">
        <v>13.4292</v>
      </c>
    </row>
    <row r="655" spans="1:21">
      <c r="A655" s="31">
        <v>654</v>
      </c>
      <c r="B655" t="s">
        <v>39</v>
      </c>
      <c r="C655" s="32">
        <v>42342</v>
      </c>
      <c r="D655" s="32">
        <v>42346</v>
      </c>
      <c r="E655" t="s">
        <v>57</v>
      </c>
      <c r="F655" s="33" t="s">
        <v>2723</v>
      </c>
      <c r="G655" t="s">
        <v>2724</v>
      </c>
      <c r="H655" t="s">
        <v>16</v>
      </c>
      <c r="I655" t="s">
        <v>43</v>
      </c>
      <c r="J655" t="s">
        <v>2725</v>
      </c>
      <c r="K655" t="s">
        <v>61</v>
      </c>
      <c r="L655" s="31">
        <v>32303</v>
      </c>
      <c r="M655" t="s">
        <v>10</v>
      </c>
      <c r="N655" s="33" t="s">
        <v>2726</v>
      </c>
      <c r="O655" t="s">
        <v>21</v>
      </c>
      <c r="P655" t="s">
        <v>82</v>
      </c>
      <c r="Q655" t="s">
        <v>2727</v>
      </c>
      <c r="R655" s="34">
        <v>8.226</v>
      </c>
      <c r="S655" s="31">
        <v>3</v>
      </c>
      <c r="T655" s="35">
        <v>0.7</v>
      </c>
      <c r="U655" s="31">
        <v>-6.0324</v>
      </c>
    </row>
    <row r="656" spans="1:21">
      <c r="A656" s="31">
        <v>655</v>
      </c>
      <c r="B656" t="s">
        <v>39</v>
      </c>
      <c r="C656" s="32">
        <v>42111</v>
      </c>
      <c r="D656" s="32">
        <v>42115</v>
      </c>
      <c r="E656" t="s">
        <v>57</v>
      </c>
      <c r="F656" s="33" t="s">
        <v>2728</v>
      </c>
      <c r="G656" t="s">
        <v>2729</v>
      </c>
      <c r="H656" t="s">
        <v>16</v>
      </c>
      <c r="I656" t="s">
        <v>43</v>
      </c>
      <c r="J656" t="s">
        <v>106</v>
      </c>
      <c r="K656" t="s">
        <v>52</v>
      </c>
      <c r="L656" s="31">
        <v>94122</v>
      </c>
      <c r="M656" t="s">
        <v>11</v>
      </c>
      <c r="N656" s="33" t="s">
        <v>2730</v>
      </c>
      <c r="O656" t="s">
        <v>21</v>
      </c>
      <c r="P656" t="s">
        <v>108</v>
      </c>
      <c r="Q656" t="s">
        <v>2731</v>
      </c>
      <c r="R656" s="34">
        <v>5.56</v>
      </c>
      <c r="S656" s="31">
        <v>2</v>
      </c>
      <c r="T656" s="35">
        <v>0</v>
      </c>
      <c r="U656" s="31">
        <v>2.224</v>
      </c>
    </row>
    <row r="657" spans="1:21">
      <c r="A657" s="31">
        <v>656</v>
      </c>
      <c r="B657" t="s">
        <v>39</v>
      </c>
      <c r="C657" s="32">
        <v>42440</v>
      </c>
      <c r="D657" s="32">
        <v>42444</v>
      </c>
      <c r="E657" t="s">
        <v>57</v>
      </c>
      <c r="F657" s="33" t="s">
        <v>2732</v>
      </c>
      <c r="G657" t="s">
        <v>2733</v>
      </c>
      <c r="H657" t="s">
        <v>18</v>
      </c>
      <c r="I657" t="s">
        <v>43</v>
      </c>
      <c r="J657" t="s">
        <v>330</v>
      </c>
      <c r="K657" t="s">
        <v>746</v>
      </c>
      <c r="L657" s="31">
        <v>31907</v>
      </c>
      <c r="M657" t="s">
        <v>10</v>
      </c>
      <c r="N657" s="33" t="s">
        <v>2734</v>
      </c>
      <c r="O657" t="s">
        <v>20</v>
      </c>
      <c r="P657" t="s">
        <v>68</v>
      </c>
      <c r="Q657" t="s">
        <v>2735</v>
      </c>
      <c r="R657" s="34">
        <v>76.92</v>
      </c>
      <c r="S657" s="31">
        <v>4</v>
      </c>
      <c r="T657" s="35">
        <v>0</v>
      </c>
      <c r="U657" s="31">
        <v>31.5372</v>
      </c>
    </row>
    <row r="658" spans="1:21">
      <c r="A658" s="31">
        <v>657</v>
      </c>
      <c r="B658" t="s">
        <v>39</v>
      </c>
      <c r="C658" s="32">
        <v>41785</v>
      </c>
      <c r="D658" s="32">
        <v>41788</v>
      </c>
      <c r="E658" t="s">
        <v>139</v>
      </c>
      <c r="F658" s="33" t="s">
        <v>2736</v>
      </c>
      <c r="G658" t="s">
        <v>2737</v>
      </c>
      <c r="H658" t="s">
        <v>18</v>
      </c>
      <c r="I658" t="s">
        <v>43</v>
      </c>
      <c r="J658" t="s">
        <v>1907</v>
      </c>
      <c r="K658" t="s">
        <v>101</v>
      </c>
      <c r="L658" s="31">
        <v>84107</v>
      </c>
      <c r="M658" t="s">
        <v>11</v>
      </c>
      <c r="N658" s="33" t="s">
        <v>2738</v>
      </c>
      <c r="O658" t="s">
        <v>21</v>
      </c>
      <c r="P658" t="s">
        <v>75</v>
      </c>
      <c r="Q658" t="s">
        <v>2739</v>
      </c>
      <c r="R658" s="34">
        <v>48.4</v>
      </c>
      <c r="S658" s="31">
        <v>5</v>
      </c>
      <c r="T658" s="35">
        <v>0</v>
      </c>
      <c r="U658" s="31">
        <v>23.232</v>
      </c>
    </row>
    <row r="659" spans="1:21">
      <c r="A659" s="31">
        <v>658</v>
      </c>
      <c r="B659" t="s">
        <v>56</v>
      </c>
      <c r="C659" s="32">
        <v>42096</v>
      </c>
      <c r="D659" s="32">
        <v>42101</v>
      </c>
      <c r="E659" t="s">
        <v>57</v>
      </c>
      <c r="F659" s="33" t="s">
        <v>2740</v>
      </c>
      <c r="G659" t="s">
        <v>2741</v>
      </c>
      <c r="H659" t="s">
        <v>16</v>
      </c>
      <c r="I659" t="s">
        <v>43</v>
      </c>
      <c r="J659" t="s">
        <v>523</v>
      </c>
      <c r="K659" t="s">
        <v>87</v>
      </c>
      <c r="L659" s="31">
        <v>75220</v>
      </c>
      <c r="M659" t="s">
        <v>8</v>
      </c>
      <c r="N659" s="33" t="s">
        <v>2742</v>
      </c>
      <c r="O659" t="s">
        <v>21</v>
      </c>
      <c r="P659" t="s">
        <v>89</v>
      </c>
      <c r="Q659" t="s">
        <v>2743</v>
      </c>
      <c r="R659" s="34">
        <v>32.192</v>
      </c>
      <c r="S659" s="31">
        <v>2</v>
      </c>
      <c r="T659" s="35">
        <v>0.8</v>
      </c>
      <c r="U659" s="31">
        <v>-80.48</v>
      </c>
    </row>
    <row r="660" spans="1:21">
      <c r="A660" s="31">
        <v>659</v>
      </c>
      <c r="B660" t="s">
        <v>39</v>
      </c>
      <c r="C660" s="32">
        <v>43042</v>
      </c>
      <c r="D660" s="32">
        <v>43047</v>
      </c>
      <c r="E660" t="s">
        <v>57</v>
      </c>
      <c r="F660" s="33" t="s">
        <v>2744</v>
      </c>
      <c r="G660" t="s">
        <v>2745</v>
      </c>
      <c r="H660" t="s">
        <v>16</v>
      </c>
      <c r="I660" t="s">
        <v>43</v>
      </c>
      <c r="J660" t="s">
        <v>2746</v>
      </c>
      <c r="K660" t="s">
        <v>434</v>
      </c>
      <c r="L660" s="31">
        <v>88001</v>
      </c>
      <c r="M660" t="s">
        <v>11</v>
      </c>
      <c r="N660" s="33" t="s">
        <v>283</v>
      </c>
      <c r="O660" t="s">
        <v>20</v>
      </c>
      <c r="P660" t="s">
        <v>68</v>
      </c>
      <c r="Q660" t="s">
        <v>284</v>
      </c>
      <c r="R660" s="34">
        <v>41.37</v>
      </c>
      <c r="S660" s="31">
        <v>3</v>
      </c>
      <c r="T660" s="35">
        <v>0</v>
      </c>
      <c r="U660" s="31">
        <v>17.3754</v>
      </c>
    </row>
    <row r="661" spans="1:21">
      <c r="A661" s="31">
        <v>660</v>
      </c>
      <c r="B661" t="s">
        <v>39</v>
      </c>
      <c r="C661" s="32">
        <v>42210</v>
      </c>
      <c r="D661" s="32">
        <v>42212</v>
      </c>
      <c r="E661" t="s">
        <v>40</v>
      </c>
      <c r="F661" s="33" t="s">
        <v>2747</v>
      </c>
      <c r="G661" t="s">
        <v>2748</v>
      </c>
      <c r="H661" t="s">
        <v>16</v>
      </c>
      <c r="I661" t="s">
        <v>43</v>
      </c>
      <c r="J661" t="s">
        <v>79</v>
      </c>
      <c r="K661" t="s">
        <v>80</v>
      </c>
      <c r="L661" s="31">
        <v>98115</v>
      </c>
      <c r="M661" t="s">
        <v>11</v>
      </c>
      <c r="N661" s="33" t="s">
        <v>2749</v>
      </c>
      <c r="O661" t="s">
        <v>21</v>
      </c>
      <c r="P661" t="s">
        <v>196</v>
      </c>
      <c r="Q661" t="s">
        <v>2750</v>
      </c>
      <c r="R661" s="34">
        <v>9.42</v>
      </c>
      <c r="S661" s="31">
        <v>2</v>
      </c>
      <c r="T661" s="35">
        <v>0</v>
      </c>
      <c r="U661" s="31">
        <v>0.471</v>
      </c>
    </row>
    <row r="662" spans="1:21">
      <c r="A662" s="31">
        <v>661</v>
      </c>
      <c r="B662" t="s">
        <v>39</v>
      </c>
      <c r="C662" s="32">
        <v>42248</v>
      </c>
      <c r="D662" s="32">
        <v>42255</v>
      </c>
      <c r="E662" t="s">
        <v>57</v>
      </c>
      <c r="F662" s="33" t="s">
        <v>2751</v>
      </c>
      <c r="G662" t="s">
        <v>2752</v>
      </c>
      <c r="H662" t="s">
        <v>18</v>
      </c>
      <c r="I662" t="s">
        <v>43</v>
      </c>
      <c r="J662" t="s">
        <v>398</v>
      </c>
      <c r="K662" t="s">
        <v>735</v>
      </c>
      <c r="L662" s="31">
        <v>2038</v>
      </c>
      <c r="M662" t="s">
        <v>9</v>
      </c>
      <c r="N662" s="33" t="s">
        <v>2029</v>
      </c>
      <c r="O662" t="s">
        <v>21</v>
      </c>
      <c r="P662" t="s">
        <v>82</v>
      </c>
      <c r="Q662" t="s">
        <v>2030</v>
      </c>
      <c r="R662" s="34">
        <v>114.6</v>
      </c>
      <c r="S662" s="31">
        <v>5</v>
      </c>
      <c r="T662" s="35">
        <v>0</v>
      </c>
      <c r="U662" s="31">
        <v>51.57</v>
      </c>
    </row>
    <row r="663" spans="1:21">
      <c r="A663" s="31">
        <v>662</v>
      </c>
      <c r="B663" t="s">
        <v>39</v>
      </c>
      <c r="C663" s="32">
        <v>42495</v>
      </c>
      <c r="D663" s="32">
        <v>42498</v>
      </c>
      <c r="E663" t="s">
        <v>139</v>
      </c>
      <c r="F663" s="33" t="s">
        <v>2753</v>
      </c>
      <c r="G663" t="s">
        <v>2754</v>
      </c>
      <c r="H663" t="s">
        <v>16</v>
      </c>
      <c r="I663" t="s">
        <v>43</v>
      </c>
      <c r="J663" t="s">
        <v>2755</v>
      </c>
      <c r="K663" t="s">
        <v>52</v>
      </c>
      <c r="L663" s="31">
        <v>92024</v>
      </c>
      <c r="M663" t="s">
        <v>11</v>
      </c>
      <c r="N663" s="33" t="s">
        <v>2756</v>
      </c>
      <c r="O663" t="s">
        <v>21</v>
      </c>
      <c r="P663" t="s">
        <v>82</v>
      </c>
      <c r="Q663" t="s">
        <v>2757</v>
      </c>
      <c r="R663" s="34">
        <v>6.72</v>
      </c>
      <c r="S663" s="31">
        <v>5</v>
      </c>
      <c r="T663" s="35">
        <v>0.2</v>
      </c>
      <c r="U663" s="31">
        <v>2.352</v>
      </c>
    </row>
    <row r="664" spans="1:21">
      <c r="A664" s="31">
        <v>663</v>
      </c>
      <c r="B664" t="s">
        <v>39</v>
      </c>
      <c r="C664" s="32">
        <v>42761</v>
      </c>
      <c r="D664" s="32">
        <v>42766</v>
      </c>
      <c r="E664" t="s">
        <v>40</v>
      </c>
      <c r="F664" s="33" t="s">
        <v>2758</v>
      </c>
      <c r="G664" t="s">
        <v>2759</v>
      </c>
      <c r="H664" t="s">
        <v>17</v>
      </c>
      <c r="I664" t="s">
        <v>43</v>
      </c>
      <c r="J664" t="s">
        <v>2760</v>
      </c>
      <c r="K664" t="s">
        <v>241</v>
      </c>
      <c r="L664" s="31">
        <v>35244</v>
      </c>
      <c r="M664" t="s">
        <v>10</v>
      </c>
      <c r="N664" s="33" t="s">
        <v>413</v>
      </c>
      <c r="O664" t="s">
        <v>21</v>
      </c>
      <c r="P664" t="s">
        <v>108</v>
      </c>
      <c r="Q664" t="s">
        <v>414</v>
      </c>
      <c r="R664" s="34">
        <v>15.47</v>
      </c>
      <c r="S664" s="31">
        <v>7</v>
      </c>
      <c r="T664" s="35">
        <v>0</v>
      </c>
      <c r="U664" s="31">
        <v>4.1769</v>
      </c>
    </row>
    <row r="665" spans="1:21">
      <c r="A665" s="31">
        <v>664</v>
      </c>
      <c r="B665" t="s">
        <v>39</v>
      </c>
      <c r="C665" s="32">
        <v>42817</v>
      </c>
      <c r="D665" s="32">
        <v>42821</v>
      </c>
      <c r="E665" t="s">
        <v>57</v>
      </c>
      <c r="F665" s="33" t="s">
        <v>2761</v>
      </c>
      <c r="G665" t="s">
        <v>2762</v>
      </c>
      <c r="H665" t="s">
        <v>16</v>
      </c>
      <c r="I665" t="s">
        <v>43</v>
      </c>
      <c r="J665" t="s">
        <v>957</v>
      </c>
      <c r="K665" t="s">
        <v>87</v>
      </c>
      <c r="L665" s="31">
        <v>77340</v>
      </c>
      <c r="M665" t="s">
        <v>8</v>
      </c>
      <c r="N665" s="33" t="s">
        <v>962</v>
      </c>
      <c r="O665" t="s">
        <v>21</v>
      </c>
      <c r="P665" t="s">
        <v>96</v>
      </c>
      <c r="Q665" t="s">
        <v>963</v>
      </c>
      <c r="R665" s="34">
        <v>143.728</v>
      </c>
      <c r="S665" s="31">
        <v>2</v>
      </c>
      <c r="T665" s="35">
        <v>0.2</v>
      </c>
      <c r="U665" s="31">
        <v>-32.3388</v>
      </c>
    </row>
    <row r="666" spans="1:21">
      <c r="A666" s="31">
        <v>665</v>
      </c>
      <c r="B666" t="s">
        <v>39</v>
      </c>
      <c r="C666" s="32">
        <v>42833</v>
      </c>
      <c r="D666" s="32">
        <v>42840</v>
      </c>
      <c r="E666" t="s">
        <v>57</v>
      </c>
      <c r="F666" s="33" t="s">
        <v>2763</v>
      </c>
      <c r="G666" t="s">
        <v>2764</v>
      </c>
      <c r="H666" t="s">
        <v>17</v>
      </c>
      <c r="I666" t="s">
        <v>43</v>
      </c>
      <c r="J666" t="s">
        <v>1766</v>
      </c>
      <c r="K666" t="s">
        <v>746</v>
      </c>
      <c r="L666" s="31">
        <v>30076</v>
      </c>
      <c r="M666" t="s">
        <v>10</v>
      </c>
      <c r="N666" s="33" t="s">
        <v>2765</v>
      </c>
      <c r="O666" t="s">
        <v>20</v>
      </c>
      <c r="P666" t="s">
        <v>68</v>
      </c>
      <c r="Q666" t="s">
        <v>2766</v>
      </c>
      <c r="R666" s="34">
        <v>56.28</v>
      </c>
      <c r="S666" s="31">
        <v>6</v>
      </c>
      <c r="T666" s="35">
        <v>0</v>
      </c>
      <c r="U666" s="31">
        <v>15.7584</v>
      </c>
    </row>
    <row r="667" spans="1:21">
      <c r="A667" s="31">
        <v>666</v>
      </c>
      <c r="B667" t="s">
        <v>39</v>
      </c>
      <c r="C667" s="32">
        <v>43086</v>
      </c>
      <c r="D667" s="32">
        <v>43091</v>
      </c>
      <c r="E667" t="s">
        <v>57</v>
      </c>
      <c r="F667" s="33" t="s">
        <v>2767</v>
      </c>
      <c r="G667" t="s">
        <v>2768</v>
      </c>
      <c r="H667" t="s">
        <v>18</v>
      </c>
      <c r="I667" t="s">
        <v>43</v>
      </c>
      <c r="J667" t="s">
        <v>330</v>
      </c>
      <c r="K667" t="s">
        <v>188</v>
      </c>
      <c r="L667" s="31">
        <v>47201</v>
      </c>
      <c r="M667" t="s">
        <v>8</v>
      </c>
      <c r="N667" s="33" t="s">
        <v>1569</v>
      </c>
      <c r="O667" t="s">
        <v>21</v>
      </c>
      <c r="P667" t="s">
        <v>75</v>
      </c>
      <c r="Q667" t="s">
        <v>1570</v>
      </c>
      <c r="R667" s="34">
        <v>28.16</v>
      </c>
      <c r="S667" s="31">
        <v>4</v>
      </c>
      <c r="T667" s="35">
        <v>0</v>
      </c>
      <c r="U667" s="31">
        <v>13.2352</v>
      </c>
    </row>
    <row r="668" spans="1:21">
      <c r="A668" s="31">
        <v>667</v>
      </c>
      <c r="B668" t="s">
        <v>39</v>
      </c>
      <c r="C668" s="32">
        <v>42597</v>
      </c>
      <c r="D668" s="32">
        <v>42599</v>
      </c>
      <c r="E668" t="s">
        <v>40</v>
      </c>
      <c r="F668" s="33" t="s">
        <v>2769</v>
      </c>
      <c r="G668" t="s">
        <v>2770</v>
      </c>
      <c r="H668" t="s">
        <v>16</v>
      </c>
      <c r="I668" t="s">
        <v>43</v>
      </c>
      <c r="J668" t="s">
        <v>974</v>
      </c>
      <c r="K668" t="s">
        <v>73</v>
      </c>
      <c r="L668" s="31">
        <v>28314</v>
      </c>
      <c r="M668" t="s">
        <v>10</v>
      </c>
      <c r="N668" s="33" t="s">
        <v>2319</v>
      </c>
      <c r="O668" t="s">
        <v>20</v>
      </c>
      <c r="P668" t="s">
        <v>121</v>
      </c>
      <c r="Q668" t="s">
        <v>2320</v>
      </c>
      <c r="R668" s="34">
        <v>225.296</v>
      </c>
      <c r="S668" s="31">
        <v>2</v>
      </c>
      <c r="T668" s="35">
        <v>0.2</v>
      </c>
      <c r="U668" s="31">
        <v>22.5296</v>
      </c>
    </row>
    <row r="669" spans="1:21">
      <c r="A669" s="31">
        <v>668</v>
      </c>
      <c r="B669" t="s">
        <v>39</v>
      </c>
      <c r="C669" s="32">
        <v>41720</v>
      </c>
      <c r="D669" s="32">
        <v>41724</v>
      </c>
      <c r="E669" t="s">
        <v>57</v>
      </c>
      <c r="F669" s="33" t="s">
        <v>2771</v>
      </c>
      <c r="G669" t="s">
        <v>2772</v>
      </c>
      <c r="H669" t="s">
        <v>17</v>
      </c>
      <c r="I669" t="s">
        <v>43</v>
      </c>
      <c r="J669" t="s">
        <v>768</v>
      </c>
      <c r="K669" t="s">
        <v>215</v>
      </c>
      <c r="L669" s="31">
        <v>85705</v>
      </c>
      <c r="M669" t="s">
        <v>11</v>
      </c>
      <c r="N669" s="33" t="s">
        <v>2773</v>
      </c>
      <c r="O669" t="s">
        <v>21</v>
      </c>
      <c r="P669" t="s">
        <v>75</v>
      </c>
      <c r="Q669" t="s">
        <v>2774</v>
      </c>
      <c r="R669" s="34">
        <v>74.352</v>
      </c>
      <c r="S669" s="31">
        <v>3</v>
      </c>
      <c r="T669" s="35">
        <v>0.2</v>
      </c>
      <c r="U669" s="31">
        <v>23.235</v>
      </c>
    </row>
    <row r="670" spans="1:21">
      <c r="A670" s="31">
        <v>669</v>
      </c>
      <c r="B670" t="s">
        <v>39</v>
      </c>
      <c r="C670" s="32">
        <v>41758</v>
      </c>
      <c r="D670" s="32">
        <v>41760</v>
      </c>
      <c r="E670" t="s">
        <v>40</v>
      </c>
      <c r="F670" s="33" t="s">
        <v>2775</v>
      </c>
      <c r="G670" t="s">
        <v>2776</v>
      </c>
      <c r="H670" t="s">
        <v>16</v>
      </c>
      <c r="I670" t="s">
        <v>43</v>
      </c>
      <c r="J670" t="s">
        <v>2777</v>
      </c>
      <c r="K670" t="s">
        <v>469</v>
      </c>
      <c r="L670" s="31">
        <v>70601</v>
      </c>
      <c r="M670" t="s">
        <v>10</v>
      </c>
      <c r="N670" s="33" t="s">
        <v>2663</v>
      </c>
      <c r="O670" t="s">
        <v>20</v>
      </c>
      <c r="P670" t="s">
        <v>121</v>
      </c>
      <c r="Q670" t="s">
        <v>2664</v>
      </c>
      <c r="R670" s="34">
        <v>51.96</v>
      </c>
      <c r="S670" s="31">
        <v>2</v>
      </c>
      <c r="T670" s="35">
        <v>0</v>
      </c>
      <c r="U670" s="31">
        <v>12.99</v>
      </c>
    </row>
    <row r="671" spans="1:21">
      <c r="A671" s="31">
        <v>670</v>
      </c>
      <c r="B671" t="s">
        <v>39</v>
      </c>
      <c r="C671" s="32">
        <v>42926</v>
      </c>
      <c r="D671" s="32">
        <v>42930</v>
      </c>
      <c r="E671" t="s">
        <v>40</v>
      </c>
      <c r="F671" s="33" t="s">
        <v>2778</v>
      </c>
      <c r="G671" t="s">
        <v>2779</v>
      </c>
      <c r="H671" t="s">
        <v>16</v>
      </c>
      <c r="I671" t="s">
        <v>43</v>
      </c>
      <c r="J671" t="s">
        <v>330</v>
      </c>
      <c r="K671" t="s">
        <v>746</v>
      </c>
      <c r="L671" s="31">
        <v>31907</v>
      </c>
      <c r="M671" t="s">
        <v>10</v>
      </c>
      <c r="N671" s="33" t="s">
        <v>2780</v>
      </c>
      <c r="O671" t="s">
        <v>20</v>
      </c>
      <c r="P671" t="s">
        <v>68</v>
      </c>
      <c r="Q671" t="s">
        <v>2781</v>
      </c>
      <c r="R671" s="34">
        <v>18.84</v>
      </c>
      <c r="S671" s="31">
        <v>3</v>
      </c>
      <c r="T671" s="35">
        <v>0</v>
      </c>
      <c r="U671" s="31">
        <v>7.9128</v>
      </c>
    </row>
    <row r="672" spans="1:21">
      <c r="A672" s="31">
        <v>671</v>
      </c>
      <c r="B672" t="s">
        <v>39</v>
      </c>
      <c r="C672" s="32">
        <v>43051</v>
      </c>
      <c r="D672" s="32">
        <v>43051</v>
      </c>
      <c r="E672" t="s">
        <v>755</v>
      </c>
      <c r="F672" s="33" t="s">
        <v>2782</v>
      </c>
      <c r="G672" t="s">
        <v>2783</v>
      </c>
      <c r="H672" t="s">
        <v>18</v>
      </c>
      <c r="I672" t="s">
        <v>43</v>
      </c>
      <c r="J672" t="s">
        <v>2784</v>
      </c>
      <c r="K672" t="s">
        <v>215</v>
      </c>
      <c r="L672" s="31">
        <v>85301</v>
      </c>
      <c r="M672" t="s">
        <v>11</v>
      </c>
      <c r="N672" s="33" t="s">
        <v>542</v>
      </c>
      <c r="O672" t="s">
        <v>22</v>
      </c>
      <c r="P672" t="s">
        <v>171</v>
      </c>
      <c r="Q672" t="s">
        <v>543</v>
      </c>
      <c r="R672" s="34">
        <v>41.6</v>
      </c>
      <c r="S672" s="31">
        <v>4</v>
      </c>
      <c r="T672" s="35">
        <v>0.2</v>
      </c>
      <c r="U672" s="31">
        <v>13</v>
      </c>
    </row>
    <row r="673" spans="1:21">
      <c r="A673" s="31">
        <v>672</v>
      </c>
      <c r="B673" t="s">
        <v>39</v>
      </c>
      <c r="C673" s="32">
        <v>42913</v>
      </c>
      <c r="D673" s="32">
        <v>42920</v>
      </c>
      <c r="E673" t="s">
        <v>57</v>
      </c>
      <c r="F673" s="33" t="s">
        <v>2785</v>
      </c>
      <c r="G673" t="s">
        <v>2786</v>
      </c>
      <c r="H673" t="s">
        <v>18</v>
      </c>
      <c r="I673" t="s">
        <v>43</v>
      </c>
      <c r="J673" t="s">
        <v>2359</v>
      </c>
      <c r="K673" t="s">
        <v>194</v>
      </c>
      <c r="L673" s="31">
        <v>13601</v>
      </c>
      <c r="M673" t="s">
        <v>9</v>
      </c>
      <c r="N673" s="33" t="s">
        <v>1408</v>
      </c>
      <c r="O673" t="s">
        <v>20</v>
      </c>
      <c r="P673" t="s">
        <v>121</v>
      </c>
      <c r="Q673" t="s">
        <v>1409</v>
      </c>
      <c r="R673" s="34">
        <v>191.646</v>
      </c>
      <c r="S673" s="31">
        <v>3</v>
      </c>
      <c r="T673" s="35">
        <v>0.1</v>
      </c>
      <c r="U673" s="31">
        <v>31.941</v>
      </c>
    </row>
    <row r="674" spans="1:21">
      <c r="A674" s="31">
        <v>673</v>
      </c>
      <c r="B674" t="s">
        <v>39</v>
      </c>
      <c r="C674" s="32">
        <v>43085</v>
      </c>
      <c r="D674" s="32">
        <v>43090</v>
      </c>
      <c r="E674" t="s">
        <v>40</v>
      </c>
      <c r="F674" s="33" t="s">
        <v>2787</v>
      </c>
      <c r="G674" t="s">
        <v>2788</v>
      </c>
      <c r="H674" t="s">
        <v>17</v>
      </c>
      <c r="I674" t="s">
        <v>43</v>
      </c>
      <c r="J674" t="s">
        <v>1325</v>
      </c>
      <c r="K674" t="s">
        <v>52</v>
      </c>
      <c r="L674" s="31">
        <v>92054</v>
      </c>
      <c r="M674" t="s">
        <v>11</v>
      </c>
      <c r="N674" s="33" t="s">
        <v>120</v>
      </c>
      <c r="O674" t="s">
        <v>20</v>
      </c>
      <c r="P674" t="s">
        <v>121</v>
      </c>
      <c r="Q674" t="s">
        <v>122</v>
      </c>
      <c r="R674" s="34">
        <v>81.568</v>
      </c>
      <c r="S674" s="31">
        <v>2</v>
      </c>
      <c r="T674" s="35">
        <v>0.2</v>
      </c>
      <c r="U674" s="31">
        <v>9.1764</v>
      </c>
    </row>
    <row r="675" spans="1:21">
      <c r="A675" s="31">
        <v>674</v>
      </c>
      <c r="B675" t="s">
        <v>39</v>
      </c>
      <c r="C675" s="32">
        <v>42167</v>
      </c>
      <c r="D675" s="32">
        <v>42172</v>
      </c>
      <c r="E675" t="s">
        <v>57</v>
      </c>
      <c r="F675" s="33" t="s">
        <v>2789</v>
      </c>
      <c r="G675" t="s">
        <v>2790</v>
      </c>
      <c r="H675" t="s">
        <v>16</v>
      </c>
      <c r="I675" t="s">
        <v>43</v>
      </c>
      <c r="J675" t="s">
        <v>118</v>
      </c>
      <c r="K675" t="s">
        <v>119</v>
      </c>
      <c r="L675" s="31">
        <v>19134</v>
      </c>
      <c r="M675" t="s">
        <v>9</v>
      </c>
      <c r="N675" s="33" t="s">
        <v>2791</v>
      </c>
      <c r="O675" t="s">
        <v>21</v>
      </c>
      <c r="P675" t="s">
        <v>75</v>
      </c>
      <c r="Q675" t="s">
        <v>2792</v>
      </c>
      <c r="R675" s="34">
        <v>20.736</v>
      </c>
      <c r="S675" s="31">
        <v>4</v>
      </c>
      <c r="T675" s="35">
        <v>0.2</v>
      </c>
      <c r="U675" s="31">
        <v>7.2576</v>
      </c>
    </row>
    <row r="676" spans="1:21">
      <c r="A676" s="31">
        <v>675</v>
      </c>
      <c r="B676" t="s">
        <v>39</v>
      </c>
      <c r="C676" s="32">
        <v>42515</v>
      </c>
      <c r="D676" s="32">
        <v>42520</v>
      </c>
      <c r="E676" t="s">
        <v>57</v>
      </c>
      <c r="F676" s="33" t="s">
        <v>2793</v>
      </c>
      <c r="G676" t="s">
        <v>2794</v>
      </c>
      <c r="H676" t="s">
        <v>18</v>
      </c>
      <c r="I676" t="s">
        <v>43</v>
      </c>
      <c r="J676" t="s">
        <v>330</v>
      </c>
      <c r="K676" t="s">
        <v>746</v>
      </c>
      <c r="L676" s="31">
        <v>31907</v>
      </c>
      <c r="M676" t="s">
        <v>10</v>
      </c>
      <c r="N676" s="33" t="s">
        <v>2795</v>
      </c>
      <c r="O676" t="s">
        <v>20</v>
      </c>
      <c r="P676" t="s">
        <v>68</v>
      </c>
      <c r="Q676" t="s">
        <v>2796</v>
      </c>
      <c r="R676" s="34">
        <v>24.96</v>
      </c>
      <c r="S676" s="31">
        <v>4</v>
      </c>
      <c r="T676" s="35">
        <v>0</v>
      </c>
      <c r="U676" s="31">
        <v>6.24</v>
      </c>
    </row>
    <row r="677" spans="1:21">
      <c r="A677" s="31">
        <v>676</v>
      </c>
      <c r="B677" t="s">
        <v>39</v>
      </c>
      <c r="C677" s="32">
        <v>42621</v>
      </c>
      <c r="D677" s="32">
        <v>42623</v>
      </c>
      <c r="E677" t="s">
        <v>139</v>
      </c>
      <c r="F677" s="33" t="s">
        <v>2797</v>
      </c>
      <c r="G677" t="s">
        <v>2798</v>
      </c>
      <c r="H677" t="s">
        <v>18</v>
      </c>
      <c r="I677" t="s">
        <v>43</v>
      </c>
      <c r="J677" t="s">
        <v>193</v>
      </c>
      <c r="K677" t="s">
        <v>194</v>
      </c>
      <c r="L677" s="31">
        <v>10011</v>
      </c>
      <c r="M677" t="s">
        <v>9</v>
      </c>
      <c r="N677" s="33" t="s">
        <v>2799</v>
      </c>
      <c r="O677" t="s">
        <v>21</v>
      </c>
      <c r="P677" t="s">
        <v>89</v>
      </c>
      <c r="Q677" t="s">
        <v>2800</v>
      </c>
      <c r="R677" s="34">
        <v>207.48</v>
      </c>
      <c r="S677" s="31">
        <v>1</v>
      </c>
      <c r="T677" s="35">
        <v>0</v>
      </c>
      <c r="U677" s="31">
        <v>62.244</v>
      </c>
    </row>
    <row r="678" spans="1:21">
      <c r="A678" s="31">
        <v>677</v>
      </c>
      <c r="B678" t="s">
        <v>39</v>
      </c>
      <c r="C678" s="32">
        <v>42842</v>
      </c>
      <c r="D678" s="32">
        <v>42848</v>
      </c>
      <c r="E678" t="s">
        <v>57</v>
      </c>
      <c r="F678" s="33" t="s">
        <v>2801</v>
      </c>
      <c r="G678" t="s">
        <v>2802</v>
      </c>
      <c r="H678" t="s">
        <v>18</v>
      </c>
      <c r="I678" t="s">
        <v>43</v>
      </c>
      <c r="J678" t="s">
        <v>1453</v>
      </c>
      <c r="K678" t="s">
        <v>305</v>
      </c>
      <c r="L678" s="31">
        <v>80027</v>
      </c>
      <c r="M678" t="s">
        <v>11</v>
      </c>
      <c r="N678" s="33" t="s">
        <v>890</v>
      </c>
      <c r="O678" t="s">
        <v>21</v>
      </c>
      <c r="P678" t="s">
        <v>82</v>
      </c>
      <c r="Q678" t="s">
        <v>891</v>
      </c>
      <c r="R678" s="34">
        <v>12.03</v>
      </c>
      <c r="S678" s="31">
        <v>5</v>
      </c>
      <c r="T678" s="35">
        <v>0.7</v>
      </c>
      <c r="U678" s="31">
        <v>-9.223</v>
      </c>
    </row>
    <row r="679" spans="1:21">
      <c r="A679" s="31">
        <v>678</v>
      </c>
      <c r="B679" t="s">
        <v>39</v>
      </c>
      <c r="C679" s="32">
        <v>43056</v>
      </c>
      <c r="D679" s="32">
        <v>43062</v>
      </c>
      <c r="E679" t="s">
        <v>57</v>
      </c>
      <c r="F679" s="33" t="s">
        <v>2803</v>
      </c>
      <c r="G679" t="s">
        <v>2804</v>
      </c>
      <c r="H679" t="s">
        <v>16</v>
      </c>
      <c r="I679" t="s">
        <v>43</v>
      </c>
      <c r="J679" t="s">
        <v>1709</v>
      </c>
      <c r="K679" t="s">
        <v>87</v>
      </c>
      <c r="L679" s="31">
        <v>78521</v>
      </c>
      <c r="M679" t="s">
        <v>8</v>
      </c>
      <c r="N679" s="33" t="s">
        <v>2503</v>
      </c>
      <c r="O679" t="s">
        <v>20</v>
      </c>
      <c r="P679" t="s">
        <v>47</v>
      </c>
      <c r="Q679" t="s">
        <v>2504</v>
      </c>
      <c r="R679" s="34">
        <v>327.7328</v>
      </c>
      <c r="S679" s="31">
        <v>2</v>
      </c>
      <c r="T679" s="35">
        <v>0.32</v>
      </c>
      <c r="U679" s="31">
        <v>-14.4588</v>
      </c>
    </row>
    <row r="680" spans="1:21">
      <c r="A680" s="31">
        <v>679</v>
      </c>
      <c r="B680" t="s">
        <v>39</v>
      </c>
      <c r="C680" s="32">
        <v>42268</v>
      </c>
      <c r="D680" s="32">
        <v>42274</v>
      </c>
      <c r="E680" t="s">
        <v>57</v>
      </c>
      <c r="F680" s="33" t="s">
        <v>2805</v>
      </c>
      <c r="G680" t="s">
        <v>2806</v>
      </c>
      <c r="H680" t="s">
        <v>17</v>
      </c>
      <c r="I680" t="s">
        <v>43</v>
      </c>
      <c r="J680" t="s">
        <v>2807</v>
      </c>
      <c r="K680" t="s">
        <v>176</v>
      </c>
      <c r="L680" s="31">
        <v>48146</v>
      </c>
      <c r="M680" t="s">
        <v>8</v>
      </c>
      <c r="N680" s="33" t="s">
        <v>2808</v>
      </c>
      <c r="O680" t="s">
        <v>20</v>
      </c>
      <c r="P680" t="s">
        <v>47</v>
      </c>
      <c r="Q680" t="s">
        <v>2809</v>
      </c>
      <c r="R680" s="34">
        <v>194.32</v>
      </c>
      <c r="S680" s="31">
        <v>4</v>
      </c>
      <c r="T680" s="35">
        <v>0</v>
      </c>
      <c r="U680" s="31">
        <v>31.0912</v>
      </c>
    </row>
    <row r="681" spans="1:21">
      <c r="A681" s="31">
        <v>680</v>
      </c>
      <c r="B681" t="s">
        <v>39</v>
      </c>
      <c r="C681" s="32">
        <v>42827</v>
      </c>
      <c r="D681" s="32">
        <v>42829</v>
      </c>
      <c r="E681" t="s">
        <v>139</v>
      </c>
      <c r="F681" s="33" t="s">
        <v>2810</v>
      </c>
      <c r="G681" t="s">
        <v>2811</v>
      </c>
      <c r="H681" t="s">
        <v>18</v>
      </c>
      <c r="I681" t="s">
        <v>43</v>
      </c>
      <c r="J681" t="s">
        <v>330</v>
      </c>
      <c r="K681" t="s">
        <v>746</v>
      </c>
      <c r="L681" s="31">
        <v>31907</v>
      </c>
      <c r="M681" t="s">
        <v>10</v>
      </c>
      <c r="N681" s="33" t="s">
        <v>355</v>
      </c>
      <c r="O681" t="s">
        <v>20</v>
      </c>
      <c r="P681" t="s">
        <v>63</v>
      </c>
      <c r="Q681" t="s">
        <v>356</v>
      </c>
      <c r="R681" s="34">
        <v>411.8</v>
      </c>
      <c r="S681" s="31">
        <v>2</v>
      </c>
      <c r="T681" s="35">
        <v>0</v>
      </c>
      <c r="U681" s="31">
        <v>70.006</v>
      </c>
    </row>
    <row r="682" spans="1:21">
      <c r="A682" s="31">
        <v>681</v>
      </c>
      <c r="B682" t="s">
        <v>39</v>
      </c>
      <c r="C682" s="32">
        <v>42469</v>
      </c>
      <c r="D682" s="32">
        <v>42474</v>
      </c>
      <c r="E682" t="s">
        <v>40</v>
      </c>
      <c r="F682" s="33" t="s">
        <v>2812</v>
      </c>
      <c r="G682" t="s">
        <v>2813</v>
      </c>
      <c r="H682" t="s">
        <v>18</v>
      </c>
      <c r="I682" t="s">
        <v>43</v>
      </c>
      <c r="J682" t="s">
        <v>558</v>
      </c>
      <c r="K682" t="s">
        <v>176</v>
      </c>
      <c r="L682" s="31">
        <v>48227</v>
      </c>
      <c r="M682" t="s">
        <v>8</v>
      </c>
      <c r="N682" s="33" t="s">
        <v>2814</v>
      </c>
      <c r="O682" t="s">
        <v>22</v>
      </c>
      <c r="P682" t="s">
        <v>144</v>
      </c>
      <c r="Q682" t="s">
        <v>2815</v>
      </c>
      <c r="R682" s="34">
        <v>517.9</v>
      </c>
      <c r="S682" s="31">
        <v>2</v>
      </c>
      <c r="T682" s="35">
        <v>0</v>
      </c>
      <c r="U682" s="31">
        <v>134.654</v>
      </c>
    </row>
    <row r="683" spans="1:21">
      <c r="A683" s="31">
        <v>682</v>
      </c>
      <c r="B683" t="s">
        <v>39</v>
      </c>
      <c r="C683" s="32">
        <v>42797</v>
      </c>
      <c r="D683" s="32">
        <v>42801</v>
      </c>
      <c r="E683" t="s">
        <v>57</v>
      </c>
      <c r="F683" s="33" t="s">
        <v>2816</v>
      </c>
      <c r="G683" t="s">
        <v>2817</v>
      </c>
      <c r="H683" t="s">
        <v>16</v>
      </c>
      <c r="I683" t="s">
        <v>43</v>
      </c>
      <c r="J683" t="s">
        <v>523</v>
      </c>
      <c r="K683" t="s">
        <v>87</v>
      </c>
      <c r="L683" s="31">
        <v>75081</v>
      </c>
      <c r="M683" t="s">
        <v>8</v>
      </c>
      <c r="N683" s="33" t="s">
        <v>2818</v>
      </c>
      <c r="O683" t="s">
        <v>21</v>
      </c>
      <c r="P683" t="s">
        <v>75</v>
      </c>
      <c r="Q683" t="s">
        <v>2819</v>
      </c>
      <c r="R683" s="34">
        <v>26.88</v>
      </c>
      <c r="S683" s="31">
        <v>8</v>
      </c>
      <c r="T683" s="35">
        <v>0.2</v>
      </c>
      <c r="U683" s="31">
        <v>9.744</v>
      </c>
    </row>
    <row r="684" spans="1:21">
      <c r="A684" s="31">
        <v>683</v>
      </c>
      <c r="B684" t="s">
        <v>39</v>
      </c>
      <c r="C684" s="32">
        <v>42807</v>
      </c>
      <c r="D684" s="32">
        <v>42812</v>
      </c>
      <c r="E684" t="s">
        <v>40</v>
      </c>
      <c r="F684" s="33" t="s">
        <v>2820</v>
      </c>
      <c r="G684" t="s">
        <v>2821</v>
      </c>
      <c r="H684" t="s">
        <v>18</v>
      </c>
      <c r="I684" t="s">
        <v>43</v>
      </c>
      <c r="J684" t="s">
        <v>2589</v>
      </c>
      <c r="K684" t="s">
        <v>434</v>
      </c>
      <c r="L684" s="31">
        <v>87105</v>
      </c>
      <c r="M684" t="s">
        <v>11</v>
      </c>
      <c r="N684" s="33" t="s">
        <v>2822</v>
      </c>
      <c r="O684" t="s">
        <v>21</v>
      </c>
      <c r="P684" t="s">
        <v>96</v>
      </c>
      <c r="Q684" t="s">
        <v>2823</v>
      </c>
      <c r="R684" s="34">
        <v>90.8</v>
      </c>
      <c r="S684" s="31">
        <v>8</v>
      </c>
      <c r="T684" s="35">
        <v>0</v>
      </c>
      <c r="U684" s="31">
        <v>25.424</v>
      </c>
    </row>
    <row r="685" spans="1:21">
      <c r="A685" s="31">
        <v>684</v>
      </c>
      <c r="B685" t="s">
        <v>39</v>
      </c>
      <c r="C685" s="32">
        <v>42982</v>
      </c>
      <c r="D685" s="32">
        <v>42983</v>
      </c>
      <c r="E685" t="s">
        <v>139</v>
      </c>
      <c r="F685" s="33" t="s">
        <v>2824</v>
      </c>
      <c r="G685" t="s">
        <v>2825</v>
      </c>
      <c r="H685" t="s">
        <v>18</v>
      </c>
      <c r="I685" t="s">
        <v>43</v>
      </c>
      <c r="J685" t="s">
        <v>2826</v>
      </c>
      <c r="K685" t="s">
        <v>52</v>
      </c>
      <c r="L685" s="31">
        <v>92307</v>
      </c>
      <c r="M685" t="s">
        <v>11</v>
      </c>
      <c r="N685" s="33" t="s">
        <v>1279</v>
      </c>
      <c r="O685" t="s">
        <v>21</v>
      </c>
      <c r="P685" t="s">
        <v>75</v>
      </c>
      <c r="Q685" t="s">
        <v>1280</v>
      </c>
      <c r="R685" s="34">
        <v>12.96</v>
      </c>
      <c r="S685" s="31">
        <v>2</v>
      </c>
      <c r="T685" s="35">
        <v>0</v>
      </c>
      <c r="U685" s="31">
        <v>6.2208</v>
      </c>
    </row>
    <row r="686" spans="1:21">
      <c r="A686" s="31">
        <v>685</v>
      </c>
      <c r="B686" t="s">
        <v>39</v>
      </c>
      <c r="C686" s="32">
        <v>43091</v>
      </c>
      <c r="D686" s="32">
        <v>43096</v>
      </c>
      <c r="E686" t="s">
        <v>40</v>
      </c>
      <c r="F686" s="33" t="s">
        <v>2827</v>
      </c>
      <c r="G686" t="s">
        <v>2828</v>
      </c>
      <c r="H686" t="s">
        <v>17</v>
      </c>
      <c r="I686" t="s">
        <v>43</v>
      </c>
      <c r="J686" t="s">
        <v>1870</v>
      </c>
      <c r="K686" t="s">
        <v>829</v>
      </c>
      <c r="L686" s="31">
        <v>2908</v>
      </c>
      <c r="M686" t="s">
        <v>9</v>
      </c>
      <c r="N686" s="33" t="s">
        <v>2829</v>
      </c>
      <c r="O686" t="s">
        <v>21</v>
      </c>
      <c r="P686" t="s">
        <v>1104</v>
      </c>
      <c r="Q686" t="s">
        <v>2830</v>
      </c>
      <c r="R686" s="34">
        <v>695.16</v>
      </c>
      <c r="S686" s="31">
        <v>6</v>
      </c>
      <c r="T686" s="35">
        <v>0</v>
      </c>
      <c r="U686" s="31">
        <v>34.758</v>
      </c>
    </row>
    <row r="687" spans="1:21">
      <c r="A687" s="31">
        <v>686</v>
      </c>
      <c r="B687" t="s">
        <v>56</v>
      </c>
      <c r="C687" s="32">
        <v>42817</v>
      </c>
      <c r="D687" s="32">
        <v>42823</v>
      </c>
      <c r="E687" t="s">
        <v>57</v>
      </c>
      <c r="F687" s="33" t="s">
        <v>2831</v>
      </c>
      <c r="G687" t="s">
        <v>2832</v>
      </c>
      <c r="H687" t="s">
        <v>16</v>
      </c>
      <c r="I687" t="s">
        <v>43</v>
      </c>
      <c r="J687" t="s">
        <v>193</v>
      </c>
      <c r="K687" t="s">
        <v>194</v>
      </c>
      <c r="L687" s="31">
        <v>10024</v>
      </c>
      <c r="M687" t="s">
        <v>9</v>
      </c>
      <c r="N687" s="33" t="s">
        <v>2833</v>
      </c>
      <c r="O687" t="s">
        <v>21</v>
      </c>
      <c r="P687" t="s">
        <v>75</v>
      </c>
      <c r="Q687" t="s">
        <v>2834</v>
      </c>
      <c r="R687" s="34">
        <v>25.68</v>
      </c>
      <c r="S687" s="31">
        <v>6</v>
      </c>
      <c r="T687" s="35">
        <v>0</v>
      </c>
      <c r="U687" s="31">
        <v>11.556</v>
      </c>
    </row>
    <row r="688" spans="1:21">
      <c r="A688" s="31">
        <v>687</v>
      </c>
      <c r="B688" t="s">
        <v>39</v>
      </c>
      <c r="C688" s="32">
        <v>42986</v>
      </c>
      <c r="D688" s="32">
        <v>42990</v>
      </c>
      <c r="E688" t="s">
        <v>57</v>
      </c>
      <c r="F688" s="33" t="s">
        <v>2835</v>
      </c>
      <c r="G688" t="s">
        <v>2836</v>
      </c>
      <c r="H688" t="s">
        <v>16</v>
      </c>
      <c r="I688" t="s">
        <v>43</v>
      </c>
      <c r="J688" t="s">
        <v>118</v>
      </c>
      <c r="K688" t="s">
        <v>119</v>
      </c>
      <c r="L688" s="31">
        <v>19134</v>
      </c>
      <c r="M688" t="s">
        <v>9</v>
      </c>
      <c r="N688" s="33" t="s">
        <v>2837</v>
      </c>
      <c r="O688" t="s">
        <v>22</v>
      </c>
      <c r="P688" t="s">
        <v>144</v>
      </c>
      <c r="Q688" t="s">
        <v>2838</v>
      </c>
      <c r="R688" s="34">
        <v>258.528</v>
      </c>
      <c r="S688" s="31">
        <v>2</v>
      </c>
      <c r="T688" s="35">
        <v>0.4</v>
      </c>
      <c r="U688" s="31">
        <v>-47.3968</v>
      </c>
    </row>
    <row r="689" spans="1:21">
      <c r="A689" s="31">
        <v>688</v>
      </c>
      <c r="B689" t="s">
        <v>39</v>
      </c>
      <c r="C689" s="32">
        <v>41875</v>
      </c>
      <c r="D689" s="32">
        <v>41877</v>
      </c>
      <c r="E689" t="s">
        <v>139</v>
      </c>
      <c r="F689" s="33" t="s">
        <v>2839</v>
      </c>
      <c r="G689" t="s">
        <v>2840</v>
      </c>
      <c r="H689" t="s">
        <v>17</v>
      </c>
      <c r="I689" t="s">
        <v>43</v>
      </c>
      <c r="J689" t="s">
        <v>1325</v>
      </c>
      <c r="K689" t="s">
        <v>194</v>
      </c>
      <c r="L689" s="31">
        <v>11572</v>
      </c>
      <c r="M689" t="s">
        <v>9</v>
      </c>
      <c r="N689" s="33" t="s">
        <v>2841</v>
      </c>
      <c r="O689" t="s">
        <v>20</v>
      </c>
      <c r="P689" t="s">
        <v>68</v>
      </c>
      <c r="Q689" t="s">
        <v>2842</v>
      </c>
      <c r="R689" s="34">
        <v>13.28</v>
      </c>
      <c r="S689" s="31">
        <v>2</v>
      </c>
      <c r="T689" s="35">
        <v>0</v>
      </c>
      <c r="U689" s="31">
        <v>6.3744</v>
      </c>
    </row>
    <row r="690" spans="1:21">
      <c r="A690" s="31">
        <v>689</v>
      </c>
      <c r="B690" t="s">
        <v>39</v>
      </c>
      <c r="C690" s="32">
        <v>42777</v>
      </c>
      <c r="D690" s="32">
        <v>42779</v>
      </c>
      <c r="E690" t="s">
        <v>40</v>
      </c>
      <c r="F690" s="33" t="s">
        <v>2843</v>
      </c>
      <c r="G690" t="s">
        <v>2844</v>
      </c>
      <c r="H690" t="s">
        <v>17</v>
      </c>
      <c r="I690" t="s">
        <v>43</v>
      </c>
      <c r="J690" t="s">
        <v>79</v>
      </c>
      <c r="K690" t="s">
        <v>80</v>
      </c>
      <c r="L690" s="31">
        <v>98105</v>
      </c>
      <c r="M690" t="s">
        <v>11</v>
      </c>
      <c r="N690" s="33" t="s">
        <v>2845</v>
      </c>
      <c r="O690" t="s">
        <v>20</v>
      </c>
      <c r="P690" t="s">
        <v>121</v>
      </c>
      <c r="Q690" t="s">
        <v>2846</v>
      </c>
      <c r="R690" s="34">
        <v>963.136</v>
      </c>
      <c r="S690" s="31">
        <v>4</v>
      </c>
      <c r="T690" s="35">
        <v>0.2</v>
      </c>
      <c r="U690" s="31">
        <v>108.3528</v>
      </c>
    </row>
    <row r="691" spans="1:21">
      <c r="A691" s="31">
        <v>690</v>
      </c>
      <c r="B691" t="s">
        <v>39</v>
      </c>
      <c r="C691" s="32">
        <v>41854</v>
      </c>
      <c r="D691" s="32">
        <v>41856</v>
      </c>
      <c r="E691" t="s">
        <v>40</v>
      </c>
      <c r="F691" s="33" t="s">
        <v>2847</v>
      </c>
      <c r="G691" t="s">
        <v>2848</v>
      </c>
      <c r="H691" t="s">
        <v>18</v>
      </c>
      <c r="I691" t="s">
        <v>43</v>
      </c>
      <c r="J691" t="s">
        <v>2784</v>
      </c>
      <c r="K691" t="s">
        <v>215</v>
      </c>
      <c r="L691" s="31">
        <v>85301</v>
      </c>
      <c r="M691" t="s">
        <v>11</v>
      </c>
      <c r="N691" s="33" t="s">
        <v>2849</v>
      </c>
      <c r="O691" t="s">
        <v>21</v>
      </c>
      <c r="P691" t="s">
        <v>75</v>
      </c>
      <c r="Q691" t="s">
        <v>2850</v>
      </c>
      <c r="R691" s="34">
        <v>93.024</v>
      </c>
      <c r="S691" s="31">
        <v>3</v>
      </c>
      <c r="T691" s="35">
        <v>0.2</v>
      </c>
      <c r="U691" s="31">
        <v>33.7212</v>
      </c>
    </row>
    <row r="692" spans="1:21">
      <c r="A692" s="31">
        <v>691</v>
      </c>
      <c r="B692" t="s">
        <v>56</v>
      </c>
      <c r="C692" s="32">
        <v>41894</v>
      </c>
      <c r="D692" s="32">
        <v>41898</v>
      </c>
      <c r="E692" t="s">
        <v>40</v>
      </c>
      <c r="F692" s="33" t="s">
        <v>2851</v>
      </c>
      <c r="G692" t="s">
        <v>2852</v>
      </c>
      <c r="H692" t="s">
        <v>16</v>
      </c>
      <c r="I692" t="s">
        <v>43</v>
      </c>
      <c r="J692" t="s">
        <v>136</v>
      </c>
      <c r="K692" t="s">
        <v>87</v>
      </c>
      <c r="L692" s="31">
        <v>77070</v>
      </c>
      <c r="M692" t="s">
        <v>8</v>
      </c>
      <c r="N692" s="33" t="s">
        <v>2853</v>
      </c>
      <c r="O692" t="s">
        <v>21</v>
      </c>
      <c r="P692" t="s">
        <v>82</v>
      </c>
      <c r="Q692" t="s">
        <v>2854</v>
      </c>
      <c r="R692" s="34">
        <v>5.18</v>
      </c>
      <c r="S692" s="31">
        <v>5</v>
      </c>
      <c r="T692" s="35">
        <v>0.8</v>
      </c>
      <c r="U692" s="31">
        <v>-8.029</v>
      </c>
    </row>
    <row r="693" spans="1:21">
      <c r="A693" s="31">
        <v>692</v>
      </c>
      <c r="B693" t="s">
        <v>39</v>
      </c>
      <c r="C693" s="32">
        <v>41883</v>
      </c>
      <c r="D693" s="32">
        <v>41886</v>
      </c>
      <c r="E693" t="s">
        <v>139</v>
      </c>
      <c r="F693" s="33" t="s">
        <v>2855</v>
      </c>
      <c r="G693" t="s">
        <v>2856</v>
      </c>
      <c r="H693" t="s">
        <v>16</v>
      </c>
      <c r="I693" t="s">
        <v>43</v>
      </c>
      <c r="J693" t="s">
        <v>136</v>
      </c>
      <c r="K693" t="s">
        <v>87</v>
      </c>
      <c r="L693" s="31">
        <v>77036</v>
      </c>
      <c r="M693" t="s">
        <v>8</v>
      </c>
      <c r="N693" s="33" t="s">
        <v>2020</v>
      </c>
      <c r="O693" t="s">
        <v>21</v>
      </c>
      <c r="P693" t="s">
        <v>82</v>
      </c>
      <c r="Q693" t="s">
        <v>2021</v>
      </c>
      <c r="R693" s="34">
        <v>3.648</v>
      </c>
      <c r="S693" s="31">
        <v>3</v>
      </c>
      <c r="T693" s="35">
        <v>0.8</v>
      </c>
      <c r="U693" s="31">
        <v>-6.0192</v>
      </c>
    </row>
    <row r="694" spans="1:21">
      <c r="A694" s="31">
        <v>693</v>
      </c>
      <c r="B694" t="s">
        <v>39</v>
      </c>
      <c r="C694" s="32">
        <v>43087</v>
      </c>
      <c r="D694" s="32">
        <v>43091</v>
      </c>
      <c r="E694" t="s">
        <v>57</v>
      </c>
      <c r="F694" s="33" t="s">
        <v>2857</v>
      </c>
      <c r="G694" t="s">
        <v>2858</v>
      </c>
      <c r="H694" t="s">
        <v>17</v>
      </c>
      <c r="I694" t="s">
        <v>43</v>
      </c>
      <c r="J694" t="s">
        <v>118</v>
      </c>
      <c r="K694" t="s">
        <v>119</v>
      </c>
      <c r="L694" s="31">
        <v>19134</v>
      </c>
      <c r="M694" t="s">
        <v>9</v>
      </c>
      <c r="N694" s="33" t="s">
        <v>2859</v>
      </c>
      <c r="O694" t="s">
        <v>21</v>
      </c>
      <c r="P694" t="s">
        <v>108</v>
      </c>
      <c r="Q694" t="s">
        <v>2860</v>
      </c>
      <c r="R694" s="34">
        <v>18.704</v>
      </c>
      <c r="S694" s="31">
        <v>7</v>
      </c>
      <c r="T694" s="35">
        <v>0.2</v>
      </c>
      <c r="U694" s="31">
        <v>2.338</v>
      </c>
    </row>
    <row r="695" spans="1:21">
      <c r="A695" s="31">
        <v>694</v>
      </c>
      <c r="B695" t="s">
        <v>39</v>
      </c>
      <c r="C695" s="32">
        <v>42492</v>
      </c>
      <c r="D695" s="32">
        <v>42492</v>
      </c>
      <c r="E695" t="s">
        <v>755</v>
      </c>
      <c r="F695" s="33" t="s">
        <v>2861</v>
      </c>
      <c r="G695" t="s">
        <v>2862</v>
      </c>
      <c r="H695" t="s">
        <v>16</v>
      </c>
      <c r="I695" t="s">
        <v>43</v>
      </c>
      <c r="J695" t="s">
        <v>193</v>
      </c>
      <c r="K695" t="s">
        <v>194</v>
      </c>
      <c r="L695" s="31">
        <v>10024</v>
      </c>
      <c r="M695" t="s">
        <v>9</v>
      </c>
      <c r="N695" s="33" t="s">
        <v>834</v>
      </c>
      <c r="O695" t="s">
        <v>21</v>
      </c>
      <c r="P695" t="s">
        <v>96</v>
      </c>
      <c r="Q695" t="s">
        <v>835</v>
      </c>
      <c r="R695" s="34">
        <v>44.94</v>
      </c>
      <c r="S695" s="31">
        <v>3</v>
      </c>
      <c r="T695" s="35">
        <v>0</v>
      </c>
      <c r="U695" s="31">
        <v>12.5832</v>
      </c>
    </row>
    <row r="696" spans="1:21">
      <c r="A696" s="31">
        <v>695</v>
      </c>
      <c r="B696" t="s">
        <v>56</v>
      </c>
      <c r="C696" s="32">
        <v>42694</v>
      </c>
      <c r="D696" s="32">
        <v>42701</v>
      </c>
      <c r="E696" t="s">
        <v>57</v>
      </c>
      <c r="F696" s="33" t="s">
        <v>2863</v>
      </c>
      <c r="G696" t="s">
        <v>2864</v>
      </c>
      <c r="H696" t="s">
        <v>17</v>
      </c>
      <c r="I696" t="s">
        <v>43</v>
      </c>
      <c r="J696" t="s">
        <v>136</v>
      </c>
      <c r="K696" t="s">
        <v>87</v>
      </c>
      <c r="L696" s="31">
        <v>77095</v>
      </c>
      <c r="M696" t="s">
        <v>8</v>
      </c>
      <c r="N696" s="33" t="s">
        <v>2865</v>
      </c>
      <c r="O696" t="s">
        <v>20</v>
      </c>
      <c r="P696" t="s">
        <v>121</v>
      </c>
      <c r="Q696" t="s">
        <v>2866</v>
      </c>
      <c r="R696" s="34">
        <v>318.43</v>
      </c>
      <c r="S696" s="31">
        <v>5</v>
      </c>
      <c r="T696" s="35">
        <v>0.3</v>
      </c>
      <c r="U696" s="31">
        <v>-77.333</v>
      </c>
    </row>
    <row r="697" spans="1:21">
      <c r="A697" s="31">
        <v>696</v>
      </c>
      <c r="B697" t="s">
        <v>39</v>
      </c>
      <c r="C697" s="32">
        <v>43070</v>
      </c>
      <c r="D697" s="32">
        <v>43074</v>
      </c>
      <c r="E697" t="s">
        <v>57</v>
      </c>
      <c r="F697" s="33" t="s">
        <v>2867</v>
      </c>
      <c r="G697" t="s">
        <v>2868</v>
      </c>
      <c r="H697" t="s">
        <v>16</v>
      </c>
      <c r="I697" t="s">
        <v>43</v>
      </c>
      <c r="J697" t="s">
        <v>484</v>
      </c>
      <c r="K697" t="s">
        <v>87</v>
      </c>
      <c r="L697" s="31">
        <v>75051</v>
      </c>
      <c r="M697" t="s">
        <v>8</v>
      </c>
      <c r="N697" s="33" t="s">
        <v>2869</v>
      </c>
      <c r="O697" t="s">
        <v>22</v>
      </c>
      <c r="P697" t="s">
        <v>144</v>
      </c>
      <c r="Q697" t="s">
        <v>2870</v>
      </c>
      <c r="R697" s="34">
        <v>219.8</v>
      </c>
      <c r="S697" s="31">
        <v>5</v>
      </c>
      <c r="T697" s="35">
        <v>0.2</v>
      </c>
      <c r="U697" s="31">
        <v>24.7275</v>
      </c>
    </row>
    <row r="698" spans="1:21">
      <c r="A698" s="31">
        <v>697</v>
      </c>
      <c r="B698" t="s">
        <v>39</v>
      </c>
      <c r="C698" s="32">
        <v>42842</v>
      </c>
      <c r="D698" s="32">
        <v>42844</v>
      </c>
      <c r="E698" t="s">
        <v>139</v>
      </c>
      <c r="F698" s="33" t="s">
        <v>2871</v>
      </c>
      <c r="G698" t="s">
        <v>2872</v>
      </c>
      <c r="H698" t="s">
        <v>16</v>
      </c>
      <c r="I698" t="s">
        <v>43</v>
      </c>
      <c r="J698" t="s">
        <v>118</v>
      </c>
      <c r="K698" t="s">
        <v>119</v>
      </c>
      <c r="L698" s="31">
        <v>19120</v>
      </c>
      <c r="M698" t="s">
        <v>9</v>
      </c>
      <c r="N698" s="33" t="s">
        <v>2873</v>
      </c>
      <c r="O698" t="s">
        <v>20</v>
      </c>
      <c r="P698" t="s">
        <v>68</v>
      </c>
      <c r="Q698" t="s">
        <v>2874</v>
      </c>
      <c r="R698" s="34">
        <v>60.312</v>
      </c>
      <c r="S698" s="31">
        <v>3</v>
      </c>
      <c r="T698" s="35">
        <v>0.2</v>
      </c>
      <c r="U698" s="31">
        <v>5.2773</v>
      </c>
    </row>
    <row r="699" spans="1:21">
      <c r="A699" s="31">
        <v>698</v>
      </c>
      <c r="B699" t="s">
        <v>56</v>
      </c>
      <c r="C699" s="32">
        <v>42687</v>
      </c>
      <c r="D699" s="32">
        <v>42691</v>
      </c>
      <c r="E699" t="s">
        <v>57</v>
      </c>
      <c r="F699" s="33" t="s">
        <v>2875</v>
      </c>
      <c r="G699" t="s">
        <v>2876</v>
      </c>
      <c r="H699" t="s">
        <v>18</v>
      </c>
      <c r="I699" t="s">
        <v>43</v>
      </c>
      <c r="J699" t="s">
        <v>2877</v>
      </c>
      <c r="K699" t="s">
        <v>154</v>
      </c>
      <c r="L699" s="31">
        <v>60035</v>
      </c>
      <c r="M699" t="s">
        <v>8</v>
      </c>
      <c r="N699" s="33" t="s">
        <v>2878</v>
      </c>
      <c r="O699" t="s">
        <v>21</v>
      </c>
      <c r="P699" t="s">
        <v>82</v>
      </c>
      <c r="Q699" t="s">
        <v>2879</v>
      </c>
      <c r="R699" s="34">
        <v>3.136</v>
      </c>
      <c r="S699" s="31">
        <v>2</v>
      </c>
      <c r="T699" s="35">
        <v>0.8</v>
      </c>
      <c r="U699" s="31">
        <v>-4.704</v>
      </c>
    </row>
    <row r="700" spans="1:21">
      <c r="A700" s="31">
        <v>699</v>
      </c>
      <c r="B700" t="s">
        <v>39</v>
      </c>
      <c r="C700" s="32">
        <v>41957</v>
      </c>
      <c r="D700" s="32">
        <v>41958</v>
      </c>
      <c r="E700" t="s">
        <v>139</v>
      </c>
      <c r="F700" s="33" t="s">
        <v>2880</v>
      </c>
      <c r="G700" t="s">
        <v>2881</v>
      </c>
      <c r="H700" t="s">
        <v>17</v>
      </c>
      <c r="I700" t="s">
        <v>43</v>
      </c>
      <c r="J700" t="s">
        <v>390</v>
      </c>
      <c r="K700" t="s">
        <v>87</v>
      </c>
      <c r="L700" s="31">
        <v>77506</v>
      </c>
      <c r="M700" t="s">
        <v>8</v>
      </c>
      <c r="N700" s="33" t="s">
        <v>2882</v>
      </c>
      <c r="O700" t="s">
        <v>21</v>
      </c>
      <c r="P700" t="s">
        <v>75</v>
      </c>
      <c r="Q700" t="s">
        <v>2883</v>
      </c>
      <c r="R700" s="34">
        <v>20.736</v>
      </c>
      <c r="S700" s="31">
        <v>4</v>
      </c>
      <c r="T700" s="35">
        <v>0.2</v>
      </c>
      <c r="U700" s="31">
        <v>7.2576</v>
      </c>
    </row>
    <row r="701" spans="1:21">
      <c r="A701" s="31">
        <v>700</v>
      </c>
      <c r="B701" t="s">
        <v>39</v>
      </c>
      <c r="C701" s="32">
        <v>41781</v>
      </c>
      <c r="D701" s="32">
        <v>41788</v>
      </c>
      <c r="E701" t="s">
        <v>57</v>
      </c>
      <c r="F701" s="33" t="s">
        <v>2884</v>
      </c>
      <c r="G701" t="s">
        <v>2885</v>
      </c>
      <c r="H701" t="s">
        <v>16</v>
      </c>
      <c r="I701" t="s">
        <v>43</v>
      </c>
      <c r="J701" t="s">
        <v>240</v>
      </c>
      <c r="K701" t="s">
        <v>241</v>
      </c>
      <c r="L701" s="31">
        <v>35601</v>
      </c>
      <c r="M701" t="s">
        <v>10</v>
      </c>
      <c r="N701" s="33" t="s">
        <v>1809</v>
      </c>
      <c r="O701" t="s">
        <v>22</v>
      </c>
      <c r="P701" t="s">
        <v>144</v>
      </c>
      <c r="Q701" t="s">
        <v>1810</v>
      </c>
      <c r="R701" s="34">
        <v>135.98</v>
      </c>
      <c r="S701" s="31">
        <v>2</v>
      </c>
      <c r="T701" s="35">
        <v>0</v>
      </c>
      <c r="U701" s="31">
        <v>33.995</v>
      </c>
    </row>
    <row r="702" spans="1:21">
      <c r="A702" s="31">
        <v>701</v>
      </c>
      <c r="B702" t="s">
        <v>39</v>
      </c>
      <c r="C702" s="32">
        <v>41993</v>
      </c>
      <c r="D702" s="32">
        <v>41998</v>
      </c>
      <c r="E702" t="s">
        <v>57</v>
      </c>
      <c r="F702" s="33" t="s">
        <v>2886</v>
      </c>
      <c r="G702" t="s">
        <v>2887</v>
      </c>
      <c r="H702" t="s">
        <v>16</v>
      </c>
      <c r="I702" t="s">
        <v>43</v>
      </c>
      <c r="J702" t="s">
        <v>563</v>
      </c>
      <c r="K702" t="s">
        <v>231</v>
      </c>
      <c r="L702" s="31">
        <v>38401</v>
      </c>
      <c r="M702" t="s">
        <v>10</v>
      </c>
      <c r="N702" s="33" t="s">
        <v>2888</v>
      </c>
      <c r="O702" t="s">
        <v>21</v>
      </c>
      <c r="P702" t="s">
        <v>89</v>
      </c>
      <c r="Q702" t="s">
        <v>2889</v>
      </c>
      <c r="R702" s="34">
        <v>43.512</v>
      </c>
      <c r="S702" s="31">
        <v>7</v>
      </c>
      <c r="T702" s="35">
        <v>0.2</v>
      </c>
      <c r="U702" s="31">
        <v>3.8073</v>
      </c>
    </row>
    <row r="703" spans="1:21">
      <c r="A703" s="31">
        <v>702</v>
      </c>
      <c r="B703" t="s">
        <v>56</v>
      </c>
      <c r="C703" s="32">
        <v>42968</v>
      </c>
      <c r="D703" s="32">
        <v>42969</v>
      </c>
      <c r="E703" t="s">
        <v>139</v>
      </c>
      <c r="F703" s="33" t="s">
        <v>2890</v>
      </c>
      <c r="G703" t="s">
        <v>2891</v>
      </c>
      <c r="H703" t="s">
        <v>16</v>
      </c>
      <c r="I703" t="s">
        <v>43</v>
      </c>
      <c r="J703" t="s">
        <v>1740</v>
      </c>
      <c r="K703" t="s">
        <v>52</v>
      </c>
      <c r="L703" s="31">
        <v>94601</v>
      </c>
      <c r="M703" t="s">
        <v>11</v>
      </c>
      <c r="N703" s="33" t="s">
        <v>1673</v>
      </c>
      <c r="O703" t="s">
        <v>21</v>
      </c>
      <c r="P703" t="s">
        <v>108</v>
      </c>
      <c r="Q703" t="s">
        <v>1674</v>
      </c>
      <c r="R703" s="34">
        <v>17.12</v>
      </c>
      <c r="S703" s="31">
        <v>4</v>
      </c>
      <c r="T703" s="35">
        <v>0</v>
      </c>
      <c r="U703" s="31">
        <v>4.9648</v>
      </c>
    </row>
    <row r="704" spans="1:21">
      <c r="A704" s="31">
        <v>703</v>
      </c>
      <c r="B704" t="s">
        <v>39</v>
      </c>
      <c r="C704" s="32">
        <v>41670</v>
      </c>
      <c r="D704" s="32">
        <v>41672</v>
      </c>
      <c r="E704" t="s">
        <v>139</v>
      </c>
      <c r="F704" s="33" t="s">
        <v>2892</v>
      </c>
      <c r="G704" t="s">
        <v>2893</v>
      </c>
      <c r="H704" t="s">
        <v>16</v>
      </c>
      <c r="I704" t="s">
        <v>43</v>
      </c>
      <c r="J704" t="s">
        <v>1194</v>
      </c>
      <c r="K704" t="s">
        <v>52</v>
      </c>
      <c r="L704" s="31">
        <v>92691</v>
      </c>
      <c r="M704" t="s">
        <v>11</v>
      </c>
      <c r="N704" s="33" t="s">
        <v>2894</v>
      </c>
      <c r="O704" t="s">
        <v>20</v>
      </c>
      <c r="P704" t="s">
        <v>47</v>
      </c>
      <c r="Q704" t="s">
        <v>2895</v>
      </c>
      <c r="R704" s="34">
        <v>290.666</v>
      </c>
      <c r="S704" s="31">
        <v>2</v>
      </c>
      <c r="T704" s="35">
        <v>0.15</v>
      </c>
      <c r="U704" s="31">
        <v>3.4196</v>
      </c>
    </row>
    <row r="705" spans="1:21">
      <c r="A705" s="31">
        <v>704</v>
      </c>
      <c r="B705" t="s">
        <v>39</v>
      </c>
      <c r="C705" s="32">
        <v>42675</v>
      </c>
      <c r="D705" s="32">
        <v>42678</v>
      </c>
      <c r="E705" t="s">
        <v>139</v>
      </c>
      <c r="F705" s="33" t="s">
        <v>2896</v>
      </c>
      <c r="G705" t="s">
        <v>2897</v>
      </c>
      <c r="H705" t="s">
        <v>17</v>
      </c>
      <c r="I705" t="s">
        <v>43</v>
      </c>
      <c r="J705" t="s">
        <v>2898</v>
      </c>
      <c r="K705" t="s">
        <v>87</v>
      </c>
      <c r="L705" s="31">
        <v>77301</v>
      </c>
      <c r="M705" t="s">
        <v>8</v>
      </c>
      <c r="N705" s="33" t="s">
        <v>2899</v>
      </c>
      <c r="O705" t="s">
        <v>21</v>
      </c>
      <c r="P705" t="s">
        <v>96</v>
      </c>
      <c r="Q705" t="s">
        <v>2900</v>
      </c>
      <c r="R705" s="34">
        <v>111.672</v>
      </c>
      <c r="S705" s="31">
        <v>9</v>
      </c>
      <c r="T705" s="35">
        <v>0.2</v>
      </c>
      <c r="U705" s="31">
        <v>6.9795</v>
      </c>
    </row>
    <row r="706" spans="1:21">
      <c r="A706" s="31">
        <v>705</v>
      </c>
      <c r="B706" t="s">
        <v>39</v>
      </c>
      <c r="C706" s="32">
        <v>41964</v>
      </c>
      <c r="D706" s="32">
        <v>41969</v>
      </c>
      <c r="E706" t="s">
        <v>57</v>
      </c>
      <c r="F706" s="33" t="s">
        <v>2901</v>
      </c>
      <c r="G706" t="s">
        <v>2902</v>
      </c>
      <c r="H706" t="s">
        <v>17</v>
      </c>
      <c r="I706" t="s">
        <v>43</v>
      </c>
      <c r="J706" t="s">
        <v>1110</v>
      </c>
      <c r="K706" t="s">
        <v>45</v>
      </c>
      <c r="L706" s="31">
        <v>40475</v>
      </c>
      <c r="M706" t="s">
        <v>10</v>
      </c>
      <c r="N706" s="33" t="s">
        <v>1593</v>
      </c>
      <c r="O706" t="s">
        <v>22</v>
      </c>
      <c r="P706" t="s">
        <v>144</v>
      </c>
      <c r="Q706" t="s">
        <v>1594</v>
      </c>
      <c r="R706" s="34">
        <v>36.99</v>
      </c>
      <c r="S706" s="31">
        <v>1</v>
      </c>
      <c r="T706" s="35">
        <v>0</v>
      </c>
      <c r="U706" s="31">
        <v>9.9873</v>
      </c>
    </row>
    <row r="707" spans="1:21">
      <c r="A707" s="31">
        <v>706</v>
      </c>
      <c r="B707" t="s">
        <v>39</v>
      </c>
      <c r="C707" s="32">
        <v>42580</v>
      </c>
      <c r="D707" s="32">
        <v>42584</v>
      </c>
      <c r="E707" t="s">
        <v>57</v>
      </c>
      <c r="F707" s="33" t="s">
        <v>2903</v>
      </c>
      <c r="G707" t="s">
        <v>2904</v>
      </c>
      <c r="H707" t="s">
        <v>17</v>
      </c>
      <c r="I707" t="s">
        <v>43</v>
      </c>
      <c r="J707" t="s">
        <v>118</v>
      </c>
      <c r="K707" t="s">
        <v>119</v>
      </c>
      <c r="L707" s="31">
        <v>19140</v>
      </c>
      <c r="M707" t="s">
        <v>9</v>
      </c>
      <c r="N707" s="33" t="s">
        <v>177</v>
      </c>
      <c r="O707" t="s">
        <v>21</v>
      </c>
      <c r="P707" t="s">
        <v>96</v>
      </c>
      <c r="Q707" t="s">
        <v>178</v>
      </c>
      <c r="R707" s="34">
        <v>84.784</v>
      </c>
      <c r="S707" s="31">
        <v>2</v>
      </c>
      <c r="T707" s="35">
        <v>0.2</v>
      </c>
      <c r="U707" s="31">
        <v>-16.9568</v>
      </c>
    </row>
    <row r="708" spans="1:21">
      <c r="A708" s="31">
        <v>707</v>
      </c>
      <c r="B708" t="s">
        <v>39</v>
      </c>
      <c r="C708" s="32">
        <v>42588</v>
      </c>
      <c r="D708" s="32">
        <v>42589</v>
      </c>
      <c r="E708" t="s">
        <v>139</v>
      </c>
      <c r="F708" s="33" t="s">
        <v>2905</v>
      </c>
      <c r="G708" t="s">
        <v>2906</v>
      </c>
      <c r="H708" t="s">
        <v>17</v>
      </c>
      <c r="I708" t="s">
        <v>43</v>
      </c>
      <c r="J708" t="s">
        <v>193</v>
      </c>
      <c r="K708" t="s">
        <v>194</v>
      </c>
      <c r="L708" s="31">
        <v>10024</v>
      </c>
      <c r="M708" t="s">
        <v>9</v>
      </c>
      <c r="N708" s="33" t="s">
        <v>2907</v>
      </c>
      <c r="O708" t="s">
        <v>21</v>
      </c>
      <c r="P708" t="s">
        <v>75</v>
      </c>
      <c r="Q708" t="s">
        <v>138</v>
      </c>
      <c r="R708" s="34">
        <v>70.88</v>
      </c>
      <c r="S708" s="31">
        <v>2</v>
      </c>
      <c r="T708" s="35">
        <v>0</v>
      </c>
      <c r="U708" s="31">
        <v>33.3136</v>
      </c>
    </row>
    <row r="709" spans="1:21">
      <c r="A709" s="31">
        <v>708</v>
      </c>
      <c r="B709" t="s">
        <v>39</v>
      </c>
      <c r="C709" s="32">
        <v>42699</v>
      </c>
      <c r="D709" s="32">
        <v>42704</v>
      </c>
      <c r="E709" t="s">
        <v>57</v>
      </c>
      <c r="F709" s="33" t="s">
        <v>2908</v>
      </c>
      <c r="G709" t="s">
        <v>2909</v>
      </c>
      <c r="H709" t="s">
        <v>18</v>
      </c>
      <c r="I709" t="s">
        <v>43</v>
      </c>
      <c r="J709" t="s">
        <v>889</v>
      </c>
      <c r="K709" t="s">
        <v>61</v>
      </c>
      <c r="L709" s="31">
        <v>32216</v>
      </c>
      <c r="M709" t="s">
        <v>10</v>
      </c>
      <c r="N709" s="33" t="s">
        <v>2910</v>
      </c>
      <c r="O709" t="s">
        <v>21</v>
      </c>
      <c r="P709" t="s">
        <v>75</v>
      </c>
      <c r="Q709" t="s">
        <v>2911</v>
      </c>
      <c r="R709" s="34">
        <v>5.08</v>
      </c>
      <c r="S709" s="31">
        <v>1</v>
      </c>
      <c r="T709" s="35">
        <v>0.2</v>
      </c>
      <c r="U709" s="31">
        <v>1.651</v>
      </c>
    </row>
    <row r="710" spans="1:21">
      <c r="A710" s="31">
        <v>709</v>
      </c>
      <c r="B710" t="s">
        <v>39</v>
      </c>
      <c r="C710" s="32">
        <v>42100</v>
      </c>
      <c r="D710" s="32">
        <v>42104</v>
      </c>
      <c r="E710" t="s">
        <v>57</v>
      </c>
      <c r="F710" s="33" t="s">
        <v>2912</v>
      </c>
      <c r="G710" t="s">
        <v>2913</v>
      </c>
      <c r="H710" t="s">
        <v>16</v>
      </c>
      <c r="I710" t="s">
        <v>43</v>
      </c>
      <c r="J710" t="s">
        <v>889</v>
      </c>
      <c r="K710" t="s">
        <v>73</v>
      </c>
      <c r="L710" s="31">
        <v>28540</v>
      </c>
      <c r="M710" t="s">
        <v>10</v>
      </c>
      <c r="N710" s="33" t="s">
        <v>1473</v>
      </c>
      <c r="O710" t="s">
        <v>21</v>
      </c>
      <c r="P710" t="s">
        <v>75</v>
      </c>
      <c r="Q710" t="s">
        <v>1474</v>
      </c>
      <c r="R710" s="34">
        <v>47.952</v>
      </c>
      <c r="S710" s="31">
        <v>3</v>
      </c>
      <c r="T710" s="35">
        <v>0.2</v>
      </c>
      <c r="U710" s="31">
        <v>16.1838</v>
      </c>
    </row>
    <row r="711" spans="1:21">
      <c r="A711" s="31">
        <v>710</v>
      </c>
      <c r="B711" t="s">
        <v>39</v>
      </c>
      <c r="C711" s="32">
        <v>42835</v>
      </c>
      <c r="D711" s="32">
        <v>42835</v>
      </c>
      <c r="E711" t="s">
        <v>755</v>
      </c>
      <c r="F711" s="33" t="s">
        <v>2914</v>
      </c>
      <c r="G711" t="s">
        <v>2915</v>
      </c>
      <c r="H711" t="s">
        <v>16</v>
      </c>
      <c r="I711" t="s">
        <v>43</v>
      </c>
      <c r="J711" t="s">
        <v>1320</v>
      </c>
      <c r="K711" t="s">
        <v>87</v>
      </c>
      <c r="L711" s="31">
        <v>78745</v>
      </c>
      <c r="M711" t="s">
        <v>8</v>
      </c>
      <c r="N711" s="33" t="s">
        <v>2916</v>
      </c>
      <c r="O711" t="s">
        <v>21</v>
      </c>
      <c r="P711" t="s">
        <v>75</v>
      </c>
      <c r="Q711" t="s">
        <v>2917</v>
      </c>
      <c r="R711" s="34">
        <v>10.368</v>
      </c>
      <c r="S711" s="31">
        <v>2</v>
      </c>
      <c r="T711" s="35">
        <v>0.2</v>
      </c>
      <c r="U711" s="31">
        <v>3.6288</v>
      </c>
    </row>
    <row r="712" spans="1:21">
      <c r="A712" s="31">
        <v>711</v>
      </c>
      <c r="B712" t="s">
        <v>39</v>
      </c>
      <c r="C712" s="32">
        <v>41810</v>
      </c>
      <c r="D712" s="32">
        <v>41814</v>
      </c>
      <c r="E712" t="s">
        <v>57</v>
      </c>
      <c r="F712" s="33" t="s">
        <v>2918</v>
      </c>
      <c r="G712" t="s">
        <v>2919</v>
      </c>
      <c r="H712" t="s">
        <v>16</v>
      </c>
      <c r="I712" t="s">
        <v>43</v>
      </c>
      <c r="J712" t="s">
        <v>2920</v>
      </c>
      <c r="K712" t="s">
        <v>87</v>
      </c>
      <c r="L712" s="31">
        <v>75023</v>
      </c>
      <c r="M712" t="s">
        <v>8</v>
      </c>
      <c r="N712" s="33" t="s">
        <v>2921</v>
      </c>
      <c r="O712" t="s">
        <v>22</v>
      </c>
      <c r="P712" t="s">
        <v>144</v>
      </c>
      <c r="Q712" t="s">
        <v>2922</v>
      </c>
      <c r="R712" s="34">
        <v>201.584</v>
      </c>
      <c r="S712" s="31">
        <v>2</v>
      </c>
      <c r="T712" s="35">
        <v>0.2</v>
      </c>
      <c r="U712" s="31">
        <v>20.1584</v>
      </c>
    </row>
    <row r="713" spans="1:21">
      <c r="A713" s="31">
        <v>712</v>
      </c>
      <c r="B713" t="s">
        <v>39</v>
      </c>
      <c r="C713" s="32">
        <v>43079</v>
      </c>
      <c r="D713" s="32">
        <v>43084</v>
      </c>
      <c r="E713" t="s">
        <v>40</v>
      </c>
      <c r="F713" s="33" t="s">
        <v>2923</v>
      </c>
      <c r="G713" t="s">
        <v>2924</v>
      </c>
      <c r="H713" t="s">
        <v>18</v>
      </c>
      <c r="I713" t="s">
        <v>43</v>
      </c>
      <c r="J713" t="s">
        <v>869</v>
      </c>
      <c r="K713" t="s">
        <v>870</v>
      </c>
      <c r="L713" s="31">
        <v>39212</v>
      </c>
      <c r="M713" t="s">
        <v>10</v>
      </c>
      <c r="N713" s="33" t="s">
        <v>2925</v>
      </c>
      <c r="O713" t="s">
        <v>22</v>
      </c>
      <c r="P713" t="s">
        <v>171</v>
      </c>
      <c r="Q713" t="s">
        <v>2926</v>
      </c>
      <c r="R713" s="34">
        <v>599.97</v>
      </c>
      <c r="S713" s="31">
        <v>3</v>
      </c>
      <c r="T713" s="35">
        <v>0</v>
      </c>
      <c r="U713" s="31">
        <v>257.9871</v>
      </c>
    </row>
    <row r="714" spans="1:21">
      <c r="A714" s="31">
        <v>713</v>
      </c>
      <c r="B714" t="s">
        <v>56</v>
      </c>
      <c r="C714" s="32">
        <v>42915</v>
      </c>
      <c r="D714" s="32">
        <v>42920</v>
      </c>
      <c r="E714" t="s">
        <v>57</v>
      </c>
      <c r="F714" s="33" t="s">
        <v>2927</v>
      </c>
      <c r="G714" t="s">
        <v>2928</v>
      </c>
      <c r="H714" t="s">
        <v>17</v>
      </c>
      <c r="I714" t="s">
        <v>43</v>
      </c>
      <c r="J714" t="s">
        <v>2929</v>
      </c>
      <c r="K714" t="s">
        <v>87</v>
      </c>
      <c r="L714" s="31">
        <v>75150</v>
      </c>
      <c r="M714" t="s">
        <v>8</v>
      </c>
      <c r="N714" s="33" t="s">
        <v>1416</v>
      </c>
      <c r="O714" t="s">
        <v>21</v>
      </c>
      <c r="P714" t="s">
        <v>75</v>
      </c>
      <c r="Q714" t="s">
        <v>1417</v>
      </c>
      <c r="R714" s="34">
        <v>5.184</v>
      </c>
      <c r="S714" s="31">
        <v>1</v>
      </c>
      <c r="T714" s="35">
        <v>0.2</v>
      </c>
      <c r="U714" s="31">
        <v>1.8144</v>
      </c>
    </row>
    <row r="715" spans="1:21">
      <c r="A715" s="31">
        <v>714</v>
      </c>
      <c r="B715" t="s">
        <v>39</v>
      </c>
      <c r="C715" s="32">
        <v>41960</v>
      </c>
      <c r="D715" s="32">
        <v>41967</v>
      </c>
      <c r="E715" t="s">
        <v>57</v>
      </c>
      <c r="F715" s="33" t="s">
        <v>2930</v>
      </c>
      <c r="G715" t="s">
        <v>2931</v>
      </c>
      <c r="H715" t="s">
        <v>16</v>
      </c>
      <c r="I715" t="s">
        <v>43</v>
      </c>
      <c r="J715" t="s">
        <v>118</v>
      </c>
      <c r="K715" t="s">
        <v>119</v>
      </c>
      <c r="L715" s="31">
        <v>19143</v>
      </c>
      <c r="M715" t="s">
        <v>9</v>
      </c>
      <c r="N715" s="33" t="s">
        <v>2932</v>
      </c>
      <c r="O715" t="s">
        <v>21</v>
      </c>
      <c r="P715" t="s">
        <v>75</v>
      </c>
      <c r="Q715" t="s">
        <v>2933</v>
      </c>
      <c r="R715" s="34">
        <v>12.448</v>
      </c>
      <c r="S715" s="31">
        <v>2</v>
      </c>
      <c r="T715" s="35">
        <v>0.2</v>
      </c>
      <c r="U715" s="31">
        <v>3.89</v>
      </c>
    </row>
    <row r="716" spans="1:21">
      <c r="A716" s="31">
        <v>715</v>
      </c>
      <c r="B716" t="s">
        <v>56</v>
      </c>
      <c r="C716" s="32">
        <v>42703</v>
      </c>
      <c r="D716" s="32">
        <v>42705</v>
      </c>
      <c r="E716" t="s">
        <v>40</v>
      </c>
      <c r="F716" s="33" t="s">
        <v>2934</v>
      </c>
      <c r="G716" t="s">
        <v>2935</v>
      </c>
      <c r="H716" t="s">
        <v>17</v>
      </c>
      <c r="I716" t="s">
        <v>43</v>
      </c>
      <c r="J716" t="s">
        <v>523</v>
      </c>
      <c r="K716" t="s">
        <v>87</v>
      </c>
      <c r="L716" s="31">
        <v>75217</v>
      </c>
      <c r="M716" t="s">
        <v>8</v>
      </c>
      <c r="N716" s="33" t="s">
        <v>2936</v>
      </c>
      <c r="O716" t="s">
        <v>22</v>
      </c>
      <c r="P716" t="s">
        <v>171</v>
      </c>
      <c r="Q716" t="s">
        <v>2937</v>
      </c>
      <c r="R716" s="34">
        <v>58.416</v>
      </c>
      <c r="S716" s="31">
        <v>2</v>
      </c>
      <c r="T716" s="35">
        <v>0.2</v>
      </c>
      <c r="U716" s="31">
        <v>16.7946</v>
      </c>
    </row>
    <row r="717" spans="1:21">
      <c r="A717" s="31">
        <v>716</v>
      </c>
      <c r="B717" t="s">
        <v>39</v>
      </c>
      <c r="C717" s="32">
        <v>42858</v>
      </c>
      <c r="D717" s="32">
        <v>42863</v>
      </c>
      <c r="E717" t="s">
        <v>40</v>
      </c>
      <c r="F717" s="33" t="s">
        <v>2938</v>
      </c>
      <c r="G717" t="s">
        <v>2939</v>
      </c>
      <c r="H717" t="s">
        <v>17</v>
      </c>
      <c r="I717" t="s">
        <v>43</v>
      </c>
      <c r="J717" t="s">
        <v>51</v>
      </c>
      <c r="K717" t="s">
        <v>52</v>
      </c>
      <c r="L717" s="31">
        <v>90004</v>
      </c>
      <c r="M717" t="s">
        <v>11</v>
      </c>
      <c r="N717" s="33" t="s">
        <v>2940</v>
      </c>
      <c r="O717" t="s">
        <v>21</v>
      </c>
      <c r="P717" t="s">
        <v>96</v>
      </c>
      <c r="Q717" t="s">
        <v>2941</v>
      </c>
      <c r="R717" s="34">
        <v>69.52</v>
      </c>
      <c r="S717" s="31">
        <v>2</v>
      </c>
      <c r="T717" s="35">
        <v>0</v>
      </c>
      <c r="U717" s="31">
        <v>19.4656</v>
      </c>
    </row>
    <row r="718" spans="1:21">
      <c r="A718" s="31">
        <v>717</v>
      </c>
      <c r="B718" t="s">
        <v>39</v>
      </c>
      <c r="C718" s="32">
        <v>42378</v>
      </c>
      <c r="D718" s="32">
        <v>42382</v>
      </c>
      <c r="E718" t="s">
        <v>40</v>
      </c>
      <c r="F718" s="33" t="s">
        <v>2942</v>
      </c>
      <c r="G718" t="s">
        <v>2943</v>
      </c>
      <c r="H718" t="s">
        <v>17</v>
      </c>
      <c r="I718" t="s">
        <v>43</v>
      </c>
      <c r="J718" t="s">
        <v>1702</v>
      </c>
      <c r="K718" t="s">
        <v>331</v>
      </c>
      <c r="L718" s="31">
        <v>43615</v>
      </c>
      <c r="M718" t="s">
        <v>9</v>
      </c>
      <c r="N718" s="33" t="s">
        <v>2944</v>
      </c>
      <c r="O718" t="s">
        <v>20</v>
      </c>
      <c r="P718" t="s">
        <v>68</v>
      </c>
      <c r="Q718" t="s">
        <v>2945</v>
      </c>
      <c r="R718" s="34">
        <v>15.168</v>
      </c>
      <c r="S718" s="31">
        <v>2</v>
      </c>
      <c r="T718" s="35">
        <v>0.2</v>
      </c>
      <c r="U718" s="31">
        <v>3.792</v>
      </c>
    </row>
    <row r="719" spans="1:21">
      <c r="A719" s="31">
        <v>718</v>
      </c>
      <c r="B719" t="s">
        <v>39</v>
      </c>
      <c r="C719" s="32">
        <v>42800</v>
      </c>
      <c r="D719" s="32">
        <v>42805</v>
      </c>
      <c r="E719" t="s">
        <v>40</v>
      </c>
      <c r="F719" s="33" t="s">
        <v>2946</v>
      </c>
      <c r="G719" t="s">
        <v>2947</v>
      </c>
      <c r="H719" t="s">
        <v>16</v>
      </c>
      <c r="I719" t="s">
        <v>43</v>
      </c>
      <c r="J719" t="s">
        <v>193</v>
      </c>
      <c r="K719" t="s">
        <v>194</v>
      </c>
      <c r="L719" s="31">
        <v>10011</v>
      </c>
      <c r="M719" t="s">
        <v>9</v>
      </c>
      <c r="N719" s="33" t="s">
        <v>2948</v>
      </c>
      <c r="O719" t="s">
        <v>21</v>
      </c>
      <c r="P719" t="s">
        <v>75</v>
      </c>
      <c r="Q719" t="s">
        <v>2949</v>
      </c>
      <c r="R719" s="34">
        <v>26.38</v>
      </c>
      <c r="S719" s="31">
        <v>1</v>
      </c>
      <c r="T719" s="35">
        <v>0</v>
      </c>
      <c r="U719" s="31">
        <v>12.1348</v>
      </c>
    </row>
    <row r="720" spans="1:21">
      <c r="A720" s="31">
        <v>719</v>
      </c>
      <c r="B720" t="s">
        <v>39</v>
      </c>
      <c r="C720" s="32">
        <v>42446</v>
      </c>
      <c r="D720" s="32">
        <v>42446</v>
      </c>
      <c r="E720" t="s">
        <v>755</v>
      </c>
      <c r="F720" s="33" t="s">
        <v>2950</v>
      </c>
      <c r="G720" t="s">
        <v>2951</v>
      </c>
      <c r="H720" t="s">
        <v>16</v>
      </c>
      <c r="I720" t="s">
        <v>43</v>
      </c>
      <c r="J720" t="s">
        <v>393</v>
      </c>
      <c r="K720" t="s">
        <v>182</v>
      </c>
      <c r="L720" s="31">
        <v>19711</v>
      </c>
      <c r="M720" t="s">
        <v>9</v>
      </c>
      <c r="N720" s="33" t="s">
        <v>2952</v>
      </c>
      <c r="O720" t="s">
        <v>22</v>
      </c>
      <c r="P720" t="s">
        <v>144</v>
      </c>
      <c r="Q720" t="s">
        <v>2953</v>
      </c>
      <c r="R720" s="34">
        <v>129.98</v>
      </c>
      <c r="S720" s="31">
        <v>2</v>
      </c>
      <c r="T720" s="35">
        <v>0</v>
      </c>
      <c r="U720" s="31">
        <v>62.3904</v>
      </c>
    </row>
    <row r="721" spans="1:21">
      <c r="A721" s="31">
        <v>720</v>
      </c>
      <c r="B721" t="s">
        <v>56</v>
      </c>
      <c r="C721" s="32">
        <v>41666</v>
      </c>
      <c r="D721" s="32">
        <v>41672</v>
      </c>
      <c r="E721" t="s">
        <v>57</v>
      </c>
      <c r="F721" s="33" t="s">
        <v>2954</v>
      </c>
      <c r="G721" t="s">
        <v>2955</v>
      </c>
      <c r="H721" t="s">
        <v>16</v>
      </c>
      <c r="I721" t="s">
        <v>43</v>
      </c>
      <c r="J721" t="s">
        <v>588</v>
      </c>
      <c r="K721" t="s">
        <v>52</v>
      </c>
      <c r="L721" s="31">
        <v>92037</v>
      </c>
      <c r="M721" t="s">
        <v>11</v>
      </c>
      <c r="N721" s="33" t="s">
        <v>2956</v>
      </c>
      <c r="O721" t="s">
        <v>21</v>
      </c>
      <c r="P721" t="s">
        <v>96</v>
      </c>
      <c r="Q721" t="s">
        <v>2957</v>
      </c>
      <c r="R721" s="34">
        <v>57.23</v>
      </c>
      <c r="S721" s="31">
        <v>1</v>
      </c>
      <c r="T721" s="35">
        <v>0</v>
      </c>
      <c r="U721" s="31">
        <v>14.3075</v>
      </c>
    </row>
    <row r="722" spans="1:21">
      <c r="A722" s="31">
        <v>721</v>
      </c>
      <c r="B722" t="s">
        <v>39</v>
      </c>
      <c r="C722" s="32">
        <v>42657</v>
      </c>
      <c r="D722" s="32">
        <v>42663</v>
      </c>
      <c r="E722" t="s">
        <v>57</v>
      </c>
      <c r="F722" s="33" t="s">
        <v>2958</v>
      </c>
      <c r="G722" t="s">
        <v>2959</v>
      </c>
      <c r="H722" t="s">
        <v>16</v>
      </c>
      <c r="I722" t="s">
        <v>43</v>
      </c>
      <c r="J722" t="s">
        <v>889</v>
      </c>
      <c r="K722" t="s">
        <v>73</v>
      </c>
      <c r="L722" s="31">
        <v>28540</v>
      </c>
      <c r="M722" t="s">
        <v>10</v>
      </c>
      <c r="N722" s="33" t="s">
        <v>2960</v>
      </c>
      <c r="O722" t="s">
        <v>20</v>
      </c>
      <c r="P722" t="s">
        <v>121</v>
      </c>
      <c r="Q722" t="s">
        <v>2961</v>
      </c>
      <c r="R722" s="34">
        <v>102.592</v>
      </c>
      <c r="S722" s="31">
        <v>1</v>
      </c>
      <c r="T722" s="35">
        <v>0.2</v>
      </c>
      <c r="U722" s="31">
        <v>10.2592</v>
      </c>
    </row>
    <row r="723" spans="1:21">
      <c r="A723" s="31">
        <v>722</v>
      </c>
      <c r="B723" t="s">
        <v>56</v>
      </c>
      <c r="C723" s="32">
        <v>42322</v>
      </c>
      <c r="D723" s="32">
        <v>42327</v>
      </c>
      <c r="E723" t="s">
        <v>57</v>
      </c>
      <c r="F723" s="33" t="s">
        <v>2962</v>
      </c>
      <c r="G723" t="s">
        <v>2963</v>
      </c>
      <c r="H723" t="s">
        <v>16</v>
      </c>
      <c r="I723" t="s">
        <v>43</v>
      </c>
      <c r="J723" t="s">
        <v>181</v>
      </c>
      <c r="K723" t="s">
        <v>182</v>
      </c>
      <c r="L723" s="31">
        <v>19901</v>
      </c>
      <c r="M723" t="s">
        <v>9</v>
      </c>
      <c r="N723" s="33" t="s">
        <v>2964</v>
      </c>
      <c r="O723" t="s">
        <v>20</v>
      </c>
      <c r="P723" t="s">
        <v>68</v>
      </c>
      <c r="Q723" t="s">
        <v>2965</v>
      </c>
      <c r="R723" s="34">
        <v>76.14</v>
      </c>
      <c r="S723" s="31">
        <v>3</v>
      </c>
      <c r="T723" s="35">
        <v>0</v>
      </c>
      <c r="U723" s="31">
        <v>26.649</v>
      </c>
    </row>
    <row r="724" spans="1:21">
      <c r="A724" s="31">
        <v>723</v>
      </c>
      <c r="B724" t="s">
        <v>56</v>
      </c>
      <c r="C724" s="32">
        <v>41798</v>
      </c>
      <c r="D724" s="32">
        <v>41802</v>
      </c>
      <c r="E724" t="s">
        <v>57</v>
      </c>
      <c r="F724" s="33" t="s">
        <v>2966</v>
      </c>
      <c r="G724" t="s">
        <v>2967</v>
      </c>
      <c r="H724" t="s">
        <v>17</v>
      </c>
      <c r="I724" t="s">
        <v>43</v>
      </c>
      <c r="J724" t="s">
        <v>340</v>
      </c>
      <c r="K724" t="s">
        <v>231</v>
      </c>
      <c r="L724" s="31">
        <v>37620</v>
      </c>
      <c r="M724" t="s">
        <v>10</v>
      </c>
      <c r="N724" s="33" t="s">
        <v>1408</v>
      </c>
      <c r="O724" t="s">
        <v>20</v>
      </c>
      <c r="P724" t="s">
        <v>121</v>
      </c>
      <c r="Q724" t="s">
        <v>1409</v>
      </c>
      <c r="R724" s="34">
        <v>170.352</v>
      </c>
      <c r="S724" s="31">
        <v>3</v>
      </c>
      <c r="T724" s="35">
        <v>0.2</v>
      </c>
      <c r="U724" s="31">
        <v>10.647</v>
      </c>
    </row>
    <row r="725" spans="1:21">
      <c r="A725" s="31">
        <v>724</v>
      </c>
      <c r="B725" t="s">
        <v>39</v>
      </c>
      <c r="C725" s="32">
        <v>42268</v>
      </c>
      <c r="D725" s="32">
        <v>42268</v>
      </c>
      <c r="E725" t="s">
        <v>755</v>
      </c>
      <c r="F725" s="33" t="s">
        <v>2968</v>
      </c>
      <c r="G725" t="s">
        <v>2969</v>
      </c>
      <c r="H725" t="s">
        <v>18</v>
      </c>
      <c r="I725" t="s">
        <v>43</v>
      </c>
      <c r="J725" t="s">
        <v>773</v>
      </c>
      <c r="K725" t="s">
        <v>735</v>
      </c>
      <c r="L725" s="31">
        <v>2169</v>
      </c>
      <c r="M725" t="s">
        <v>9</v>
      </c>
      <c r="N725" s="33" t="s">
        <v>2970</v>
      </c>
      <c r="O725" t="s">
        <v>20</v>
      </c>
      <c r="P725" t="s">
        <v>68</v>
      </c>
      <c r="Q725" t="s">
        <v>2971</v>
      </c>
      <c r="R725" s="34">
        <v>85.3</v>
      </c>
      <c r="S725" s="31">
        <v>2</v>
      </c>
      <c r="T725" s="35">
        <v>0</v>
      </c>
      <c r="U725" s="31">
        <v>14.501</v>
      </c>
    </row>
    <row r="726" spans="1:21">
      <c r="A726" s="31">
        <v>725</v>
      </c>
      <c r="B726" t="s">
        <v>39</v>
      </c>
      <c r="C726" s="32">
        <v>42170</v>
      </c>
      <c r="D726" s="32">
        <v>42175</v>
      </c>
      <c r="E726" t="s">
        <v>57</v>
      </c>
      <c r="F726" s="33" t="s">
        <v>2972</v>
      </c>
      <c r="G726" t="s">
        <v>2973</v>
      </c>
      <c r="H726" t="s">
        <v>16</v>
      </c>
      <c r="I726" t="s">
        <v>43</v>
      </c>
      <c r="J726" t="s">
        <v>214</v>
      </c>
      <c r="K726" t="s">
        <v>215</v>
      </c>
      <c r="L726" s="31">
        <v>85234</v>
      </c>
      <c r="M726" t="s">
        <v>11</v>
      </c>
      <c r="N726" s="33" t="s">
        <v>2974</v>
      </c>
      <c r="O726" t="s">
        <v>21</v>
      </c>
      <c r="P726" t="s">
        <v>75</v>
      </c>
      <c r="Q726" t="s">
        <v>2975</v>
      </c>
      <c r="R726" s="34">
        <v>9.568</v>
      </c>
      <c r="S726" s="31">
        <v>2</v>
      </c>
      <c r="T726" s="35">
        <v>0.2</v>
      </c>
      <c r="U726" s="31">
        <v>2.99</v>
      </c>
    </row>
    <row r="727" spans="1:21">
      <c r="A727" s="31">
        <v>726</v>
      </c>
      <c r="B727" t="s">
        <v>39</v>
      </c>
      <c r="C727" s="32">
        <v>42099</v>
      </c>
      <c r="D727" s="32">
        <v>42104</v>
      </c>
      <c r="E727" t="s">
        <v>57</v>
      </c>
      <c r="F727" s="33" t="s">
        <v>2976</v>
      </c>
      <c r="G727" t="s">
        <v>2977</v>
      </c>
      <c r="H727" t="s">
        <v>18</v>
      </c>
      <c r="I727" t="s">
        <v>43</v>
      </c>
      <c r="J727" t="s">
        <v>118</v>
      </c>
      <c r="K727" t="s">
        <v>119</v>
      </c>
      <c r="L727" s="31">
        <v>19143</v>
      </c>
      <c r="M727" t="s">
        <v>9</v>
      </c>
      <c r="N727" s="33" t="s">
        <v>2978</v>
      </c>
      <c r="O727" t="s">
        <v>21</v>
      </c>
      <c r="P727" t="s">
        <v>89</v>
      </c>
      <c r="Q727" t="s">
        <v>2979</v>
      </c>
      <c r="R727" s="34">
        <v>98.112</v>
      </c>
      <c r="S727" s="31">
        <v>7</v>
      </c>
      <c r="T727" s="35">
        <v>0.2</v>
      </c>
      <c r="U727" s="31">
        <v>18.396</v>
      </c>
    </row>
    <row r="728" spans="1:21">
      <c r="A728" s="31">
        <v>727</v>
      </c>
      <c r="B728" t="s">
        <v>56</v>
      </c>
      <c r="C728" s="32">
        <v>42544</v>
      </c>
      <c r="D728" s="32">
        <v>42551</v>
      </c>
      <c r="E728" t="s">
        <v>57</v>
      </c>
      <c r="F728" s="33" t="s">
        <v>2980</v>
      </c>
      <c r="G728" t="s">
        <v>2981</v>
      </c>
      <c r="H728" t="s">
        <v>16</v>
      </c>
      <c r="I728" t="s">
        <v>43</v>
      </c>
      <c r="J728" t="s">
        <v>1821</v>
      </c>
      <c r="K728" t="s">
        <v>194</v>
      </c>
      <c r="L728" s="31">
        <v>14215</v>
      </c>
      <c r="M728" t="s">
        <v>9</v>
      </c>
      <c r="N728" s="33" t="s">
        <v>2982</v>
      </c>
      <c r="O728" t="s">
        <v>21</v>
      </c>
      <c r="P728" t="s">
        <v>1104</v>
      </c>
      <c r="Q728" t="s">
        <v>2983</v>
      </c>
      <c r="R728" s="34">
        <v>835.17</v>
      </c>
      <c r="S728" s="31">
        <v>7</v>
      </c>
      <c r="T728" s="35">
        <v>0</v>
      </c>
      <c r="U728" s="31">
        <v>16.7034</v>
      </c>
    </row>
    <row r="729" spans="1:21">
      <c r="A729" s="31">
        <v>728</v>
      </c>
      <c r="B729" t="s">
        <v>39</v>
      </c>
      <c r="C729" s="32">
        <v>41965</v>
      </c>
      <c r="D729" s="32">
        <v>41969</v>
      </c>
      <c r="E729" t="s">
        <v>57</v>
      </c>
      <c r="F729" s="33" t="s">
        <v>2984</v>
      </c>
      <c r="G729" t="s">
        <v>2985</v>
      </c>
      <c r="H729" t="s">
        <v>16</v>
      </c>
      <c r="I729" t="s">
        <v>43</v>
      </c>
      <c r="J729" t="s">
        <v>51</v>
      </c>
      <c r="K729" t="s">
        <v>52</v>
      </c>
      <c r="L729" s="31">
        <v>90036</v>
      </c>
      <c r="M729" t="s">
        <v>11</v>
      </c>
      <c r="N729" s="33" t="s">
        <v>2974</v>
      </c>
      <c r="O729" t="s">
        <v>21</v>
      </c>
      <c r="P729" t="s">
        <v>75</v>
      </c>
      <c r="Q729" t="s">
        <v>2975</v>
      </c>
      <c r="R729" s="34">
        <v>53.82</v>
      </c>
      <c r="S729" s="31">
        <v>9</v>
      </c>
      <c r="T729" s="35">
        <v>0</v>
      </c>
      <c r="U729" s="31">
        <v>24.219</v>
      </c>
    </row>
    <row r="730" spans="1:21">
      <c r="A730" s="31">
        <v>729</v>
      </c>
      <c r="B730" t="s">
        <v>56</v>
      </c>
      <c r="C730" s="32">
        <v>42477</v>
      </c>
      <c r="D730" s="32">
        <v>42482</v>
      </c>
      <c r="E730" t="s">
        <v>57</v>
      </c>
      <c r="F730" s="33" t="s">
        <v>2986</v>
      </c>
      <c r="G730" t="s">
        <v>2987</v>
      </c>
      <c r="H730" t="s">
        <v>17</v>
      </c>
      <c r="I730" t="s">
        <v>43</v>
      </c>
      <c r="J730" t="s">
        <v>563</v>
      </c>
      <c r="K730" t="s">
        <v>231</v>
      </c>
      <c r="L730" s="31">
        <v>38401</v>
      </c>
      <c r="M730" t="s">
        <v>10</v>
      </c>
      <c r="N730" s="33" t="s">
        <v>2988</v>
      </c>
      <c r="O730" t="s">
        <v>20</v>
      </c>
      <c r="P730" t="s">
        <v>68</v>
      </c>
      <c r="Q730" t="s">
        <v>2989</v>
      </c>
      <c r="R730" s="34">
        <v>79.12</v>
      </c>
      <c r="S730" s="31">
        <v>5</v>
      </c>
      <c r="T730" s="35">
        <v>0.2</v>
      </c>
      <c r="U730" s="31">
        <v>13.846</v>
      </c>
    </row>
    <row r="731" spans="1:21">
      <c r="A731" s="31">
        <v>730</v>
      </c>
      <c r="B731" t="s">
        <v>39</v>
      </c>
      <c r="C731" s="32">
        <v>42071</v>
      </c>
      <c r="D731" s="32">
        <v>42075</v>
      </c>
      <c r="E731" t="s">
        <v>57</v>
      </c>
      <c r="F731" s="33" t="s">
        <v>2990</v>
      </c>
      <c r="G731" t="s">
        <v>2991</v>
      </c>
      <c r="H731" t="s">
        <v>16</v>
      </c>
      <c r="I731" t="s">
        <v>43</v>
      </c>
      <c r="J731" t="s">
        <v>2278</v>
      </c>
      <c r="K731" t="s">
        <v>94</v>
      </c>
      <c r="L731" s="31">
        <v>53142</v>
      </c>
      <c r="M731" t="s">
        <v>8</v>
      </c>
      <c r="N731" s="33" t="s">
        <v>2992</v>
      </c>
      <c r="O731" t="s">
        <v>20</v>
      </c>
      <c r="P731" t="s">
        <v>47</v>
      </c>
      <c r="Q731" t="s">
        <v>2993</v>
      </c>
      <c r="R731" s="34">
        <v>512.94</v>
      </c>
      <c r="S731" s="31">
        <v>3</v>
      </c>
      <c r="T731" s="35">
        <v>0</v>
      </c>
      <c r="U731" s="31">
        <v>97.4586</v>
      </c>
    </row>
    <row r="732" spans="1:21">
      <c r="A732" s="31">
        <v>731</v>
      </c>
      <c r="B732" t="s">
        <v>56</v>
      </c>
      <c r="C732" s="32">
        <v>42348</v>
      </c>
      <c r="D732" s="32">
        <v>42354</v>
      </c>
      <c r="E732" t="s">
        <v>57</v>
      </c>
      <c r="F732" s="33" t="s">
        <v>2994</v>
      </c>
      <c r="G732" t="s">
        <v>2995</v>
      </c>
      <c r="H732" t="s">
        <v>16</v>
      </c>
      <c r="I732" t="s">
        <v>43</v>
      </c>
      <c r="J732" t="s">
        <v>1766</v>
      </c>
      <c r="K732" t="s">
        <v>746</v>
      </c>
      <c r="L732" s="31">
        <v>30076</v>
      </c>
      <c r="M732" t="s">
        <v>10</v>
      </c>
      <c r="N732" s="33" t="s">
        <v>2996</v>
      </c>
      <c r="O732" t="s">
        <v>21</v>
      </c>
      <c r="P732" t="s">
        <v>108</v>
      </c>
      <c r="Q732" t="s">
        <v>2582</v>
      </c>
      <c r="R732" s="34">
        <v>1.78</v>
      </c>
      <c r="S732" s="31">
        <v>1</v>
      </c>
      <c r="T732" s="35">
        <v>0</v>
      </c>
      <c r="U732" s="31">
        <v>0.4984</v>
      </c>
    </row>
    <row r="733" spans="1:21">
      <c r="A733" s="31">
        <v>732</v>
      </c>
      <c r="B733" t="s">
        <v>39</v>
      </c>
      <c r="C733" s="32">
        <v>41812</v>
      </c>
      <c r="D733" s="32">
        <v>41817</v>
      </c>
      <c r="E733" t="s">
        <v>57</v>
      </c>
      <c r="F733" s="33" t="s">
        <v>2997</v>
      </c>
      <c r="G733" t="s">
        <v>2998</v>
      </c>
      <c r="H733" t="s">
        <v>16</v>
      </c>
      <c r="I733" t="s">
        <v>43</v>
      </c>
      <c r="J733" t="s">
        <v>1271</v>
      </c>
      <c r="K733" t="s">
        <v>119</v>
      </c>
      <c r="L733" s="31">
        <v>19013</v>
      </c>
      <c r="M733" t="s">
        <v>9</v>
      </c>
      <c r="N733" s="33" t="s">
        <v>2999</v>
      </c>
      <c r="O733" t="s">
        <v>20</v>
      </c>
      <c r="P733" t="s">
        <v>121</v>
      </c>
      <c r="Q733" t="s">
        <v>3000</v>
      </c>
      <c r="R733" s="34">
        <v>170.058</v>
      </c>
      <c r="S733" s="31">
        <v>3</v>
      </c>
      <c r="T733" s="35">
        <v>0.3</v>
      </c>
      <c r="U733" s="31">
        <v>-4.8588</v>
      </c>
    </row>
    <row r="734" spans="1:21">
      <c r="A734" s="31">
        <v>733</v>
      </c>
      <c r="B734" t="s">
        <v>56</v>
      </c>
      <c r="C734" s="32">
        <v>42604</v>
      </c>
      <c r="D734" s="32">
        <v>42608</v>
      </c>
      <c r="E734" t="s">
        <v>57</v>
      </c>
      <c r="F734" s="33" t="s">
        <v>3001</v>
      </c>
      <c r="G734" t="s">
        <v>3002</v>
      </c>
      <c r="H734" t="s">
        <v>16</v>
      </c>
      <c r="I734" t="s">
        <v>43</v>
      </c>
      <c r="J734" t="s">
        <v>136</v>
      </c>
      <c r="K734" t="s">
        <v>87</v>
      </c>
      <c r="L734" s="31">
        <v>77041</v>
      </c>
      <c r="M734" t="s">
        <v>8</v>
      </c>
      <c r="N734" s="33" t="s">
        <v>3003</v>
      </c>
      <c r="O734" t="s">
        <v>21</v>
      </c>
      <c r="P734" t="s">
        <v>82</v>
      </c>
      <c r="Q734" t="s">
        <v>3004</v>
      </c>
      <c r="R734" s="34">
        <v>4.312</v>
      </c>
      <c r="S734" s="31">
        <v>2</v>
      </c>
      <c r="T734" s="35">
        <v>0.8</v>
      </c>
      <c r="U734" s="31">
        <v>-6.8992</v>
      </c>
    </row>
    <row r="735" spans="1:21">
      <c r="A735" s="31">
        <v>734</v>
      </c>
      <c r="B735" t="s">
        <v>39</v>
      </c>
      <c r="C735" s="32">
        <v>42869</v>
      </c>
      <c r="D735" s="32">
        <v>42873</v>
      </c>
      <c r="E735" t="s">
        <v>57</v>
      </c>
      <c r="F735" s="33" t="s">
        <v>3005</v>
      </c>
      <c r="G735" t="s">
        <v>3006</v>
      </c>
      <c r="H735" t="s">
        <v>16</v>
      </c>
      <c r="I735" t="s">
        <v>43</v>
      </c>
      <c r="J735" t="s">
        <v>193</v>
      </c>
      <c r="K735" t="s">
        <v>194</v>
      </c>
      <c r="L735" s="31">
        <v>10035</v>
      </c>
      <c r="M735" t="s">
        <v>9</v>
      </c>
      <c r="N735" s="33" t="s">
        <v>3007</v>
      </c>
      <c r="O735" t="s">
        <v>22</v>
      </c>
      <c r="P735" t="s">
        <v>144</v>
      </c>
      <c r="Q735" t="s">
        <v>3008</v>
      </c>
      <c r="R735" s="34">
        <v>539.97</v>
      </c>
      <c r="S735" s="31">
        <v>3</v>
      </c>
      <c r="T735" s="35">
        <v>0</v>
      </c>
      <c r="U735" s="31">
        <v>134.9925</v>
      </c>
    </row>
    <row r="736" spans="1:21">
      <c r="A736" s="31">
        <v>735</v>
      </c>
      <c r="B736" t="s">
        <v>56</v>
      </c>
      <c r="C736" s="32">
        <v>42749</v>
      </c>
      <c r="D736" s="32">
        <v>42751</v>
      </c>
      <c r="E736" t="s">
        <v>139</v>
      </c>
      <c r="F736" s="33" t="s">
        <v>3009</v>
      </c>
      <c r="G736" t="s">
        <v>3010</v>
      </c>
      <c r="H736" t="s">
        <v>17</v>
      </c>
      <c r="I736" t="s">
        <v>43</v>
      </c>
      <c r="J736" t="s">
        <v>304</v>
      </c>
      <c r="K736" t="s">
        <v>305</v>
      </c>
      <c r="L736" s="31">
        <v>80013</v>
      </c>
      <c r="M736" t="s">
        <v>11</v>
      </c>
      <c r="N736" s="33" t="s">
        <v>2323</v>
      </c>
      <c r="O736" t="s">
        <v>22</v>
      </c>
      <c r="P736" t="s">
        <v>171</v>
      </c>
      <c r="Q736" t="s">
        <v>2324</v>
      </c>
      <c r="R736" s="34">
        <v>169.064</v>
      </c>
      <c r="S736" s="31">
        <v>7</v>
      </c>
      <c r="T736" s="35">
        <v>0.2</v>
      </c>
      <c r="U736" s="31">
        <v>-14.7931</v>
      </c>
    </row>
    <row r="737" spans="1:21">
      <c r="A737" s="31">
        <v>736</v>
      </c>
      <c r="B737" t="s">
        <v>39</v>
      </c>
      <c r="C737" s="32">
        <v>42337</v>
      </c>
      <c r="D737" s="32">
        <v>42338</v>
      </c>
      <c r="E737" t="s">
        <v>139</v>
      </c>
      <c r="F737" s="33" t="s">
        <v>3011</v>
      </c>
      <c r="G737" t="s">
        <v>3012</v>
      </c>
      <c r="H737" t="s">
        <v>18</v>
      </c>
      <c r="I737" t="s">
        <v>43</v>
      </c>
      <c r="J737" t="s">
        <v>1424</v>
      </c>
      <c r="K737" t="s">
        <v>52</v>
      </c>
      <c r="L737" s="31">
        <v>92704</v>
      </c>
      <c r="M737" t="s">
        <v>11</v>
      </c>
      <c r="N737" s="33" t="s">
        <v>3013</v>
      </c>
      <c r="O737" t="s">
        <v>21</v>
      </c>
      <c r="P737" t="s">
        <v>108</v>
      </c>
      <c r="Q737" t="s">
        <v>3014</v>
      </c>
      <c r="R737" s="34">
        <v>56.3</v>
      </c>
      <c r="S737" s="31">
        <v>2</v>
      </c>
      <c r="T737" s="35">
        <v>0</v>
      </c>
      <c r="U737" s="31">
        <v>15.764</v>
      </c>
    </row>
    <row r="738" spans="1:21">
      <c r="A738" s="31">
        <v>737</v>
      </c>
      <c r="B738" t="s">
        <v>56</v>
      </c>
      <c r="C738" s="32">
        <v>43014</v>
      </c>
      <c r="D738" s="32">
        <v>43020</v>
      </c>
      <c r="E738" t="s">
        <v>57</v>
      </c>
      <c r="F738" s="33" t="s">
        <v>3015</v>
      </c>
      <c r="G738" t="s">
        <v>3016</v>
      </c>
      <c r="H738" t="s">
        <v>18</v>
      </c>
      <c r="I738" t="s">
        <v>43</v>
      </c>
      <c r="J738" t="s">
        <v>193</v>
      </c>
      <c r="K738" t="s">
        <v>194</v>
      </c>
      <c r="L738" s="31">
        <v>10035</v>
      </c>
      <c r="M738" t="s">
        <v>9</v>
      </c>
      <c r="N738" s="33" t="s">
        <v>3017</v>
      </c>
      <c r="O738" t="s">
        <v>22</v>
      </c>
      <c r="P738" t="s">
        <v>171</v>
      </c>
      <c r="Q738" t="s">
        <v>3018</v>
      </c>
      <c r="R738" s="34">
        <v>319.96</v>
      </c>
      <c r="S738" s="31">
        <v>4</v>
      </c>
      <c r="T738" s="35">
        <v>0</v>
      </c>
      <c r="U738" s="31">
        <v>115.1856</v>
      </c>
    </row>
    <row r="739" spans="1:21">
      <c r="A739" s="31">
        <v>738</v>
      </c>
      <c r="B739" t="s">
        <v>39</v>
      </c>
      <c r="C739" s="32">
        <v>42873</v>
      </c>
      <c r="D739" s="32">
        <v>42878</v>
      </c>
      <c r="E739" t="s">
        <v>57</v>
      </c>
      <c r="F739" s="33" t="s">
        <v>3019</v>
      </c>
      <c r="G739" t="s">
        <v>3020</v>
      </c>
      <c r="H739" t="s">
        <v>17</v>
      </c>
      <c r="I739" t="s">
        <v>43</v>
      </c>
      <c r="J739" t="s">
        <v>3021</v>
      </c>
      <c r="K739" t="s">
        <v>87</v>
      </c>
      <c r="L739" s="31">
        <v>78501</v>
      </c>
      <c r="M739" t="s">
        <v>8</v>
      </c>
      <c r="N739" s="33" t="s">
        <v>1504</v>
      </c>
      <c r="O739" t="s">
        <v>21</v>
      </c>
      <c r="P739" t="s">
        <v>82</v>
      </c>
      <c r="Q739" t="s">
        <v>1505</v>
      </c>
      <c r="R739" s="34">
        <v>6.874</v>
      </c>
      <c r="S739" s="31">
        <v>7</v>
      </c>
      <c r="T739" s="35">
        <v>0.8</v>
      </c>
      <c r="U739" s="31">
        <v>-10.6547</v>
      </c>
    </row>
    <row r="740" spans="1:21">
      <c r="A740" s="31">
        <v>739</v>
      </c>
      <c r="B740" t="s">
        <v>39</v>
      </c>
      <c r="C740" s="32">
        <v>43078</v>
      </c>
      <c r="D740" s="32">
        <v>43083</v>
      </c>
      <c r="E740" t="s">
        <v>57</v>
      </c>
      <c r="F740" s="33" t="s">
        <v>3022</v>
      </c>
      <c r="G740" t="s">
        <v>3023</v>
      </c>
      <c r="H740" t="s">
        <v>16</v>
      </c>
      <c r="I740" t="s">
        <v>43</v>
      </c>
      <c r="J740" t="s">
        <v>209</v>
      </c>
      <c r="K740" t="s">
        <v>154</v>
      </c>
      <c r="L740" s="31">
        <v>60623</v>
      </c>
      <c r="M740" t="s">
        <v>8</v>
      </c>
      <c r="N740" s="33" t="s">
        <v>3024</v>
      </c>
      <c r="O740" t="s">
        <v>21</v>
      </c>
      <c r="P740" t="s">
        <v>75</v>
      </c>
      <c r="Q740" t="s">
        <v>3025</v>
      </c>
      <c r="R740" s="34">
        <v>15.984</v>
      </c>
      <c r="S740" s="31">
        <v>2</v>
      </c>
      <c r="T740" s="35">
        <v>0.2</v>
      </c>
      <c r="U740" s="31">
        <v>4.995</v>
      </c>
    </row>
    <row r="741" spans="1:21">
      <c r="A741" s="31">
        <v>740</v>
      </c>
      <c r="B741" t="s">
        <v>39</v>
      </c>
      <c r="C741" s="32">
        <v>42574</v>
      </c>
      <c r="D741" s="32">
        <v>42578</v>
      </c>
      <c r="E741" t="s">
        <v>57</v>
      </c>
      <c r="F741" s="33" t="s">
        <v>3026</v>
      </c>
      <c r="G741" t="s">
        <v>3027</v>
      </c>
      <c r="H741" t="s">
        <v>18</v>
      </c>
      <c r="I741" t="s">
        <v>43</v>
      </c>
      <c r="J741" t="s">
        <v>3028</v>
      </c>
      <c r="K741" t="s">
        <v>154</v>
      </c>
      <c r="L741" s="31">
        <v>61107</v>
      </c>
      <c r="M741" t="s">
        <v>8</v>
      </c>
      <c r="N741" s="33" t="s">
        <v>3029</v>
      </c>
      <c r="O741" t="s">
        <v>21</v>
      </c>
      <c r="P741" t="s">
        <v>82</v>
      </c>
      <c r="Q741" t="s">
        <v>3030</v>
      </c>
      <c r="R741" s="34">
        <v>11.416</v>
      </c>
      <c r="S741" s="31">
        <v>4</v>
      </c>
      <c r="T741" s="35">
        <v>0.8</v>
      </c>
      <c r="U741" s="31">
        <v>-18.8364</v>
      </c>
    </row>
    <row r="742" spans="1:21">
      <c r="A742" s="31">
        <v>741</v>
      </c>
      <c r="B742" t="s">
        <v>39</v>
      </c>
      <c r="C742" s="32">
        <v>41901</v>
      </c>
      <c r="D742" s="32">
        <v>41901</v>
      </c>
      <c r="E742" t="s">
        <v>755</v>
      </c>
      <c r="F742" s="33" t="s">
        <v>3031</v>
      </c>
      <c r="G742" t="s">
        <v>3032</v>
      </c>
      <c r="H742" t="s">
        <v>17</v>
      </c>
      <c r="I742" t="s">
        <v>43</v>
      </c>
      <c r="J742" t="s">
        <v>193</v>
      </c>
      <c r="K742" t="s">
        <v>194</v>
      </c>
      <c r="L742" s="31">
        <v>10011</v>
      </c>
      <c r="M742" t="s">
        <v>9</v>
      </c>
      <c r="N742" s="33" t="s">
        <v>2319</v>
      </c>
      <c r="O742" t="s">
        <v>20</v>
      </c>
      <c r="P742" t="s">
        <v>121</v>
      </c>
      <c r="Q742" t="s">
        <v>2320</v>
      </c>
      <c r="R742" s="34">
        <v>887.103</v>
      </c>
      <c r="S742" s="31">
        <v>7</v>
      </c>
      <c r="T742" s="35">
        <v>0.1</v>
      </c>
      <c r="U742" s="31">
        <v>177.4206</v>
      </c>
    </row>
    <row r="743" spans="1:21">
      <c r="A743" s="31">
        <v>742</v>
      </c>
      <c r="B743" t="s">
        <v>39</v>
      </c>
      <c r="C743" s="32">
        <v>42334</v>
      </c>
      <c r="D743" s="32">
        <v>42338</v>
      </c>
      <c r="E743" t="s">
        <v>57</v>
      </c>
      <c r="F743" s="33" t="s">
        <v>3033</v>
      </c>
      <c r="G743" t="s">
        <v>3034</v>
      </c>
      <c r="H743" t="s">
        <v>17</v>
      </c>
      <c r="I743" t="s">
        <v>43</v>
      </c>
      <c r="J743" t="s">
        <v>869</v>
      </c>
      <c r="K743" t="s">
        <v>231</v>
      </c>
      <c r="L743" s="31">
        <v>38301</v>
      </c>
      <c r="M743" t="s">
        <v>10</v>
      </c>
      <c r="N743" s="33" t="s">
        <v>3035</v>
      </c>
      <c r="O743" t="s">
        <v>20</v>
      </c>
      <c r="P743" t="s">
        <v>68</v>
      </c>
      <c r="Q743" t="s">
        <v>3036</v>
      </c>
      <c r="R743" s="34">
        <v>692.472</v>
      </c>
      <c r="S743" s="31">
        <v>11</v>
      </c>
      <c r="T743" s="35">
        <v>0.2</v>
      </c>
      <c r="U743" s="31">
        <v>190.4298</v>
      </c>
    </row>
    <row r="744" spans="1:21">
      <c r="A744" s="31">
        <v>743</v>
      </c>
      <c r="B744" t="s">
        <v>39</v>
      </c>
      <c r="C744" s="32">
        <v>42359</v>
      </c>
      <c r="D744" s="32">
        <v>42365</v>
      </c>
      <c r="E744" t="s">
        <v>57</v>
      </c>
      <c r="F744" s="33" t="s">
        <v>3037</v>
      </c>
      <c r="G744" t="s">
        <v>3038</v>
      </c>
      <c r="H744" t="s">
        <v>16</v>
      </c>
      <c r="I744" t="s">
        <v>43</v>
      </c>
      <c r="J744" t="s">
        <v>3039</v>
      </c>
      <c r="K744" t="s">
        <v>61</v>
      </c>
      <c r="L744" s="31">
        <v>32114</v>
      </c>
      <c r="M744" t="s">
        <v>10</v>
      </c>
      <c r="N744" s="33" t="s">
        <v>3040</v>
      </c>
      <c r="O744" t="s">
        <v>22</v>
      </c>
      <c r="P744" t="s">
        <v>171</v>
      </c>
      <c r="Q744" t="s">
        <v>3041</v>
      </c>
      <c r="R744" s="34">
        <v>50.88</v>
      </c>
      <c r="S744" s="31">
        <v>6</v>
      </c>
      <c r="T744" s="35">
        <v>0.2</v>
      </c>
      <c r="U744" s="31">
        <v>14.628</v>
      </c>
    </row>
    <row r="745" spans="1:21">
      <c r="A745" s="31">
        <v>744</v>
      </c>
      <c r="B745" t="s">
        <v>39</v>
      </c>
      <c r="C745" s="32">
        <v>43079</v>
      </c>
      <c r="D745" s="32">
        <v>43081</v>
      </c>
      <c r="E745" t="s">
        <v>40</v>
      </c>
      <c r="F745" s="33" t="s">
        <v>3042</v>
      </c>
      <c r="G745" t="s">
        <v>3043</v>
      </c>
      <c r="H745" t="s">
        <v>16</v>
      </c>
      <c r="I745" t="s">
        <v>43</v>
      </c>
      <c r="J745" t="s">
        <v>2437</v>
      </c>
      <c r="K745" t="s">
        <v>52</v>
      </c>
      <c r="L745" s="31">
        <v>95207</v>
      </c>
      <c r="M745" t="s">
        <v>11</v>
      </c>
      <c r="N745" s="33" t="s">
        <v>3044</v>
      </c>
      <c r="O745" t="s">
        <v>22</v>
      </c>
      <c r="P745" t="s">
        <v>144</v>
      </c>
      <c r="Q745" t="s">
        <v>3045</v>
      </c>
      <c r="R745" s="34">
        <v>95.84</v>
      </c>
      <c r="S745" s="31">
        <v>4</v>
      </c>
      <c r="T745" s="35">
        <v>0.2</v>
      </c>
      <c r="U745" s="31">
        <v>34.742</v>
      </c>
    </row>
    <row r="746" spans="1:21">
      <c r="A746" s="31">
        <v>745</v>
      </c>
      <c r="B746" t="s">
        <v>39</v>
      </c>
      <c r="C746" s="32">
        <v>41964</v>
      </c>
      <c r="D746" s="32">
        <v>41969</v>
      </c>
      <c r="E746" t="s">
        <v>57</v>
      </c>
      <c r="F746" s="33" t="s">
        <v>3046</v>
      </c>
      <c r="G746" t="s">
        <v>3047</v>
      </c>
      <c r="H746" t="s">
        <v>17</v>
      </c>
      <c r="I746" t="s">
        <v>43</v>
      </c>
      <c r="J746" t="s">
        <v>106</v>
      </c>
      <c r="K746" t="s">
        <v>52</v>
      </c>
      <c r="L746" s="31">
        <v>94110</v>
      </c>
      <c r="M746" t="s">
        <v>11</v>
      </c>
      <c r="N746" s="33" t="s">
        <v>3048</v>
      </c>
      <c r="O746" t="s">
        <v>21</v>
      </c>
      <c r="P746" t="s">
        <v>75</v>
      </c>
      <c r="Q746" t="s">
        <v>3049</v>
      </c>
      <c r="R746" s="34">
        <v>12.96</v>
      </c>
      <c r="S746" s="31">
        <v>2</v>
      </c>
      <c r="T746" s="35">
        <v>0</v>
      </c>
      <c r="U746" s="31">
        <v>6.2208</v>
      </c>
    </row>
    <row r="747" spans="1:21">
      <c r="A747" s="31">
        <v>746</v>
      </c>
      <c r="B747" t="s">
        <v>39</v>
      </c>
      <c r="C747" s="32">
        <v>42878</v>
      </c>
      <c r="D747" s="32">
        <v>42884</v>
      </c>
      <c r="E747" t="s">
        <v>57</v>
      </c>
      <c r="F747" s="33" t="s">
        <v>3050</v>
      </c>
      <c r="G747" t="s">
        <v>3051</v>
      </c>
      <c r="H747" t="s">
        <v>16</v>
      </c>
      <c r="I747" t="s">
        <v>43</v>
      </c>
      <c r="J747" t="s">
        <v>51</v>
      </c>
      <c r="K747" t="s">
        <v>52</v>
      </c>
      <c r="L747" s="31">
        <v>90036</v>
      </c>
      <c r="M747" t="s">
        <v>11</v>
      </c>
      <c r="N747" s="33" t="s">
        <v>3052</v>
      </c>
      <c r="O747" t="s">
        <v>20</v>
      </c>
      <c r="P747" t="s">
        <v>63</v>
      </c>
      <c r="Q747" t="s">
        <v>3053</v>
      </c>
      <c r="R747" s="34">
        <v>171.288</v>
      </c>
      <c r="S747" s="31">
        <v>3</v>
      </c>
      <c r="T747" s="35">
        <v>0.2</v>
      </c>
      <c r="U747" s="31">
        <v>-6.4233</v>
      </c>
    </row>
    <row r="748" spans="1:21">
      <c r="A748" s="31">
        <v>747</v>
      </c>
      <c r="B748" t="s">
        <v>39</v>
      </c>
      <c r="C748" s="32">
        <v>42824</v>
      </c>
      <c r="D748" s="32">
        <v>42825</v>
      </c>
      <c r="E748" t="s">
        <v>139</v>
      </c>
      <c r="F748" s="33" t="s">
        <v>3054</v>
      </c>
      <c r="G748" t="s">
        <v>3055</v>
      </c>
      <c r="H748" t="s">
        <v>16</v>
      </c>
      <c r="I748" t="s">
        <v>43</v>
      </c>
      <c r="J748" t="s">
        <v>3056</v>
      </c>
      <c r="K748" t="s">
        <v>420</v>
      </c>
      <c r="L748" s="31">
        <v>73120</v>
      </c>
      <c r="M748" t="s">
        <v>8</v>
      </c>
      <c r="N748" s="33" t="s">
        <v>3057</v>
      </c>
      <c r="O748" t="s">
        <v>21</v>
      </c>
      <c r="P748" t="s">
        <v>149</v>
      </c>
      <c r="Q748" t="s">
        <v>3058</v>
      </c>
      <c r="R748" s="34">
        <v>325.86</v>
      </c>
      <c r="S748" s="31">
        <v>2</v>
      </c>
      <c r="T748" s="35">
        <v>0</v>
      </c>
      <c r="U748" s="31">
        <v>149.8956</v>
      </c>
    </row>
    <row r="749" spans="1:21">
      <c r="A749" s="31">
        <v>748</v>
      </c>
      <c r="B749" t="s">
        <v>56</v>
      </c>
      <c r="C749" s="32">
        <v>42608</v>
      </c>
      <c r="D749" s="32">
        <v>42610</v>
      </c>
      <c r="E749" t="s">
        <v>40</v>
      </c>
      <c r="F749" s="33" t="s">
        <v>3059</v>
      </c>
      <c r="G749" t="s">
        <v>3060</v>
      </c>
      <c r="H749" t="s">
        <v>17</v>
      </c>
      <c r="I749" t="s">
        <v>43</v>
      </c>
      <c r="J749" t="s">
        <v>51</v>
      </c>
      <c r="K749" t="s">
        <v>52</v>
      </c>
      <c r="L749" s="31">
        <v>90045</v>
      </c>
      <c r="M749" t="s">
        <v>11</v>
      </c>
      <c r="N749" s="33" t="s">
        <v>3061</v>
      </c>
      <c r="O749" t="s">
        <v>21</v>
      </c>
      <c r="P749" t="s">
        <v>108</v>
      </c>
      <c r="Q749" t="s">
        <v>3062</v>
      </c>
      <c r="R749" s="34">
        <v>8.26</v>
      </c>
      <c r="S749" s="31">
        <v>2</v>
      </c>
      <c r="T749" s="35">
        <v>0</v>
      </c>
      <c r="U749" s="31">
        <v>3.7996</v>
      </c>
    </row>
    <row r="750" spans="1:21">
      <c r="A750" s="31">
        <v>749</v>
      </c>
      <c r="B750" t="s">
        <v>39</v>
      </c>
      <c r="C750" s="32">
        <v>42486</v>
      </c>
      <c r="D750" s="32">
        <v>42491</v>
      </c>
      <c r="E750" t="s">
        <v>57</v>
      </c>
      <c r="F750" s="33" t="s">
        <v>3063</v>
      </c>
      <c r="G750" t="s">
        <v>3064</v>
      </c>
      <c r="H750" t="s">
        <v>18</v>
      </c>
      <c r="I750" t="s">
        <v>43</v>
      </c>
      <c r="J750" t="s">
        <v>193</v>
      </c>
      <c r="K750" t="s">
        <v>194</v>
      </c>
      <c r="L750" s="31">
        <v>10009</v>
      </c>
      <c r="M750" t="s">
        <v>9</v>
      </c>
      <c r="N750" s="33" t="s">
        <v>3065</v>
      </c>
      <c r="O750" t="s">
        <v>20</v>
      </c>
      <c r="P750" t="s">
        <v>121</v>
      </c>
      <c r="Q750" t="s">
        <v>3066</v>
      </c>
      <c r="R750" s="34">
        <v>434.646</v>
      </c>
      <c r="S750" s="31">
        <v>3</v>
      </c>
      <c r="T750" s="35">
        <v>0.1</v>
      </c>
      <c r="U750" s="31">
        <v>62.7822</v>
      </c>
    </row>
    <row r="751" spans="1:21">
      <c r="A751" s="31">
        <v>750</v>
      </c>
      <c r="B751" t="s">
        <v>39</v>
      </c>
      <c r="C751" s="32">
        <v>41797</v>
      </c>
      <c r="D751" s="32">
        <v>41801</v>
      </c>
      <c r="E751" t="s">
        <v>40</v>
      </c>
      <c r="F751" s="33" t="s">
        <v>3067</v>
      </c>
      <c r="G751" t="s">
        <v>3068</v>
      </c>
      <c r="H751" t="s">
        <v>16</v>
      </c>
      <c r="I751" t="s">
        <v>43</v>
      </c>
      <c r="J751" t="s">
        <v>304</v>
      </c>
      <c r="K751" t="s">
        <v>154</v>
      </c>
      <c r="L751" s="31">
        <v>60505</v>
      </c>
      <c r="M751" t="s">
        <v>8</v>
      </c>
      <c r="N751" s="33" t="s">
        <v>3069</v>
      </c>
      <c r="O751" t="s">
        <v>20</v>
      </c>
      <c r="P751" t="s">
        <v>63</v>
      </c>
      <c r="Q751" t="s">
        <v>3070</v>
      </c>
      <c r="R751" s="34">
        <v>268.935</v>
      </c>
      <c r="S751" s="31">
        <v>3</v>
      </c>
      <c r="T751" s="35">
        <v>0.5</v>
      </c>
      <c r="U751" s="31">
        <v>-209.7693</v>
      </c>
    </row>
    <row r="752" spans="1:21">
      <c r="A752" s="31">
        <v>751</v>
      </c>
      <c r="B752" t="s">
        <v>39</v>
      </c>
      <c r="C752" s="32">
        <v>42888</v>
      </c>
      <c r="D752" s="32">
        <v>42889</v>
      </c>
      <c r="E752" t="s">
        <v>755</v>
      </c>
      <c r="F752" s="33" t="s">
        <v>3071</v>
      </c>
      <c r="G752" t="s">
        <v>3072</v>
      </c>
      <c r="H752" t="s">
        <v>16</v>
      </c>
      <c r="I752" t="s">
        <v>43</v>
      </c>
      <c r="J752" t="s">
        <v>889</v>
      </c>
      <c r="K752" t="s">
        <v>73</v>
      </c>
      <c r="L752" s="31">
        <v>28540</v>
      </c>
      <c r="M752" t="s">
        <v>10</v>
      </c>
      <c r="N752" s="33" t="s">
        <v>3073</v>
      </c>
      <c r="O752" t="s">
        <v>21</v>
      </c>
      <c r="P752" t="s">
        <v>75</v>
      </c>
      <c r="Q752" t="s">
        <v>3074</v>
      </c>
      <c r="R752" s="34">
        <v>25.344</v>
      </c>
      <c r="S752" s="31">
        <v>4</v>
      </c>
      <c r="T752" s="35">
        <v>0.2</v>
      </c>
      <c r="U752" s="31">
        <v>9.1872</v>
      </c>
    </row>
    <row r="753" spans="1:21">
      <c r="A753" s="31">
        <v>752</v>
      </c>
      <c r="B753" t="s">
        <v>39</v>
      </c>
      <c r="C753" s="32">
        <v>42079</v>
      </c>
      <c r="D753" s="32">
        <v>42086</v>
      </c>
      <c r="E753" t="s">
        <v>57</v>
      </c>
      <c r="F753" s="33" t="s">
        <v>3075</v>
      </c>
      <c r="G753" t="s">
        <v>3076</v>
      </c>
      <c r="H753" t="s">
        <v>17</v>
      </c>
      <c r="I753" t="s">
        <v>43</v>
      </c>
      <c r="J753" t="s">
        <v>51</v>
      </c>
      <c r="K753" t="s">
        <v>52</v>
      </c>
      <c r="L753" s="31">
        <v>90036</v>
      </c>
      <c r="M753" t="s">
        <v>11</v>
      </c>
      <c r="N753" s="33" t="s">
        <v>3077</v>
      </c>
      <c r="O753" t="s">
        <v>20</v>
      </c>
      <c r="P753" t="s">
        <v>68</v>
      </c>
      <c r="Q753" t="s">
        <v>3078</v>
      </c>
      <c r="R753" s="34">
        <v>43.13</v>
      </c>
      <c r="S753" s="31">
        <v>1</v>
      </c>
      <c r="T753" s="35">
        <v>0</v>
      </c>
      <c r="U753" s="31">
        <v>18.1146</v>
      </c>
    </row>
    <row r="754" spans="1:21">
      <c r="A754" s="31">
        <v>753</v>
      </c>
      <c r="B754" t="s">
        <v>39</v>
      </c>
      <c r="C754" s="32">
        <v>42894</v>
      </c>
      <c r="D754" s="32">
        <v>42900</v>
      </c>
      <c r="E754" t="s">
        <v>57</v>
      </c>
      <c r="F754" s="33" t="s">
        <v>3079</v>
      </c>
      <c r="G754" t="s">
        <v>3080</v>
      </c>
      <c r="H754" t="s">
        <v>16</v>
      </c>
      <c r="I754" t="s">
        <v>43</v>
      </c>
      <c r="J754" t="s">
        <v>1544</v>
      </c>
      <c r="K754" t="s">
        <v>475</v>
      </c>
      <c r="L754" s="31">
        <v>6360</v>
      </c>
      <c r="M754" t="s">
        <v>9</v>
      </c>
      <c r="N754" s="33" t="s">
        <v>2853</v>
      </c>
      <c r="O754" t="s">
        <v>21</v>
      </c>
      <c r="P754" t="s">
        <v>82</v>
      </c>
      <c r="Q754" t="s">
        <v>2854</v>
      </c>
      <c r="R754" s="34">
        <v>10.36</v>
      </c>
      <c r="S754" s="31">
        <v>2</v>
      </c>
      <c r="T754" s="35">
        <v>0</v>
      </c>
      <c r="U754" s="31">
        <v>5.0764</v>
      </c>
    </row>
    <row r="755" spans="1:21">
      <c r="A755" s="31">
        <v>754</v>
      </c>
      <c r="B755" t="s">
        <v>39</v>
      </c>
      <c r="C755" s="32">
        <v>42988</v>
      </c>
      <c r="D755" s="32">
        <v>42991</v>
      </c>
      <c r="E755" t="s">
        <v>139</v>
      </c>
      <c r="F755" s="33" t="s">
        <v>3081</v>
      </c>
      <c r="G755" t="s">
        <v>3082</v>
      </c>
      <c r="H755" t="s">
        <v>17</v>
      </c>
      <c r="I755" t="s">
        <v>43</v>
      </c>
      <c r="J755" t="s">
        <v>864</v>
      </c>
      <c r="K755" t="s">
        <v>735</v>
      </c>
      <c r="L755" s="31">
        <v>1841</v>
      </c>
      <c r="M755" t="s">
        <v>9</v>
      </c>
      <c r="N755" s="33" t="s">
        <v>3083</v>
      </c>
      <c r="O755" t="s">
        <v>21</v>
      </c>
      <c r="P755" t="s">
        <v>108</v>
      </c>
      <c r="Q755" t="s">
        <v>3084</v>
      </c>
      <c r="R755" s="34">
        <v>14.88</v>
      </c>
      <c r="S755" s="31">
        <v>2</v>
      </c>
      <c r="T755" s="35">
        <v>0</v>
      </c>
      <c r="U755" s="31">
        <v>3.72</v>
      </c>
    </row>
    <row r="756" spans="1:21">
      <c r="A756" s="31">
        <v>755</v>
      </c>
      <c r="B756" t="s">
        <v>39</v>
      </c>
      <c r="C756" s="32">
        <v>42078</v>
      </c>
      <c r="D756" s="32">
        <v>42084</v>
      </c>
      <c r="E756" t="s">
        <v>57</v>
      </c>
      <c r="F756" s="33" t="s">
        <v>3085</v>
      </c>
      <c r="G756" t="s">
        <v>3086</v>
      </c>
      <c r="H756" t="s">
        <v>17</v>
      </c>
      <c r="I756" t="s">
        <v>43</v>
      </c>
      <c r="J756" t="s">
        <v>3087</v>
      </c>
      <c r="K756" t="s">
        <v>101</v>
      </c>
      <c r="L756" s="31">
        <v>84043</v>
      </c>
      <c r="M756" t="s">
        <v>11</v>
      </c>
      <c r="N756" s="33" t="s">
        <v>3088</v>
      </c>
      <c r="O756" t="s">
        <v>22</v>
      </c>
      <c r="P756" t="s">
        <v>144</v>
      </c>
      <c r="Q756" t="s">
        <v>3089</v>
      </c>
      <c r="R756" s="34">
        <v>16.776</v>
      </c>
      <c r="S756" s="31">
        <v>3</v>
      </c>
      <c r="T756" s="35">
        <v>0.2</v>
      </c>
      <c r="U756" s="31">
        <v>1.6776</v>
      </c>
    </row>
    <row r="757" spans="1:21">
      <c r="A757" s="31">
        <v>756</v>
      </c>
      <c r="B757" t="s">
        <v>39</v>
      </c>
      <c r="C757" s="32">
        <v>41705</v>
      </c>
      <c r="D757" s="32">
        <v>41706</v>
      </c>
      <c r="E757" t="s">
        <v>139</v>
      </c>
      <c r="F757" s="33" t="s">
        <v>3090</v>
      </c>
      <c r="G757" t="s">
        <v>3091</v>
      </c>
      <c r="H757" t="s">
        <v>16</v>
      </c>
      <c r="I757" t="s">
        <v>43</v>
      </c>
      <c r="J757" t="s">
        <v>79</v>
      </c>
      <c r="K757" t="s">
        <v>80</v>
      </c>
      <c r="L757" s="31">
        <v>98103</v>
      </c>
      <c r="M757" t="s">
        <v>11</v>
      </c>
      <c r="N757" s="33" t="s">
        <v>3092</v>
      </c>
      <c r="O757" t="s">
        <v>20</v>
      </c>
      <c r="P757" t="s">
        <v>121</v>
      </c>
      <c r="Q757" t="s">
        <v>3093</v>
      </c>
      <c r="R757" s="34">
        <v>48.712</v>
      </c>
      <c r="S757" s="31">
        <v>1</v>
      </c>
      <c r="T757" s="35">
        <v>0.2</v>
      </c>
      <c r="U757" s="31">
        <v>5.4801</v>
      </c>
    </row>
    <row r="758" spans="1:21">
      <c r="A758" s="31">
        <v>757</v>
      </c>
      <c r="B758" t="s">
        <v>39</v>
      </c>
      <c r="C758" s="32">
        <v>42254</v>
      </c>
      <c r="D758" s="32">
        <v>42261</v>
      </c>
      <c r="E758" t="s">
        <v>57</v>
      </c>
      <c r="F758" s="33" t="s">
        <v>3094</v>
      </c>
      <c r="G758" t="s">
        <v>3095</v>
      </c>
      <c r="H758" t="s">
        <v>17</v>
      </c>
      <c r="I758" t="s">
        <v>43</v>
      </c>
      <c r="J758" t="s">
        <v>118</v>
      </c>
      <c r="K758" t="s">
        <v>119</v>
      </c>
      <c r="L758" s="31">
        <v>19134</v>
      </c>
      <c r="M758" t="s">
        <v>9</v>
      </c>
      <c r="N758" s="33" t="s">
        <v>3096</v>
      </c>
      <c r="O758" t="s">
        <v>21</v>
      </c>
      <c r="P758" t="s">
        <v>82</v>
      </c>
      <c r="Q758" t="s">
        <v>3097</v>
      </c>
      <c r="R758" s="34">
        <v>9.522</v>
      </c>
      <c r="S758" s="31">
        <v>1</v>
      </c>
      <c r="T758" s="35">
        <v>0.7</v>
      </c>
      <c r="U758" s="31">
        <v>-6.9828</v>
      </c>
    </row>
    <row r="759" spans="1:21">
      <c r="A759" s="31">
        <v>758</v>
      </c>
      <c r="B759" t="s">
        <v>39</v>
      </c>
      <c r="C759" s="32">
        <v>41958</v>
      </c>
      <c r="D759" s="32">
        <v>41961</v>
      </c>
      <c r="E759" t="s">
        <v>139</v>
      </c>
      <c r="F759" s="33" t="s">
        <v>3098</v>
      </c>
      <c r="G759" t="s">
        <v>3099</v>
      </c>
      <c r="H759" t="s">
        <v>16</v>
      </c>
      <c r="I759" t="s">
        <v>43</v>
      </c>
      <c r="J759" t="s">
        <v>51</v>
      </c>
      <c r="K759" t="s">
        <v>52</v>
      </c>
      <c r="L759" s="31">
        <v>90008</v>
      </c>
      <c r="M759" t="s">
        <v>11</v>
      </c>
      <c r="N759" s="33" t="s">
        <v>597</v>
      </c>
      <c r="O759" t="s">
        <v>20</v>
      </c>
      <c r="P759" t="s">
        <v>68</v>
      </c>
      <c r="Q759" t="s">
        <v>598</v>
      </c>
      <c r="R759" s="34">
        <v>10.11</v>
      </c>
      <c r="S759" s="31">
        <v>3</v>
      </c>
      <c r="T759" s="35">
        <v>0</v>
      </c>
      <c r="U759" s="31">
        <v>3.2352</v>
      </c>
    </row>
    <row r="760" spans="1:21">
      <c r="A760" s="31">
        <v>759</v>
      </c>
      <c r="B760" t="s">
        <v>39</v>
      </c>
      <c r="C760" s="32">
        <v>42621</v>
      </c>
      <c r="D760" s="32">
        <v>42625</v>
      </c>
      <c r="E760" t="s">
        <v>57</v>
      </c>
      <c r="F760" s="33" t="s">
        <v>3100</v>
      </c>
      <c r="G760" t="s">
        <v>3101</v>
      </c>
      <c r="H760" t="s">
        <v>16</v>
      </c>
      <c r="I760" t="s">
        <v>43</v>
      </c>
      <c r="J760" t="s">
        <v>468</v>
      </c>
      <c r="K760" t="s">
        <v>73</v>
      </c>
      <c r="L760" s="31">
        <v>28110</v>
      </c>
      <c r="M760" t="s">
        <v>10</v>
      </c>
      <c r="N760" s="33" t="s">
        <v>3102</v>
      </c>
      <c r="O760" t="s">
        <v>22</v>
      </c>
      <c r="P760" t="s">
        <v>171</v>
      </c>
      <c r="Q760" t="s">
        <v>3103</v>
      </c>
      <c r="R760" s="34">
        <v>35.168</v>
      </c>
      <c r="S760" s="31">
        <v>4</v>
      </c>
      <c r="T760" s="35">
        <v>0.2</v>
      </c>
      <c r="U760" s="31">
        <v>8.3524</v>
      </c>
    </row>
    <row r="761" spans="1:21">
      <c r="A761" s="31">
        <v>760</v>
      </c>
      <c r="B761" t="s">
        <v>56</v>
      </c>
      <c r="C761" s="32">
        <v>41964</v>
      </c>
      <c r="D761" s="32">
        <v>41970</v>
      </c>
      <c r="E761" t="s">
        <v>57</v>
      </c>
      <c r="F761" s="33" t="s">
        <v>3104</v>
      </c>
      <c r="G761" t="s">
        <v>3105</v>
      </c>
      <c r="H761" t="s">
        <v>17</v>
      </c>
      <c r="I761" t="s">
        <v>43</v>
      </c>
      <c r="J761" t="s">
        <v>523</v>
      </c>
      <c r="K761" t="s">
        <v>87</v>
      </c>
      <c r="L761" s="31">
        <v>75220</v>
      </c>
      <c r="M761" t="s">
        <v>8</v>
      </c>
      <c r="N761" s="33" t="s">
        <v>494</v>
      </c>
      <c r="O761" t="s">
        <v>21</v>
      </c>
      <c r="P761" t="s">
        <v>149</v>
      </c>
      <c r="Q761" t="s">
        <v>495</v>
      </c>
      <c r="R761" s="34">
        <v>1.632</v>
      </c>
      <c r="S761" s="31">
        <v>1</v>
      </c>
      <c r="T761" s="35">
        <v>0.2</v>
      </c>
      <c r="U761" s="31">
        <v>0.5508</v>
      </c>
    </row>
    <row r="762" spans="1:21">
      <c r="A762" s="31">
        <v>761</v>
      </c>
      <c r="B762" t="s">
        <v>39</v>
      </c>
      <c r="C762" s="32">
        <v>42618</v>
      </c>
      <c r="D762" s="32">
        <v>42620</v>
      </c>
      <c r="E762" t="s">
        <v>40</v>
      </c>
      <c r="F762" s="33" t="s">
        <v>3106</v>
      </c>
      <c r="G762" t="s">
        <v>3107</v>
      </c>
      <c r="H762" t="s">
        <v>17</v>
      </c>
      <c r="I762" t="s">
        <v>43</v>
      </c>
      <c r="J762" t="s">
        <v>136</v>
      </c>
      <c r="K762" t="s">
        <v>87</v>
      </c>
      <c r="L762" s="31">
        <v>77070</v>
      </c>
      <c r="M762" t="s">
        <v>8</v>
      </c>
      <c r="N762" s="33" t="s">
        <v>3108</v>
      </c>
      <c r="O762" t="s">
        <v>21</v>
      </c>
      <c r="P762" t="s">
        <v>75</v>
      </c>
      <c r="Q762" t="s">
        <v>3109</v>
      </c>
      <c r="R762" s="34">
        <v>25.92</v>
      </c>
      <c r="S762" s="31">
        <v>5</v>
      </c>
      <c r="T762" s="35">
        <v>0.2</v>
      </c>
      <c r="U762" s="31">
        <v>9.072</v>
      </c>
    </row>
    <row r="763" spans="1:21">
      <c r="A763" s="31">
        <v>762</v>
      </c>
      <c r="B763" t="s">
        <v>39</v>
      </c>
      <c r="C763" s="32">
        <v>42999</v>
      </c>
      <c r="D763" s="32">
        <v>43001</v>
      </c>
      <c r="E763" t="s">
        <v>139</v>
      </c>
      <c r="F763" s="33" t="s">
        <v>3110</v>
      </c>
      <c r="G763" t="s">
        <v>3111</v>
      </c>
      <c r="H763" t="s">
        <v>16</v>
      </c>
      <c r="I763" t="s">
        <v>43</v>
      </c>
      <c r="J763" t="s">
        <v>79</v>
      </c>
      <c r="K763" t="s">
        <v>80</v>
      </c>
      <c r="L763" s="31">
        <v>98103</v>
      </c>
      <c r="M763" t="s">
        <v>11</v>
      </c>
      <c r="N763" s="33" t="s">
        <v>847</v>
      </c>
      <c r="O763" t="s">
        <v>22</v>
      </c>
      <c r="P763" t="s">
        <v>171</v>
      </c>
      <c r="Q763" t="s">
        <v>848</v>
      </c>
      <c r="R763" s="34">
        <v>71.98</v>
      </c>
      <c r="S763" s="31">
        <v>2</v>
      </c>
      <c r="T763" s="35">
        <v>0</v>
      </c>
      <c r="U763" s="31">
        <v>15.1158</v>
      </c>
    </row>
    <row r="764" spans="1:21">
      <c r="A764" s="31">
        <v>763</v>
      </c>
      <c r="B764" t="s">
        <v>56</v>
      </c>
      <c r="C764" s="32">
        <v>42535</v>
      </c>
      <c r="D764" s="32">
        <v>42535</v>
      </c>
      <c r="E764" t="s">
        <v>755</v>
      </c>
      <c r="F764" s="33" t="s">
        <v>3112</v>
      </c>
      <c r="G764" t="s">
        <v>3113</v>
      </c>
      <c r="H764" t="s">
        <v>18</v>
      </c>
      <c r="I764" t="s">
        <v>43</v>
      </c>
      <c r="J764" t="s">
        <v>51</v>
      </c>
      <c r="K764" t="s">
        <v>52</v>
      </c>
      <c r="L764" s="31">
        <v>90036</v>
      </c>
      <c r="M764" t="s">
        <v>11</v>
      </c>
      <c r="N764" s="33" t="s">
        <v>3114</v>
      </c>
      <c r="O764" t="s">
        <v>20</v>
      </c>
      <c r="P764" t="s">
        <v>47</v>
      </c>
      <c r="Q764" t="s">
        <v>3115</v>
      </c>
      <c r="R764" s="34">
        <v>599.165</v>
      </c>
      <c r="S764" s="31">
        <v>5</v>
      </c>
      <c r="T764" s="35">
        <v>0.15</v>
      </c>
      <c r="U764" s="31">
        <v>35.245</v>
      </c>
    </row>
    <row r="765" spans="1:21">
      <c r="A765" s="31">
        <v>764</v>
      </c>
      <c r="B765" t="s">
        <v>39</v>
      </c>
      <c r="C765" s="32">
        <v>43029</v>
      </c>
      <c r="D765" s="32">
        <v>43033</v>
      </c>
      <c r="E765" t="s">
        <v>57</v>
      </c>
      <c r="F765" s="33" t="s">
        <v>3116</v>
      </c>
      <c r="G765" t="s">
        <v>3117</v>
      </c>
      <c r="H765" t="s">
        <v>18</v>
      </c>
      <c r="I765" t="s">
        <v>43</v>
      </c>
      <c r="J765" t="s">
        <v>668</v>
      </c>
      <c r="K765" t="s">
        <v>331</v>
      </c>
      <c r="L765" s="31">
        <v>44107</v>
      </c>
      <c r="M765" t="s">
        <v>9</v>
      </c>
      <c r="N765" s="33" t="s">
        <v>3118</v>
      </c>
      <c r="O765" t="s">
        <v>21</v>
      </c>
      <c r="P765" t="s">
        <v>89</v>
      </c>
      <c r="Q765" t="s">
        <v>3119</v>
      </c>
      <c r="R765" s="34">
        <v>161.568</v>
      </c>
      <c r="S765" s="31">
        <v>2</v>
      </c>
      <c r="T765" s="35">
        <v>0.2</v>
      </c>
      <c r="U765" s="31">
        <v>16.1568</v>
      </c>
    </row>
    <row r="766" spans="1:21">
      <c r="A766" s="31">
        <v>765</v>
      </c>
      <c r="B766" t="s">
        <v>39</v>
      </c>
      <c r="C766" s="32">
        <v>43041</v>
      </c>
      <c r="D766" s="32">
        <v>43045</v>
      </c>
      <c r="E766" t="s">
        <v>57</v>
      </c>
      <c r="F766" s="33" t="s">
        <v>3120</v>
      </c>
      <c r="G766" t="s">
        <v>3121</v>
      </c>
      <c r="H766" t="s">
        <v>17</v>
      </c>
      <c r="I766" t="s">
        <v>43</v>
      </c>
      <c r="J766" t="s">
        <v>118</v>
      </c>
      <c r="K766" t="s">
        <v>119</v>
      </c>
      <c r="L766" s="31">
        <v>19140</v>
      </c>
      <c r="M766" t="s">
        <v>9</v>
      </c>
      <c r="N766" s="33" t="s">
        <v>3122</v>
      </c>
      <c r="O766" t="s">
        <v>20</v>
      </c>
      <c r="P766" t="s">
        <v>68</v>
      </c>
      <c r="Q766" t="s">
        <v>3123</v>
      </c>
      <c r="R766" s="34">
        <v>3.312</v>
      </c>
      <c r="S766" s="31">
        <v>1</v>
      </c>
      <c r="T766" s="35">
        <v>0.2</v>
      </c>
      <c r="U766" s="31">
        <v>0.6624</v>
      </c>
    </row>
    <row r="767" spans="1:21">
      <c r="A767" s="31">
        <v>766</v>
      </c>
      <c r="B767" t="s">
        <v>39</v>
      </c>
      <c r="C767" s="32">
        <v>43071</v>
      </c>
      <c r="D767" s="32">
        <v>43075</v>
      </c>
      <c r="E767" t="s">
        <v>57</v>
      </c>
      <c r="F767" s="33" t="s">
        <v>3124</v>
      </c>
      <c r="G767" t="s">
        <v>3125</v>
      </c>
      <c r="H767" t="s">
        <v>16</v>
      </c>
      <c r="I767" t="s">
        <v>43</v>
      </c>
      <c r="J767" t="s">
        <v>3126</v>
      </c>
      <c r="K767" t="s">
        <v>113</v>
      </c>
      <c r="L767" s="31">
        <v>68104</v>
      </c>
      <c r="M767" t="s">
        <v>8</v>
      </c>
      <c r="N767" s="33" t="s">
        <v>3127</v>
      </c>
      <c r="O767" t="s">
        <v>22</v>
      </c>
      <c r="P767" t="s">
        <v>144</v>
      </c>
      <c r="Q767" t="s">
        <v>3128</v>
      </c>
      <c r="R767" s="34">
        <v>2479.96</v>
      </c>
      <c r="S767" s="31">
        <v>4</v>
      </c>
      <c r="T767" s="35">
        <v>0</v>
      </c>
      <c r="U767" s="31">
        <v>743.988</v>
      </c>
    </row>
    <row r="768" spans="1:21">
      <c r="A768" s="31">
        <v>767</v>
      </c>
      <c r="B768" t="s">
        <v>39</v>
      </c>
      <c r="C768" s="32">
        <v>42272</v>
      </c>
      <c r="D768" s="32">
        <v>42276</v>
      </c>
      <c r="E768" t="s">
        <v>57</v>
      </c>
      <c r="F768" s="33" t="s">
        <v>3129</v>
      </c>
      <c r="G768" t="s">
        <v>3130</v>
      </c>
      <c r="H768" t="s">
        <v>16</v>
      </c>
      <c r="I768" t="s">
        <v>43</v>
      </c>
      <c r="J768" t="s">
        <v>72</v>
      </c>
      <c r="K768" t="s">
        <v>2444</v>
      </c>
      <c r="L768" s="31">
        <v>3301</v>
      </c>
      <c r="M768" t="s">
        <v>9</v>
      </c>
      <c r="N768" s="33" t="s">
        <v>3131</v>
      </c>
      <c r="O768" t="s">
        <v>21</v>
      </c>
      <c r="P768" t="s">
        <v>82</v>
      </c>
      <c r="Q768" t="s">
        <v>3132</v>
      </c>
      <c r="R768" s="34">
        <v>68.62</v>
      </c>
      <c r="S768" s="31">
        <v>2</v>
      </c>
      <c r="T768" s="35">
        <v>0</v>
      </c>
      <c r="U768" s="31">
        <v>32.2514</v>
      </c>
    </row>
    <row r="769" spans="1:21">
      <c r="A769" s="31">
        <v>768</v>
      </c>
      <c r="B769" t="s">
        <v>39</v>
      </c>
      <c r="C769" s="32">
        <v>42978</v>
      </c>
      <c r="D769" s="32">
        <v>42983</v>
      </c>
      <c r="E769" t="s">
        <v>57</v>
      </c>
      <c r="F769" s="33" t="s">
        <v>3133</v>
      </c>
      <c r="G769" t="s">
        <v>3134</v>
      </c>
      <c r="H769" t="s">
        <v>16</v>
      </c>
      <c r="I769" t="s">
        <v>43</v>
      </c>
      <c r="J769" t="s">
        <v>468</v>
      </c>
      <c r="K769" t="s">
        <v>469</v>
      </c>
      <c r="L769" s="31">
        <v>71203</v>
      </c>
      <c r="M769" t="s">
        <v>10</v>
      </c>
      <c r="N769" s="33" t="s">
        <v>3135</v>
      </c>
      <c r="O769" t="s">
        <v>22</v>
      </c>
      <c r="P769" t="s">
        <v>171</v>
      </c>
      <c r="Q769" t="s">
        <v>3136</v>
      </c>
      <c r="R769" s="34">
        <v>659.9</v>
      </c>
      <c r="S769" s="31">
        <v>2</v>
      </c>
      <c r="T769" s="35">
        <v>0</v>
      </c>
      <c r="U769" s="31">
        <v>217.767</v>
      </c>
    </row>
    <row r="770" spans="1:21">
      <c r="A770" s="31">
        <v>769</v>
      </c>
      <c r="B770" t="s">
        <v>39</v>
      </c>
      <c r="C770" s="32">
        <v>42227</v>
      </c>
      <c r="D770" s="32">
        <v>42232</v>
      </c>
      <c r="E770" t="s">
        <v>57</v>
      </c>
      <c r="F770" s="33" t="s">
        <v>3137</v>
      </c>
      <c r="G770" t="s">
        <v>3138</v>
      </c>
      <c r="H770" t="s">
        <v>16</v>
      </c>
      <c r="I770" t="s">
        <v>43</v>
      </c>
      <c r="J770" t="s">
        <v>2306</v>
      </c>
      <c r="K770" t="s">
        <v>73</v>
      </c>
      <c r="L770" s="31">
        <v>27604</v>
      </c>
      <c r="M770" t="s">
        <v>10</v>
      </c>
      <c r="N770" s="33" t="s">
        <v>2734</v>
      </c>
      <c r="O770" t="s">
        <v>20</v>
      </c>
      <c r="P770" t="s">
        <v>68</v>
      </c>
      <c r="Q770" t="s">
        <v>2735</v>
      </c>
      <c r="R770" s="34">
        <v>46.152</v>
      </c>
      <c r="S770" s="31">
        <v>3</v>
      </c>
      <c r="T770" s="35">
        <v>0.2</v>
      </c>
      <c r="U770" s="31">
        <v>12.1149</v>
      </c>
    </row>
    <row r="771" spans="1:21">
      <c r="A771" s="31">
        <v>770</v>
      </c>
      <c r="B771" t="s">
        <v>39</v>
      </c>
      <c r="C771" s="32">
        <v>42835</v>
      </c>
      <c r="D771" s="32">
        <v>42839</v>
      </c>
      <c r="E771" t="s">
        <v>40</v>
      </c>
      <c r="F771" s="33" t="s">
        <v>3139</v>
      </c>
      <c r="G771" t="s">
        <v>3140</v>
      </c>
      <c r="H771" t="s">
        <v>17</v>
      </c>
      <c r="I771" t="s">
        <v>43</v>
      </c>
      <c r="J771" t="s">
        <v>889</v>
      </c>
      <c r="K771" t="s">
        <v>61</v>
      </c>
      <c r="L771" s="31">
        <v>32216</v>
      </c>
      <c r="M771" t="s">
        <v>10</v>
      </c>
      <c r="N771" s="33" t="s">
        <v>3141</v>
      </c>
      <c r="O771" t="s">
        <v>20</v>
      </c>
      <c r="P771" t="s">
        <v>68</v>
      </c>
      <c r="Q771" t="s">
        <v>3142</v>
      </c>
      <c r="R771" s="34">
        <v>12.32</v>
      </c>
      <c r="S771" s="31">
        <v>5</v>
      </c>
      <c r="T771" s="35">
        <v>0.2</v>
      </c>
      <c r="U771" s="31">
        <v>1.848</v>
      </c>
    </row>
    <row r="772" spans="1:21">
      <c r="A772" s="31">
        <v>771</v>
      </c>
      <c r="B772" t="s">
        <v>39</v>
      </c>
      <c r="C772" s="32">
        <v>43066</v>
      </c>
      <c r="D772" s="32">
        <v>43072</v>
      </c>
      <c r="E772" t="s">
        <v>57</v>
      </c>
      <c r="F772" s="33" t="s">
        <v>3143</v>
      </c>
      <c r="G772" t="s">
        <v>3144</v>
      </c>
      <c r="H772" t="s">
        <v>16</v>
      </c>
      <c r="I772" t="s">
        <v>43</v>
      </c>
      <c r="J772" t="s">
        <v>51</v>
      </c>
      <c r="K772" t="s">
        <v>52</v>
      </c>
      <c r="L772" s="31">
        <v>90036</v>
      </c>
      <c r="M772" t="s">
        <v>11</v>
      </c>
      <c r="N772" s="33" t="s">
        <v>3145</v>
      </c>
      <c r="O772" t="s">
        <v>22</v>
      </c>
      <c r="P772" t="s">
        <v>144</v>
      </c>
      <c r="Q772" t="s">
        <v>3146</v>
      </c>
      <c r="R772" s="34">
        <v>57.568</v>
      </c>
      <c r="S772" s="31">
        <v>4</v>
      </c>
      <c r="T772" s="35">
        <v>0.2</v>
      </c>
      <c r="U772" s="31">
        <v>5.7568</v>
      </c>
    </row>
    <row r="773" spans="1:21">
      <c r="A773" s="31">
        <v>772</v>
      </c>
      <c r="B773" t="s">
        <v>39</v>
      </c>
      <c r="C773" s="32">
        <v>43016</v>
      </c>
      <c r="D773" s="32">
        <v>43019</v>
      </c>
      <c r="E773" t="s">
        <v>139</v>
      </c>
      <c r="F773" s="33" t="s">
        <v>3147</v>
      </c>
      <c r="G773" t="s">
        <v>3148</v>
      </c>
      <c r="H773" t="s">
        <v>17</v>
      </c>
      <c r="I773" t="s">
        <v>43</v>
      </c>
      <c r="J773" t="s">
        <v>3149</v>
      </c>
      <c r="K773" t="s">
        <v>829</v>
      </c>
      <c r="L773" s="31">
        <v>2920</v>
      </c>
      <c r="M773" t="s">
        <v>9</v>
      </c>
      <c r="N773" s="33" t="s">
        <v>3150</v>
      </c>
      <c r="O773" t="s">
        <v>21</v>
      </c>
      <c r="P773" t="s">
        <v>96</v>
      </c>
      <c r="Q773" t="s">
        <v>3151</v>
      </c>
      <c r="R773" s="34">
        <v>42.76</v>
      </c>
      <c r="S773" s="31">
        <v>1</v>
      </c>
      <c r="T773" s="35">
        <v>0</v>
      </c>
      <c r="U773" s="31">
        <v>11.1176</v>
      </c>
    </row>
    <row r="774" spans="1:21">
      <c r="A774" s="31">
        <v>773</v>
      </c>
      <c r="B774" t="s">
        <v>39</v>
      </c>
      <c r="C774" s="32">
        <v>42119</v>
      </c>
      <c r="D774" s="32">
        <v>42124</v>
      </c>
      <c r="E774" t="s">
        <v>57</v>
      </c>
      <c r="F774" s="33" t="s">
        <v>3152</v>
      </c>
      <c r="G774" t="s">
        <v>3153</v>
      </c>
      <c r="H774" t="s">
        <v>16</v>
      </c>
      <c r="I774" t="s">
        <v>43</v>
      </c>
      <c r="J774" t="s">
        <v>1427</v>
      </c>
      <c r="K774" t="s">
        <v>94</v>
      </c>
      <c r="L774" s="31">
        <v>53209</v>
      </c>
      <c r="M774" t="s">
        <v>8</v>
      </c>
      <c r="N774" s="33" t="s">
        <v>1561</v>
      </c>
      <c r="O774" t="s">
        <v>21</v>
      </c>
      <c r="P774" t="s">
        <v>108</v>
      </c>
      <c r="Q774" t="s">
        <v>1562</v>
      </c>
      <c r="R774" s="34">
        <v>57.75</v>
      </c>
      <c r="S774" s="31">
        <v>5</v>
      </c>
      <c r="T774" s="35">
        <v>0</v>
      </c>
      <c r="U774" s="31">
        <v>16.17</v>
      </c>
    </row>
    <row r="775" spans="1:21">
      <c r="A775" s="31">
        <v>774</v>
      </c>
      <c r="B775" t="s">
        <v>39</v>
      </c>
      <c r="C775" s="32">
        <v>42820</v>
      </c>
      <c r="D775" s="32">
        <v>42827</v>
      </c>
      <c r="E775" t="s">
        <v>57</v>
      </c>
      <c r="F775" s="33" t="s">
        <v>3154</v>
      </c>
      <c r="G775" t="s">
        <v>3155</v>
      </c>
      <c r="H775" t="s">
        <v>18</v>
      </c>
      <c r="I775" t="s">
        <v>43</v>
      </c>
      <c r="J775" t="s">
        <v>1627</v>
      </c>
      <c r="K775" t="s">
        <v>221</v>
      </c>
      <c r="L775" s="31">
        <v>23464</v>
      </c>
      <c r="M775" t="s">
        <v>10</v>
      </c>
      <c r="N775" s="33" t="s">
        <v>2648</v>
      </c>
      <c r="O775" t="s">
        <v>22</v>
      </c>
      <c r="P775" t="s">
        <v>171</v>
      </c>
      <c r="Q775" t="s">
        <v>2649</v>
      </c>
      <c r="R775" s="34">
        <v>53.25</v>
      </c>
      <c r="S775" s="31">
        <v>3</v>
      </c>
      <c r="T775" s="35">
        <v>0</v>
      </c>
      <c r="U775" s="31">
        <v>20.7675</v>
      </c>
    </row>
    <row r="776" spans="1:21">
      <c r="A776" s="31">
        <v>775</v>
      </c>
      <c r="B776" t="s">
        <v>39</v>
      </c>
      <c r="C776" s="32">
        <v>42598</v>
      </c>
      <c r="D776" s="32">
        <v>42601</v>
      </c>
      <c r="E776" t="s">
        <v>139</v>
      </c>
      <c r="F776" s="33" t="s">
        <v>3156</v>
      </c>
      <c r="G776" t="s">
        <v>3157</v>
      </c>
      <c r="H776" t="s">
        <v>17</v>
      </c>
      <c r="I776" t="s">
        <v>43</v>
      </c>
      <c r="J776" t="s">
        <v>51</v>
      </c>
      <c r="K776" t="s">
        <v>52</v>
      </c>
      <c r="L776" s="31">
        <v>90045</v>
      </c>
      <c r="M776" t="s">
        <v>11</v>
      </c>
      <c r="N776" s="33" t="s">
        <v>3158</v>
      </c>
      <c r="O776" t="s">
        <v>20</v>
      </c>
      <c r="P776" t="s">
        <v>63</v>
      </c>
      <c r="Q776" t="s">
        <v>3159</v>
      </c>
      <c r="R776" s="34">
        <v>161.28</v>
      </c>
      <c r="S776" s="31">
        <v>2</v>
      </c>
      <c r="T776" s="35">
        <v>0.2</v>
      </c>
      <c r="U776" s="31">
        <v>12.096</v>
      </c>
    </row>
    <row r="777" spans="1:21">
      <c r="A777" s="31">
        <v>776</v>
      </c>
      <c r="B777" t="s">
        <v>39</v>
      </c>
      <c r="C777" s="32">
        <v>42723</v>
      </c>
      <c r="D777" s="32">
        <v>42728</v>
      </c>
      <c r="E777" t="s">
        <v>40</v>
      </c>
      <c r="F777" s="33" t="s">
        <v>3160</v>
      </c>
      <c r="G777" t="s">
        <v>3161</v>
      </c>
      <c r="H777" t="s">
        <v>17</v>
      </c>
      <c r="I777" t="s">
        <v>43</v>
      </c>
      <c r="J777" t="s">
        <v>193</v>
      </c>
      <c r="K777" t="s">
        <v>194</v>
      </c>
      <c r="L777" s="31">
        <v>10035</v>
      </c>
      <c r="M777" t="s">
        <v>9</v>
      </c>
      <c r="N777" s="33" t="s">
        <v>3029</v>
      </c>
      <c r="O777" t="s">
        <v>21</v>
      </c>
      <c r="P777" t="s">
        <v>82</v>
      </c>
      <c r="Q777" t="s">
        <v>3030</v>
      </c>
      <c r="R777" s="34">
        <v>34.248</v>
      </c>
      <c r="S777" s="31">
        <v>3</v>
      </c>
      <c r="T777" s="35">
        <v>0.2</v>
      </c>
      <c r="U777" s="31">
        <v>11.5587</v>
      </c>
    </row>
    <row r="778" spans="1:21">
      <c r="A778" s="31">
        <v>777</v>
      </c>
      <c r="B778" t="s">
        <v>39</v>
      </c>
      <c r="C778" s="32">
        <v>42209</v>
      </c>
      <c r="D778" s="32">
        <v>42213</v>
      </c>
      <c r="E778" t="s">
        <v>57</v>
      </c>
      <c r="F778" s="33" t="s">
        <v>3162</v>
      </c>
      <c r="G778" t="s">
        <v>3163</v>
      </c>
      <c r="H778" t="s">
        <v>18</v>
      </c>
      <c r="I778" t="s">
        <v>43</v>
      </c>
      <c r="J778" t="s">
        <v>1453</v>
      </c>
      <c r="K778" t="s">
        <v>45</v>
      </c>
      <c r="L778" s="31">
        <v>40214</v>
      </c>
      <c r="M778" t="s">
        <v>10</v>
      </c>
      <c r="N778" s="33" t="s">
        <v>67</v>
      </c>
      <c r="O778" t="s">
        <v>20</v>
      </c>
      <c r="P778" t="s">
        <v>68</v>
      </c>
      <c r="Q778" t="s">
        <v>69</v>
      </c>
      <c r="R778" s="34">
        <v>20.94</v>
      </c>
      <c r="S778" s="31">
        <v>3</v>
      </c>
      <c r="T778" s="35">
        <v>0</v>
      </c>
      <c r="U778" s="31">
        <v>6.0726</v>
      </c>
    </row>
    <row r="779" spans="1:21">
      <c r="A779" s="31">
        <v>778</v>
      </c>
      <c r="B779" t="s">
        <v>39</v>
      </c>
      <c r="C779" s="32">
        <v>42547</v>
      </c>
      <c r="D779" s="32">
        <v>42551</v>
      </c>
      <c r="E779" t="s">
        <v>57</v>
      </c>
      <c r="F779" s="33" t="s">
        <v>3164</v>
      </c>
      <c r="G779" t="s">
        <v>3165</v>
      </c>
      <c r="H779" t="s">
        <v>17</v>
      </c>
      <c r="I779" t="s">
        <v>43</v>
      </c>
      <c r="J779" t="s">
        <v>209</v>
      </c>
      <c r="K779" t="s">
        <v>154</v>
      </c>
      <c r="L779" s="31">
        <v>60653</v>
      </c>
      <c r="M779" t="s">
        <v>8</v>
      </c>
      <c r="N779" s="33" t="s">
        <v>413</v>
      </c>
      <c r="O779" t="s">
        <v>21</v>
      </c>
      <c r="P779" t="s">
        <v>108</v>
      </c>
      <c r="Q779" t="s">
        <v>414</v>
      </c>
      <c r="R779" s="34">
        <v>5.304</v>
      </c>
      <c r="S779" s="31">
        <v>3</v>
      </c>
      <c r="T779" s="35">
        <v>0.2</v>
      </c>
      <c r="U779" s="31">
        <v>0.4641</v>
      </c>
    </row>
    <row r="780" spans="1:21">
      <c r="A780" s="31">
        <v>779</v>
      </c>
      <c r="B780" t="s">
        <v>39</v>
      </c>
      <c r="C780" s="32">
        <v>41888</v>
      </c>
      <c r="D780" s="32">
        <v>41891</v>
      </c>
      <c r="E780" t="s">
        <v>139</v>
      </c>
      <c r="F780" s="33" t="s">
        <v>3166</v>
      </c>
      <c r="G780" t="s">
        <v>3167</v>
      </c>
      <c r="H780" t="s">
        <v>17</v>
      </c>
      <c r="I780" t="s">
        <v>43</v>
      </c>
      <c r="J780" t="s">
        <v>106</v>
      </c>
      <c r="K780" t="s">
        <v>52</v>
      </c>
      <c r="L780" s="31">
        <v>94109</v>
      </c>
      <c r="M780" t="s">
        <v>11</v>
      </c>
      <c r="N780" s="33" t="s">
        <v>67</v>
      </c>
      <c r="O780" t="s">
        <v>20</v>
      </c>
      <c r="P780" t="s">
        <v>68</v>
      </c>
      <c r="Q780" t="s">
        <v>69</v>
      </c>
      <c r="R780" s="34">
        <v>41.88</v>
      </c>
      <c r="S780" s="31">
        <v>6</v>
      </c>
      <c r="T780" s="35">
        <v>0</v>
      </c>
      <c r="U780" s="31">
        <v>12.1452</v>
      </c>
    </row>
    <row r="781" spans="1:21">
      <c r="A781" s="31">
        <v>780</v>
      </c>
      <c r="B781" t="s">
        <v>39</v>
      </c>
      <c r="C781" s="32">
        <v>42993</v>
      </c>
      <c r="D781" s="32">
        <v>42997</v>
      </c>
      <c r="E781" t="s">
        <v>57</v>
      </c>
      <c r="F781" s="33" t="s">
        <v>3168</v>
      </c>
      <c r="G781" t="s">
        <v>3169</v>
      </c>
      <c r="H781" t="s">
        <v>17</v>
      </c>
      <c r="I781" t="s">
        <v>43</v>
      </c>
      <c r="J781" t="s">
        <v>668</v>
      </c>
      <c r="K781" t="s">
        <v>504</v>
      </c>
      <c r="L781" s="31">
        <v>8701</v>
      </c>
      <c r="M781" t="s">
        <v>9</v>
      </c>
      <c r="N781" s="33" t="s">
        <v>2944</v>
      </c>
      <c r="O781" t="s">
        <v>20</v>
      </c>
      <c r="P781" t="s">
        <v>68</v>
      </c>
      <c r="Q781" t="s">
        <v>2945</v>
      </c>
      <c r="R781" s="34">
        <v>47.4</v>
      </c>
      <c r="S781" s="31">
        <v>5</v>
      </c>
      <c r="T781" s="35">
        <v>0</v>
      </c>
      <c r="U781" s="31">
        <v>18.96</v>
      </c>
    </row>
    <row r="782" spans="1:21">
      <c r="A782" s="31">
        <v>781</v>
      </c>
      <c r="B782" t="s">
        <v>39</v>
      </c>
      <c r="C782" s="32">
        <v>42690</v>
      </c>
      <c r="D782" s="32">
        <v>42691</v>
      </c>
      <c r="E782" t="s">
        <v>139</v>
      </c>
      <c r="F782" s="33" t="s">
        <v>3170</v>
      </c>
      <c r="G782" t="s">
        <v>3171</v>
      </c>
      <c r="H782" t="s">
        <v>16</v>
      </c>
      <c r="I782" t="s">
        <v>43</v>
      </c>
      <c r="J782" t="s">
        <v>371</v>
      </c>
      <c r="K782" t="s">
        <v>52</v>
      </c>
      <c r="L782" s="31">
        <v>95661</v>
      </c>
      <c r="M782" t="s">
        <v>11</v>
      </c>
      <c r="N782" s="33" t="s">
        <v>3172</v>
      </c>
      <c r="O782" t="s">
        <v>21</v>
      </c>
      <c r="P782" t="s">
        <v>82</v>
      </c>
      <c r="Q782" t="s">
        <v>3173</v>
      </c>
      <c r="R782" s="34">
        <v>8.32</v>
      </c>
      <c r="S782" s="31">
        <v>5</v>
      </c>
      <c r="T782" s="35">
        <v>0.2</v>
      </c>
      <c r="U782" s="31">
        <v>2.808</v>
      </c>
    </row>
    <row r="783" spans="1:21">
      <c r="A783" s="31">
        <v>782</v>
      </c>
      <c r="B783" t="s">
        <v>39</v>
      </c>
      <c r="C783" s="32">
        <v>42565</v>
      </c>
      <c r="D783" s="32">
        <v>42570</v>
      </c>
      <c r="E783" t="s">
        <v>57</v>
      </c>
      <c r="F783" s="33" t="s">
        <v>3174</v>
      </c>
      <c r="G783" t="s">
        <v>3175</v>
      </c>
      <c r="H783" t="s">
        <v>16</v>
      </c>
      <c r="I783" t="s">
        <v>43</v>
      </c>
      <c r="J783" t="s">
        <v>330</v>
      </c>
      <c r="K783" t="s">
        <v>746</v>
      </c>
      <c r="L783" s="31">
        <v>31907</v>
      </c>
      <c r="M783" t="s">
        <v>10</v>
      </c>
      <c r="N783" s="33" t="s">
        <v>3176</v>
      </c>
      <c r="O783" t="s">
        <v>21</v>
      </c>
      <c r="P783" t="s">
        <v>82</v>
      </c>
      <c r="Q783" t="s">
        <v>3177</v>
      </c>
      <c r="R783" s="34">
        <v>36.4</v>
      </c>
      <c r="S783" s="31">
        <v>5</v>
      </c>
      <c r="T783" s="35">
        <v>0</v>
      </c>
      <c r="U783" s="31">
        <v>17.108</v>
      </c>
    </row>
    <row r="784" spans="1:21">
      <c r="A784" s="31">
        <v>783</v>
      </c>
      <c r="B784" t="s">
        <v>39</v>
      </c>
      <c r="C784" s="32">
        <v>41922</v>
      </c>
      <c r="D784" s="32">
        <v>41927</v>
      </c>
      <c r="E784" t="s">
        <v>57</v>
      </c>
      <c r="F784" s="33" t="s">
        <v>3178</v>
      </c>
      <c r="G784" t="s">
        <v>3179</v>
      </c>
      <c r="H784" t="s">
        <v>17</v>
      </c>
      <c r="I784" t="s">
        <v>43</v>
      </c>
      <c r="J784" t="s">
        <v>957</v>
      </c>
      <c r="K784" t="s">
        <v>87</v>
      </c>
      <c r="L784" s="31">
        <v>77340</v>
      </c>
      <c r="M784" t="s">
        <v>8</v>
      </c>
      <c r="N784" s="33" t="s">
        <v>3180</v>
      </c>
      <c r="O784" t="s">
        <v>22</v>
      </c>
      <c r="P784" t="s">
        <v>144</v>
      </c>
      <c r="Q784" t="s">
        <v>3181</v>
      </c>
      <c r="R784" s="34">
        <v>719.952</v>
      </c>
      <c r="S784" s="31">
        <v>6</v>
      </c>
      <c r="T784" s="35">
        <v>0.2</v>
      </c>
      <c r="U784" s="31">
        <v>71.9952</v>
      </c>
    </row>
    <row r="785" spans="1:21">
      <c r="A785" s="31">
        <v>784</v>
      </c>
      <c r="B785" t="s">
        <v>39</v>
      </c>
      <c r="C785" s="32">
        <v>42085</v>
      </c>
      <c r="D785" s="32">
        <v>42090</v>
      </c>
      <c r="E785" t="s">
        <v>57</v>
      </c>
      <c r="F785" s="33" t="s">
        <v>3182</v>
      </c>
      <c r="G785" t="s">
        <v>3183</v>
      </c>
      <c r="H785" t="s">
        <v>17</v>
      </c>
      <c r="I785" t="s">
        <v>43</v>
      </c>
      <c r="J785" t="s">
        <v>957</v>
      </c>
      <c r="K785" t="s">
        <v>241</v>
      </c>
      <c r="L785" s="31">
        <v>35810</v>
      </c>
      <c r="M785" t="s">
        <v>10</v>
      </c>
      <c r="N785" s="33" t="s">
        <v>3184</v>
      </c>
      <c r="O785" t="s">
        <v>21</v>
      </c>
      <c r="P785" t="s">
        <v>108</v>
      </c>
      <c r="Q785" t="s">
        <v>3185</v>
      </c>
      <c r="R785" s="34">
        <v>19.56</v>
      </c>
      <c r="S785" s="31">
        <v>4</v>
      </c>
      <c r="T785" s="35">
        <v>0</v>
      </c>
      <c r="U785" s="31">
        <v>5.4768</v>
      </c>
    </row>
    <row r="786" spans="1:21">
      <c r="A786" s="31">
        <v>785</v>
      </c>
      <c r="B786" t="s">
        <v>39</v>
      </c>
      <c r="C786" s="32">
        <v>42663</v>
      </c>
      <c r="D786" s="32">
        <v>42669</v>
      </c>
      <c r="E786" t="s">
        <v>57</v>
      </c>
      <c r="F786" s="33" t="s">
        <v>3186</v>
      </c>
      <c r="G786" t="s">
        <v>3187</v>
      </c>
      <c r="H786" t="s">
        <v>18</v>
      </c>
      <c r="I786" t="s">
        <v>43</v>
      </c>
      <c r="J786" t="s">
        <v>673</v>
      </c>
      <c r="K786" t="s">
        <v>221</v>
      </c>
      <c r="L786" s="31">
        <v>22204</v>
      </c>
      <c r="M786" t="s">
        <v>10</v>
      </c>
      <c r="N786" s="33" t="s">
        <v>3188</v>
      </c>
      <c r="O786" t="s">
        <v>20</v>
      </c>
      <c r="P786" t="s">
        <v>68</v>
      </c>
      <c r="Q786" t="s">
        <v>3189</v>
      </c>
      <c r="R786" s="34">
        <v>61.1</v>
      </c>
      <c r="S786" s="31">
        <v>5</v>
      </c>
      <c r="T786" s="35">
        <v>0</v>
      </c>
      <c r="U786" s="31">
        <v>18.33</v>
      </c>
    </row>
    <row r="787" spans="1:21">
      <c r="A787" s="31">
        <v>786</v>
      </c>
      <c r="B787" t="s">
        <v>39</v>
      </c>
      <c r="C787" s="32">
        <v>42399</v>
      </c>
      <c r="D787" s="32">
        <v>42404</v>
      </c>
      <c r="E787" t="s">
        <v>57</v>
      </c>
      <c r="F787" s="33" t="s">
        <v>3190</v>
      </c>
      <c r="G787" t="s">
        <v>3191</v>
      </c>
      <c r="H787" t="s">
        <v>17</v>
      </c>
      <c r="I787" t="s">
        <v>43</v>
      </c>
      <c r="J787" t="s">
        <v>209</v>
      </c>
      <c r="K787" t="s">
        <v>154</v>
      </c>
      <c r="L787" s="31">
        <v>60623</v>
      </c>
      <c r="M787" t="s">
        <v>8</v>
      </c>
      <c r="N787" s="33" t="s">
        <v>3192</v>
      </c>
      <c r="O787" t="s">
        <v>21</v>
      </c>
      <c r="P787" t="s">
        <v>75</v>
      </c>
      <c r="Q787" t="s">
        <v>3193</v>
      </c>
      <c r="R787" s="34">
        <v>156.512</v>
      </c>
      <c r="S787" s="31">
        <v>4</v>
      </c>
      <c r="T787" s="35">
        <v>0.2</v>
      </c>
      <c r="U787" s="31">
        <v>52.8228</v>
      </c>
    </row>
    <row r="788" spans="1:21">
      <c r="A788" s="31">
        <v>787</v>
      </c>
      <c r="B788" t="s">
        <v>39</v>
      </c>
      <c r="C788" s="32">
        <v>42821</v>
      </c>
      <c r="D788" s="32">
        <v>42825</v>
      </c>
      <c r="E788" t="s">
        <v>57</v>
      </c>
      <c r="F788" s="33" t="s">
        <v>3194</v>
      </c>
      <c r="G788" t="s">
        <v>3195</v>
      </c>
      <c r="H788" t="s">
        <v>18</v>
      </c>
      <c r="I788" t="s">
        <v>43</v>
      </c>
      <c r="J788" t="s">
        <v>1837</v>
      </c>
      <c r="K788" t="s">
        <v>52</v>
      </c>
      <c r="L788" s="31">
        <v>93727</v>
      </c>
      <c r="M788" t="s">
        <v>11</v>
      </c>
      <c r="N788" s="33" t="s">
        <v>2477</v>
      </c>
      <c r="O788" t="s">
        <v>21</v>
      </c>
      <c r="P788" t="s">
        <v>75</v>
      </c>
      <c r="Q788" t="s">
        <v>2478</v>
      </c>
      <c r="R788" s="34">
        <v>45.68</v>
      </c>
      <c r="S788" s="31">
        <v>2</v>
      </c>
      <c r="T788" s="35">
        <v>0</v>
      </c>
      <c r="U788" s="31">
        <v>21.0128</v>
      </c>
    </row>
    <row r="789" spans="1:21">
      <c r="A789" s="31">
        <v>788</v>
      </c>
      <c r="B789" t="s">
        <v>39</v>
      </c>
      <c r="C789" s="32">
        <v>42162</v>
      </c>
      <c r="D789" s="32">
        <v>42166</v>
      </c>
      <c r="E789" t="s">
        <v>57</v>
      </c>
      <c r="F789" s="33" t="s">
        <v>3196</v>
      </c>
      <c r="G789" t="s">
        <v>3197</v>
      </c>
      <c r="H789" t="s">
        <v>18</v>
      </c>
      <c r="I789" t="s">
        <v>43</v>
      </c>
      <c r="J789" t="s">
        <v>118</v>
      </c>
      <c r="K789" t="s">
        <v>119</v>
      </c>
      <c r="L789" s="31">
        <v>19143</v>
      </c>
      <c r="M789" t="s">
        <v>9</v>
      </c>
      <c r="N789" s="33" t="s">
        <v>1669</v>
      </c>
      <c r="O789" t="s">
        <v>21</v>
      </c>
      <c r="P789" t="s">
        <v>82</v>
      </c>
      <c r="Q789" t="s">
        <v>1670</v>
      </c>
      <c r="R789" s="34">
        <v>18.312</v>
      </c>
      <c r="S789" s="31">
        <v>4</v>
      </c>
      <c r="T789" s="35">
        <v>0.7</v>
      </c>
      <c r="U789" s="31">
        <v>-12.208</v>
      </c>
    </row>
    <row r="790" spans="1:21">
      <c r="A790" s="31">
        <v>789</v>
      </c>
      <c r="B790" t="s">
        <v>39</v>
      </c>
      <c r="C790" s="32">
        <v>42734</v>
      </c>
      <c r="D790" s="32">
        <v>42737</v>
      </c>
      <c r="E790" t="s">
        <v>139</v>
      </c>
      <c r="F790" s="33" t="s">
        <v>3198</v>
      </c>
      <c r="G790" t="s">
        <v>3199</v>
      </c>
      <c r="H790" t="s">
        <v>17</v>
      </c>
      <c r="I790" t="s">
        <v>43</v>
      </c>
      <c r="J790" t="s">
        <v>118</v>
      </c>
      <c r="K790" t="s">
        <v>119</v>
      </c>
      <c r="L790" s="31">
        <v>19140</v>
      </c>
      <c r="M790" t="s">
        <v>9</v>
      </c>
      <c r="N790" s="33" t="s">
        <v>3200</v>
      </c>
      <c r="O790" t="s">
        <v>21</v>
      </c>
      <c r="P790" t="s">
        <v>108</v>
      </c>
      <c r="Q790" t="s">
        <v>3201</v>
      </c>
      <c r="R790" s="34">
        <v>16.52</v>
      </c>
      <c r="S790" s="31">
        <v>5</v>
      </c>
      <c r="T790" s="35">
        <v>0.2</v>
      </c>
      <c r="U790" s="31">
        <v>1.652</v>
      </c>
    </row>
    <row r="791" spans="1:21">
      <c r="A791" s="31">
        <v>790</v>
      </c>
      <c r="B791" t="s">
        <v>39</v>
      </c>
      <c r="C791" s="32">
        <v>43080</v>
      </c>
      <c r="D791" s="32">
        <v>43083</v>
      </c>
      <c r="E791" t="s">
        <v>40</v>
      </c>
      <c r="F791" s="33" t="s">
        <v>3202</v>
      </c>
      <c r="G791" t="s">
        <v>3203</v>
      </c>
      <c r="H791" t="s">
        <v>18</v>
      </c>
      <c r="I791" t="s">
        <v>43</v>
      </c>
      <c r="J791" t="s">
        <v>1249</v>
      </c>
      <c r="K791" t="s">
        <v>325</v>
      </c>
      <c r="L791" s="31">
        <v>52601</v>
      </c>
      <c r="M791" t="s">
        <v>8</v>
      </c>
      <c r="N791" s="33" t="s">
        <v>3204</v>
      </c>
      <c r="O791" t="s">
        <v>21</v>
      </c>
      <c r="P791" t="s">
        <v>149</v>
      </c>
      <c r="Q791" t="s">
        <v>3205</v>
      </c>
      <c r="R791" s="34">
        <v>7.28</v>
      </c>
      <c r="S791" s="31">
        <v>1</v>
      </c>
      <c r="T791" s="35">
        <v>0</v>
      </c>
      <c r="U791" s="31">
        <v>3.4944</v>
      </c>
    </row>
    <row r="792" spans="1:21">
      <c r="A792" s="31">
        <v>791</v>
      </c>
      <c r="B792" t="s">
        <v>39</v>
      </c>
      <c r="C792" s="32">
        <v>42685</v>
      </c>
      <c r="D792" s="32">
        <v>42689</v>
      </c>
      <c r="E792" t="s">
        <v>57</v>
      </c>
      <c r="F792" s="33" t="s">
        <v>3206</v>
      </c>
      <c r="G792" t="s">
        <v>3207</v>
      </c>
      <c r="H792" t="s">
        <v>16</v>
      </c>
      <c r="I792" t="s">
        <v>43</v>
      </c>
      <c r="J792" t="s">
        <v>3208</v>
      </c>
      <c r="K792" t="s">
        <v>154</v>
      </c>
      <c r="L792" s="31">
        <v>60004</v>
      </c>
      <c r="M792" t="s">
        <v>8</v>
      </c>
      <c r="N792" s="33" t="s">
        <v>1093</v>
      </c>
      <c r="O792" t="s">
        <v>21</v>
      </c>
      <c r="P792" t="s">
        <v>108</v>
      </c>
      <c r="Q792" t="s">
        <v>1094</v>
      </c>
      <c r="R792" s="34">
        <v>14.112</v>
      </c>
      <c r="S792" s="31">
        <v>6</v>
      </c>
      <c r="T792" s="35">
        <v>0.2</v>
      </c>
      <c r="U792" s="31">
        <v>1.2348</v>
      </c>
    </row>
    <row r="793" spans="1:21">
      <c r="A793" s="31">
        <v>792</v>
      </c>
      <c r="B793" t="s">
        <v>39</v>
      </c>
      <c r="C793" s="32">
        <v>42002</v>
      </c>
      <c r="D793" s="32">
        <v>42004</v>
      </c>
      <c r="E793" t="s">
        <v>40</v>
      </c>
      <c r="F793" s="33" t="s">
        <v>3209</v>
      </c>
      <c r="G793" t="s">
        <v>3210</v>
      </c>
      <c r="H793" t="s">
        <v>16</v>
      </c>
      <c r="I793" t="s">
        <v>43</v>
      </c>
      <c r="J793" t="s">
        <v>2183</v>
      </c>
      <c r="K793" t="s">
        <v>331</v>
      </c>
      <c r="L793" s="31">
        <v>44240</v>
      </c>
      <c r="M793" t="s">
        <v>9</v>
      </c>
      <c r="N793" s="33" t="s">
        <v>3211</v>
      </c>
      <c r="O793" t="s">
        <v>21</v>
      </c>
      <c r="P793" t="s">
        <v>89</v>
      </c>
      <c r="Q793" t="s">
        <v>3212</v>
      </c>
      <c r="R793" s="34">
        <v>48.36</v>
      </c>
      <c r="S793" s="31">
        <v>5</v>
      </c>
      <c r="T793" s="35">
        <v>0.2</v>
      </c>
      <c r="U793" s="31">
        <v>6.045</v>
      </c>
    </row>
    <row r="794" spans="1:21">
      <c r="A794" s="31">
        <v>793</v>
      </c>
      <c r="B794" t="s">
        <v>39</v>
      </c>
      <c r="C794" s="32">
        <v>42493</v>
      </c>
      <c r="D794" s="32">
        <v>42495</v>
      </c>
      <c r="E794" t="s">
        <v>139</v>
      </c>
      <c r="F794" s="33" t="s">
        <v>3213</v>
      </c>
      <c r="G794" t="s">
        <v>3214</v>
      </c>
      <c r="H794" t="s">
        <v>16</v>
      </c>
      <c r="I794" t="s">
        <v>43</v>
      </c>
      <c r="J794" t="s">
        <v>393</v>
      </c>
      <c r="K794" t="s">
        <v>331</v>
      </c>
      <c r="L794" s="31">
        <v>43055</v>
      </c>
      <c r="M794" t="s">
        <v>9</v>
      </c>
      <c r="N794" s="33" t="s">
        <v>1200</v>
      </c>
      <c r="O794" t="s">
        <v>22</v>
      </c>
      <c r="P794" t="s">
        <v>171</v>
      </c>
      <c r="Q794" t="s">
        <v>1201</v>
      </c>
      <c r="R794" s="34">
        <v>132.52</v>
      </c>
      <c r="S794" s="31">
        <v>5</v>
      </c>
      <c r="T794" s="35">
        <v>0.2</v>
      </c>
      <c r="U794" s="31">
        <v>34.7865</v>
      </c>
    </row>
    <row r="795" spans="1:21">
      <c r="A795"/>
      <c r="C795"/>
      <c r="D795"/>
      <c r="L795"/>
      <c r="R795"/>
      <c r="S795"/>
      <c r="T795"/>
      <c r="U795"/>
    </row>
    <row r="796" spans="1:21">
      <c r="A796"/>
      <c r="C796"/>
      <c r="D796"/>
      <c r="L796"/>
      <c r="R796"/>
      <c r="S796"/>
      <c r="T796"/>
      <c r="U796"/>
    </row>
    <row r="797" spans="1:21">
      <c r="A797"/>
      <c r="C797"/>
      <c r="D797"/>
      <c r="L797"/>
      <c r="R797"/>
      <c r="S797"/>
      <c r="T797"/>
      <c r="U797"/>
    </row>
    <row r="798" spans="1:21">
      <c r="A798"/>
      <c r="C798"/>
      <c r="D798"/>
      <c r="L798"/>
      <c r="R798"/>
      <c r="S798"/>
      <c r="T798"/>
      <c r="U798"/>
    </row>
    <row r="799" spans="1:21">
      <c r="A799"/>
      <c r="C799"/>
      <c r="D799"/>
      <c r="L799"/>
      <c r="R799"/>
      <c r="S799"/>
      <c r="T799"/>
      <c r="U799"/>
    </row>
    <row r="800" spans="1:21">
      <c r="A800"/>
      <c r="C800"/>
      <c r="D800"/>
      <c r="L800"/>
      <c r="R800"/>
      <c r="S800"/>
      <c r="T800"/>
      <c r="U800"/>
    </row>
    <row r="801" spans="1:21">
      <c r="A801"/>
      <c r="C801"/>
      <c r="D801"/>
      <c r="L801"/>
      <c r="R801"/>
      <c r="S801"/>
      <c r="T801"/>
      <c r="U801"/>
    </row>
    <row r="802" spans="1:21">
      <c r="A802"/>
      <c r="C802"/>
      <c r="D802"/>
      <c r="L802"/>
      <c r="R802"/>
      <c r="S802"/>
      <c r="T802"/>
      <c r="U802"/>
    </row>
    <row r="803" spans="1:21">
      <c r="A803"/>
      <c r="C803"/>
      <c r="D803"/>
      <c r="L803"/>
      <c r="R803"/>
      <c r="S803"/>
      <c r="T803"/>
      <c r="U803"/>
    </row>
    <row r="804" spans="1:21">
      <c r="A804"/>
      <c r="C804"/>
      <c r="D804"/>
      <c r="L804"/>
      <c r="R804"/>
      <c r="S804"/>
      <c r="T804"/>
      <c r="U804"/>
    </row>
    <row r="805" spans="1:21">
      <c r="A805"/>
      <c r="C805"/>
      <c r="D805"/>
      <c r="L805"/>
      <c r="R805"/>
      <c r="S805"/>
      <c r="T805"/>
      <c r="U805"/>
    </row>
    <row r="806" spans="1:21">
      <c r="A806"/>
      <c r="C806"/>
      <c r="D806"/>
      <c r="L806"/>
      <c r="R806"/>
      <c r="S806"/>
      <c r="T806"/>
      <c r="U806"/>
    </row>
    <row r="807" spans="1:21">
      <c r="A807"/>
      <c r="C807"/>
      <c r="D807"/>
      <c r="L807"/>
      <c r="R807"/>
      <c r="S807"/>
      <c r="T807"/>
      <c r="U807"/>
    </row>
    <row r="808" spans="1:21">
      <c r="A808"/>
      <c r="C808"/>
      <c r="D808"/>
      <c r="L808"/>
      <c r="R808"/>
      <c r="S808"/>
      <c r="T808"/>
      <c r="U808"/>
    </row>
    <row r="809" spans="1:21">
      <c r="A809"/>
      <c r="C809"/>
      <c r="D809"/>
      <c r="L809"/>
      <c r="R809"/>
      <c r="S809"/>
      <c r="T809"/>
      <c r="U809"/>
    </row>
    <row r="810" spans="1:21">
      <c r="A810"/>
      <c r="C810"/>
      <c r="D810"/>
      <c r="L810"/>
      <c r="R810"/>
      <c r="S810"/>
      <c r="T810"/>
      <c r="U810"/>
    </row>
    <row r="811" spans="1:21">
      <c r="A811"/>
      <c r="C811"/>
      <c r="D811"/>
      <c r="L811"/>
      <c r="R811"/>
      <c r="S811"/>
      <c r="T811"/>
      <c r="U811"/>
    </row>
    <row r="812" spans="1:21">
      <c r="A812"/>
      <c r="C812"/>
      <c r="D812"/>
      <c r="L812"/>
      <c r="R812"/>
      <c r="S812"/>
      <c r="T812"/>
      <c r="U812"/>
    </row>
    <row r="813" spans="1:21">
      <c r="A813"/>
      <c r="C813"/>
      <c r="D813"/>
      <c r="L813"/>
      <c r="R813"/>
      <c r="S813"/>
      <c r="T813"/>
      <c r="U813"/>
    </row>
    <row r="814" spans="1:21">
      <c r="A814"/>
      <c r="C814"/>
      <c r="D814"/>
      <c r="L814"/>
      <c r="R814"/>
      <c r="S814"/>
      <c r="T814"/>
      <c r="U814"/>
    </row>
    <row r="815" spans="1:21">
      <c r="A815"/>
      <c r="C815"/>
      <c r="D815"/>
      <c r="L815"/>
      <c r="R815"/>
      <c r="S815"/>
      <c r="T815"/>
      <c r="U815"/>
    </row>
    <row r="816" spans="1:21">
      <c r="A816"/>
      <c r="C816"/>
      <c r="D816"/>
      <c r="L816"/>
      <c r="R816"/>
      <c r="S816"/>
      <c r="T816"/>
      <c r="U816"/>
    </row>
    <row r="817" spans="1:21">
      <c r="A817"/>
      <c r="C817"/>
      <c r="D817"/>
      <c r="L817"/>
      <c r="R817"/>
      <c r="S817"/>
      <c r="T817"/>
      <c r="U817"/>
    </row>
    <row r="818" spans="1:21">
      <c r="A818"/>
      <c r="C818"/>
      <c r="D818"/>
      <c r="L818"/>
      <c r="R818"/>
      <c r="S818"/>
      <c r="T818"/>
      <c r="U818"/>
    </row>
    <row r="819" spans="1:21">
      <c r="A819"/>
      <c r="C819"/>
      <c r="D819"/>
      <c r="L819"/>
      <c r="R819"/>
      <c r="S819"/>
      <c r="T819"/>
      <c r="U819"/>
    </row>
    <row r="820" spans="1:21">
      <c r="A820"/>
      <c r="C820"/>
      <c r="D820"/>
      <c r="L820"/>
      <c r="R820"/>
      <c r="S820"/>
      <c r="T820"/>
      <c r="U820"/>
    </row>
    <row r="821" spans="1:21">
      <c r="A821"/>
      <c r="C821"/>
      <c r="D821"/>
      <c r="L821"/>
      <c r="R821"/>
      <c r="S821"/>
      <c r="T821"/>
      <c r="U821"/>
    </row>
    <row r="822" spans="1:21">
      <c r="A822"/>
      <c r="C822"/>
      <c r="D822"/>
      <c r="L822"/>
      <c r="R822"/>
      <c r="S822"/>
      <c r="T822"/>
      <c r="U822"/>
    </row>
    <row r="823" spans="1:21">
      <c r="A823"/>
      <c r="C823"/>
      <c r="D823"/>
      <c r="L823"/>
      <c r="R823"/>
      <c r="S823"/>
      <c r="T823"/>
      <c r="U823"/>
    </row>
    <row r="824" spans="1:21">
      <c r="A824"/>
      <c r="C824"/>
      <c r="D824"/>
      <c r="L824"/>
      <c r="R824"/>
      <c r="S824"/>
      <c r="T824"/>
      <c r="U824"/>
    </row>
    <row r="825" spans="1:21">
      <c r="A825"/>
      <c r="C825"/>
      <c r="D825"/>
      <c r="L825"/>
      <c r="R825"/>
      <c r="S825"/>
      <c r="T825"/>
      <c r="U825"/>
    </row>
    <row r="826" spans="1:21">
      <c r="A826"/>
      <c r="C826"/>
      <c r="D826"/>
      <c r="L826"/>
      <c r="R826"/>
      <c r="S826"/>
      <c r="T826"/>
      <c r="U826"/>
    </row>
    <row r="827" spans="1:21">
      <c r="A827"/>
      <c r="C827"/>
      <c r="D827"/>
      <c r="L827"/>
      <c r="R827"/>
      <c r="S827"/>
      <c r="T827"/>
      <c r="U827"/>
    </row>
    <row r="828" spans="1:21">
      <c r="A828"/>
      <c r="C828"/>
      <c r="D828"/>
      <c r="L828"/>
      <c r="R828"/>
      <c r="S828"/>
      <c r="T828"/>
      <c r="U828"/>
    </row>
    <row r="829" spans="1:21">
      <c r="A829"/>
      <c r="C829"/>
      <c r="D829"/>
      <c r="L829"/>
      <c r="R829"/>
      <c r="S829"/>
      <c r="T829"/>
      <c r="U829"/>
    </row>
    <row r="830" spans="1:21">
      <c r="A830"/>
      <c r="C830"/>
      <c r="D830"/>
      <c r="L830"/>
      <c r="R830"/>
      <c r="S830"/>
      <c r="T830"/>
      <c r="U830"/>
    </row>
    <row r="831" spans="1:21">
      <c r="A831"/>
      <c r="C831"/>
      <c r="D831"/>
      <c r="L831"/>
      <c r="R831"/>
      <c r="S831"/>
      <c r="T831"/>
      <c r="U831"/>
    </row>
    <row r="832" spans="1:21">
      <c r="A832"/>
      <c r="C832"/>
      <c r="D832"/>
      <c r="L832"/>
      <c r="R832"/>
      <c r="S832"/>
      <c r="T832"/>
      <c r="U832"/>
    </row>
    <row r="833" spans="1:21">
      <c r="A833"/>
      <c r="C833"/>
      <c r="D833"/>
      <c r="L833"/>
      <c r="R833"/>
      <c r="S833"/>
      <c r="T833"/>
      <c r="U833"/>
    </row>
    <row r="834" spans="1:21">
      <c r="A834"/>
      <c r="C834"/>
      <c r="D834"/>
      <c r="L834"/>
      <c r="R834"/>
      <c r="S834"/>
      <c r="T834"/>
      <c r="U834"/>
    </row>
    <row r="835" spans="1:21">
      <c r="A835"/>
      <c r="C835"/>
      <c r="D835"/>
      <c r="L835"/>
      <c r="R835"/>
      <c r="S835"/>
      <c r="T835"/>
      <c r="U835"/>
    </row>
    <row r="836" spans="1:21">
      <c r="A836"/>
      <c r="C836"/>
      <c r="D836"/>
      <c r="L836"/>
      <c r="R836"/>
      <c r="S836"/>
      <c r="T836"/>
      <c r="U836"/>
    </row>
    <row r="837" spans="1:21">
      <c r="A837"/>
      <c r="C837"/>
      <c r="D837"/>
      <c r="L837"/>
      <c r="R837"/>
      <c r="S837"/>
      <c r="T837"/>
      <c r="U837"/>
    </row>
    <row r="838" spans="1:21">
      <c r="A838"/>
      <c r="C838"/>
      <c r="D838"/>
      <c r="L838"/>
      <c r="R838"/>
      <c r="S838"/>
      <c r="T838"/>
      <c r="U838"/>
    </row>
    <row r="839" spans="1:21">
      <c r="A839"/>
      <c r="C839"/>
      <c r="D839"/>
      <c r="L839"/>
      <c r="R839"/>
      <c r="S839"/>
      <c r="T839"/>
      <c r="U839"/>
    </row>
    <row r="840" spans="1:21">
      <c r="A840"/>
      <c r="C840"/>
      <c r="D840"/>
      <c r="L840"/>
      <c r="R840"/>
      <c r="S840"/>
      <c r="T840"/>
      <c r="U840"/>
    </row>
    <row r="841" spans="1:21">
      <c r="A841"/>
      <c r="C841"/>
      <c r="D841"/>
      <c r="L841"/>
      <c r="R841"/>
      <c r="S841"/>
      <c r="T841"/>
      <c r="U841"/>
    </row>
    <row r="842" spans="1:21">
      <c r="A842"/>
      <c r="C842"/>
      <c r="D842"/>
      <c r="L842"/>
      <c r="R842"/>
      <c r="S842"/>
      <c r="T842"/>
      <c r="U842"/>
    </row>
    <row r="843" spans="1:21">
      <c r="A843"/>
      <c r="C843"/>
      <c r="D843"/>
      <c r="L843"/>
      <c r="R843"/>
      <c r="S843"/>
      <c r="T843"/>
      <c r="U843"/>
    </row>
    <row r="844" spans="1:21">
      <c r="A844"/>
      <c r="C844"/>
      <c r="D844"/>
      <c r="L844"/>
      <c r="R844"/>
      <c r="S844"/>
      <c r="T844"/>
      <c r="U844"/>
    </row>
    <row r="845" spans="1:21">
      <c r="A845"/>
      <c r="C845"/>
      <c r="D845"/>
      <c r="L845"/>
      <c r="R845"/>
      <c r="S845"/>
      <c r="T845"/>
      <c r="U845"/>
    </row>
    <row r="846" spans="1:21">
      <c r="A846"/>
      <c r="C846"/>
      <c r="D846"/>
      <c r="L846"/>
      <c r="R846"/>
      <c r="S846"/>
      <c r="T846"/>
      <c r="U846"/>
    </row>
    <row r="847" spans="1:21">
      <c r="A847"/>
      <c r="C847"/>
      <c r="D847"/>
      <c r="L847"/>
      <c r="R847"/>
      <c r="S847"/>
      <c r="T847"/>
      <c r="U847"/>
    </row>
    <row r="848" spans="1:21">
      <c r="A848"/>
      <c r="C848"/>
      <c r="D848"/>
      <c r="L848"/>
      <c r="R848"/>
      <c r="S848"/>
      <c r="T848"/>
      <c r="U848"/>
    </row>
    <row r="849" spans="1:21">
      <c r="A849"/>
      <c r="C849"/>
      <c r="D849"/>
      <c r="L849"/>
      <c r="R849"/>
      <c r="S849"/>
      <c r="T849"/>
      <c r="U849"/>
    </row>
    <row r="850" spans="1:21">
      <c r="A850"/>
      <c r="C850"/>
      <c r="D850"/>
      <c r="L850"/>
      <c r="R850"/>
      <c r="S850"/>
      <c r="T850"/>
      <c r="U850"/>
    </row>
    <row r="851" spans="1:21">
      <c r="A851"/>
      <c r="C851"/>
      <c r="D851"/>
      <c r="L851"/>
      <c r="R851"/>
      <c r="S851"/>
      <c r="T851"/>
      <c r="U851"/>
    </row>
    <row r="852" spans="1:21">
      <c r="A852"/>
      <c r="C852"/>
      <c r="D852"/>
      <c r="L852"/>
      <c r="R852"/>
      <c r="S852"/>
      <c r="T852"/>
      <c r="U852"/>
    </row>
    <row r="853" spans="1:21">
      <c r="A853"/>
      <c r="C853"/>
      <c r="D853"/>
      <c r="L853"/>
      <c r="R853"/>
      <c r="S853"/>
      <c r="T853"/>
      <c r="U853"/>
    </row>
    <row r="854" spans="1:21">
      <c r="A854"/>
      <c r="C854"/>
      <c r="D854"/>
      <c r="L854"/>
      <c r="R854"/>
      <c r="S854"/>
      <c r="T854"/>
      <c r="U854"/>
    </row>
    <row r="855" spans="1:21">
      <c r="A855"/>
      <c r="C855"/>
      <c r="D855"/>
      <c r="L855"/>
      <c r="R855"/>
      <c r="S855"/>
      <c r="T855"/>
      <c r="U855"/>
    </row>
    <row r="856" spans="1:21">
      <c r="A856"/>
      <c r="C856"/>
      <c r="D856"/>
      <c r="L856"/>
      <c r="R856"/>
      <c r="S856"/>
      <c r="T856"/>
      <c r="U856"/>
    </row>
    <row r="857" spans="1:21">
      <c r="A857"/>
      <c r="C857"/>
      <c r="D857"/>
      <c r="L857"/>
      <c r="R857"/>
      <c r="S857"/>
      <c r="T857"/>
      <c r="U857"/>
    </row>
    <row r="858" spans="1:21">
      <c r="A858"/>
      <c r="C858"/>
      <c r="D858"/>
      <c r="L858"/>
      <c r="R858"/>
      <c r="S858"/>
      <c r="T858"/>
      <c r="U858"/>
    </row>
    <row r="859" spans="1:21">
      <c r="A859"/>
      <c r="C859"/>
      <c r="D859"/>
      <c r="L859"/>
      <c r="R859"/>
      <c r="S859"/>
      <c r="T859"/>
      <c r="U859"/>
    </row>
    <row r="860" spans="1:21">
      <c r="A860"/>
      <c r="C860"/>
      <c r="D860"/>
      <c r="L860"/>
      <c r="R860"/>
      <c r="S860"/>
      <c r="T860"/>
      <c r="U860"/>
    </row>
    <row r="861" spans="1:21">
      <c r="A861"/>
      <c r="C861"/>
      <c r="D861"/>
      <c r="L861"/>
      <c r="R861"/>
      <c r="S861"/>
      <c r="T861"/>
      <c r="U861"/>
    </row>
    <row r="862" spans="1:21">
      <c r="A862"/>
      <c r="C862"/>
      <c r="D862"/>
      <c r="L862"/>
      <c r="R862"/>
      <c r="S862"/>
      <c r="T862"/>
      <c r="U862"/>
    </row>
    <row r="863" spans="1:21">
      <c r="A863"/>
      <c r="C863"/>
      <c r="D863"/>
      <c r="L863"/>
      <c r="R863"/>
      <c r="S863"/>
      <c r="T863"/>
      <c r="U863"/>
    </row>
    <row r="864" spans="1:21">
      <c r="A864"/>
      <c r="C864"/>
      <c r="D864"/>
      <c r="L864"/>
      <c r="R864"/>
      <c r="S864"/>
      <c r="T864"/>
      <c r="U864"/>
    </row>
    <row r="865" spans="1:21">
      <c r="A865"/>
      <c r="C865"/>
      <c r="D865"/>
      <c r="L865"/>
      <c r="R865"/>
      <c r="S865"/>
      <c r="T865"/>
      <c r="U865"/>
    </row>
    <row r="866" spans="1:21">
      <c r="A866"/>
      <c r="C866"/>
      <c r="D866"/>
      <c r="L866"/>
      <c r="R866"/>
      <c r="S866"/>
      <c r="T866"/>
      <c r="U866"/>
    </row>
    <row r="867" spans="1:21">
      <c r="A867"/>
      <c r="C867"/>
      <c r="D867"/>
      <c r="L867"/>
      <c r="R867"/>
      <c r="S867"/>
      <c r="T867"/>
      <c r="U867"/>
    </row>
    <row r="868" spans="1:21">
      <c r="A868"/>
      <c r="C868"/>
      <c r="D868"/>
      <c r="L868"/>
      <c r="R868"/>
      <c r="S868"/>
      <c r="T868"/>
      <c r="U868"/>
    </row>
    <row r="869" spans="1:21">
      <c r="A869"/>
      <c r="C869"/>
      <c r="D869"/>
      <c r="L869"/>
      <c r="R869"/>
      <c r="S869"/>
      <c r="T869"/>
      <c r="U869"/>
    </row>
    <row r="870" spans="1:21">
      <c r="A870"/>
      <c r="C870"/>
      <c r="D870"/>
      <c r="L870"/>
      <c r="R870"/>
      <c r="S870"/>
      <c r="T870"/>
      <c r="U870"/>
    </row>
    <row r="871" spans="1:21">
      <c r="A871"/>
      <c r="C871"/>
      <c r="D871"/>
      <c r="L871"/>
      <c r="R871"/>
      <c r="S871"/>
      <c r="T871"/>
      <c r="U871"/>
    </row>
    <row r="872" spans="1:21">
      <c r="A872"/>
      <c r="C872"/>
      <c r="D872"/>
      <c r="L872"/>
      <c r="R872"/>
      <c r="S872"/>
      <c r="T872"/>
      <c r="U872"/>
    </row>
    <row r="873" spans="1:21">
      <c r="A873"/>
      <c r="C873"/>
      <c r="D873"/>
      <c r="L873"/>
      <c r="R873"/>
      <c r="S873"/>
      <c r="T873"/>
      <c r="U873"/>
    </row>
    <row r="874" spans="1:21">
      <c r="A874"/>
      <c r="C874"/>
      <c r="D874"/>
      <c r="L874"/>
      <c r="R874"/>
      <c r="S874"/>
      <c r="T874"/>
      <c r="U874"/>
    </row>
    <row r="875" spans="1:21">
      <c r="A875"/>
      <c r="C875"/>
      <c r="D875"/>
      <c r="L875"/>
      <c r="R875"/>
      <c r="S875"/>
      <c r="T875"/>
      <c r="U875"/>
    </row>
    <row r="876" spans="1:21">
      <c r="A876"/>
      <c r="C876"/>
      <c r="D876"/>
      <c r="L876"/>
      <c r="R876"/>
      <c r="S876"/>
      <c r="T876"/>
      <c r="U876"/>
    </row>
    <row r="877" spans="1:21">
      <c r="A877"/>
      <c r="C877"/>
      <c r="D877"/>
      <c r="L877"/>
      <c r="R877"/>
      <c r="S877"/>
      <c r="T877"/>
      <c r="U877"/>
    </row>
    <row r="878" spans="1:21">
      <c r="A878"/>
      <c r="C878"/>
      <c r="D878"/>
      <c r="L878"/>
      <c r="R878"/>
      <c r="S878"/>
      <c r="T878"/>
      <c r="U878"/>
    </row>
    <row r="879" spans="1:21">
      <c r="A879"/>
      <c r="C879"/>
      <c r="D879"/>
      <c r="L879"/>
      <c r="R879"/>
      <c r="S879"/>
      <c r="T879"/>
      <c r="U879"/>
    </row>
    <row r="880" spans="1:21">
      <c r="A880"/>
      <c r="C880"/>
      <c r="D880"/>
      <c r="L880"/>
      <c r="R880"/>
      <c r="S880"/>
      <c r="T880"/>
      <c r="U880"/>
    </row>
    <row r="881" spans="1:21">
      <c r="A881"/>
      <c r="C881"/>
      <c r="D881"/>
      <c r="L881"/>
      <c r="R881"/>
      <c r="S881"/>
      <c r="T881"/>
      <c r="U881"/>
    </row>
    <row r="882" spans="1:21">
      <c r="A882"/>
      <c r="C882"/>
      <c r="D882"/>
      <c r="L882"/>
      <c r="R882"/>
      <c r="S882"/>
      <c r="T882"/>
      <c r="U882"/>
    </row>
    <row r="883" spans="1:21">
      <c r="A883"/>
      <c r="C883"/>
      <c r="D883"/>
      <c r="L883"/>
      <c r="R883"/>
      <c r="S883"/>
      <c r="T883"/>
      <c r="U883"/>
    </row>
    <row r="884" spans="1:21">
      <c r="A884"/>
      <c r="C884"/>
      <c r="D884"/>
      <c r="L884"/>
      <c r="R884"/>
      <c r="S884"/>
      <c r="T884"/>
      <c r="U884"/>
    </row>
    <row r="885" spans="1:21">
      <c r="A885"/>
      <c r="C885"/>
      <c r="D885"/>
      <c r="L885"/>
      <c r="R885"/>
      <c r="S885"/>
      <c r="T885"/>
      <c r="U885"/>
    </row>
    <row r="886" spans="1:21">
      <c r="A886"/>
      <c r="C886"/>
      <c r="D886"/>
      <c r="L886"/>
      <c r="R886"/>
      <c r="S886"/>
      <c r="T886"/>
      <c r="U886"/>
    </row>
    <row r="887" spans="1:21">
      <c r="A887"/>
      <c r="C887"/>
      <c r="D887"/>
      <c r="L887"/>
      <c r="R887"/>
      <c r="S887"/>
      <c r="T887"/>
      <c r="U887"/>
    </row>
    <row r="888" spans="1:21">
      <c r="A888"/>
      <c r="C888"/>
      <c r="D888"/>
      <c r="L888"/>
      <c r="R888"/>
      <c r="S888"/>
      <c r="T888"/>
      <c r="U888"/>
    </row>
    <row r="889" spans="1:21">
      <c r="A889"/>
      <c r="C889"/>
      <c r="D889"/>
      <c r="L889"/>
      <c r="R889"/>
      <c r="S889"/>
      <c r="T889"/>
      <c r="U889"/>
    </row>
    <row r="890" spans="1:21">
      <c r="A890"/>
      <c r="C890"/>
      <c r="D890"/>
      <c r="L890"/>
      <c r="R890"/>
      <c r="S890"/>
      <c r="T890"/>
      <c r="U890"/>
    </row>
    <row r="891" spans="1:21">
      <c r="A891"/>
      <c r="C891"/>
      <c r="D891"/>
      <c r="L891"/>
      <c r="R891"/>
      <c r="S891"/>
      <c r="T891"/>
      <c r="U891"/>
    </row>
    <row r="892" spans="1:21">
      <c r="A892"/>
      <c r="C892"/>
      <c r="D892"/>
      <c r="L892"/>
      <c r="R892"/>
      <c r="S892"/>
      <c r="T892"/>
      <c r="U892"/>
    </row>
    <row r="893" spans="1:21">
      <c r="A893"/>
      <c r="C893"/>
      <c r="D893"/>
      <c r="L893"/>
      <c r="R893"/>
      <c r="S893"/>
      <c r="T893"/>
      <c r="U893"/>
    </row>
    <row r="894" spans="1:21">
      <c r="A894"/>
      <c r="C894"/>
      <c r="D894"/>
      <c r="L894"/>
      <c r="R894"/>
      <c r="S894"/>
      <c r="T894"/>
      <c r="U894"/>
    </row>
    <row r="895" spans="1:21">
      <c r="A895"/>
      <c r="C895"/>
      <c r="D895"/>
      <c r="L895"/>
      <c r="R895"/>
      <c r="S895"/>
      <c r="T895"/>
      <c r="U895"/>
    </row>
    <row r="896" spans="1:21">
      <c r="A896"/>
      <c r="C896"/>
      <c r="D896"/>
      <c r="L896"/>
      <c r="R896"/>
      <c r="S896"/>
      <c r="T896"/>
      <c r="U896"/>
    </row>
    <row r="897" spans="1:21">
      <c r="A897"/>
      <c r="C897"/>
      <c r="D897"/>
      <c r="L897"/>
      <c r="R897"/>
      <c r="S897"/>
      <c r="T897"/>
      <c r="U897"/>
    </row>
    <row r="898" spans="1:21">
      <c r="A898"/>
      <c r="C898"/>
      <c r="D898"/>
      <c r="L898"/>
      <c r="R898"/>
      <c r="S898"/>
      <c r="T898"/>
      <c r="U898"/>
    </row>
    <row r="899" spans="1:21">
      <c r="A899"/>
      <c r="C899"/>
      <c r="D899"/>
      <c r="L899"/>
      <c r="R899"/>
      <c r="S899"/>
      <c r="T899"/>
      <c r="U899"/>
    </row>
    <row r="900" spans="1:21">
      <c r="A900"/>
      <c r="C900"/>
      <c r="D900"/>
      <c r="L900"/>
      <c r="R900"/>
      <c r="S900"/>
      <c r="T900"/>
      <c r="U900"/>
    </row>
    <row r="901" spans="1:21">
      <c r="A901"/>
      <c r="C901"/>
      <c r="D901"/>
      <c r="L901"/>
      <c r="R901"/>
      <c r="S901"/>
      <c r="T901"/>
      <c r="U901"/>
    </row>
    <row r="902" spans="1:21">
      <c r="A902"/>
      <c r="C902"/>
      <c r="D902"/>
      <c r="L902"/>
      <c r="R902"/>
      <c r="S902"/>
      <c r="T902"/>
      <c r="U902"/>
    </row>
    <row r="903" spans="1:21">
      <c r="A903"/>
      <c r="C903"/>
      <c r="D903"/>
      <c r="L903"/>
      <c r="R903"/>
      <c r="S903"/>
      <c r="T903"/>
      <c r="U903"/>
    </row>
    <row r="904" spans="1:21">
      <c r="A904"/>
      <c r="C904"/>
      <c r="D904"/>
      <c r="L904"/>
      <c r="R904"/>
      <c r="S904"/>
      <c r="T904"/>
      <c r="U904"/>
    </row>
    <row r="905" spans="1:21">
      <c r="A905"/>
      <c r="C905"/>
      <c r="D905"/>
      <c r="L905"/>
      <c r="R905"/>
      <c r="S905"/>
      <c r="T905"/>
      <c r="U905"/>
    </row>
    <row r="906" spans="1:21">
      <c r="A906"/>
      <c r="C906"/>
      <c r="D906"/>
      <c r="L906"/>
      <c r="R906"/>
      <c r="S906"/>
      <c r="T906"/>
      <c r="U906"/>
    </row>
    <row r="907" spans="1:21">
      <c r="A907"/>
      <c r="C907"/>
      <c r="D907"/>
      <c r="L907"/>
      <c r="R907"/>
      <c r="S907"/>
      <c r="T907"/>
      <c r="U907"/>
    </row>
    <row r="908" spans="1:21">
      <c r="A908"/>
      <c r="C908"/>
      <c r="D908"/>
      <c r="L908"/>
      <c r="R908"/>
      <c r="S908"/>
      <c r="T908"/>
      <c r="U908"/>
    </row>
    <row r="909" spans="1:21">
      <c r="A909"/>
      <c r="C909"/>
      <c r="D909"/>
      <c r="L909"/>
      <c r="R909"/>
      <c r="S909"/>
      <c r="T909"/>
      <c r="U909"/>
    </row>
    <row r="910" spans="1:21">
      <c r="A910"/>
      <c r="C910"/>
      <c r="D910"/>
      <c r="L910"/>
      <c r="R910"/>
      <c r="S910"/>
      <c r="T910"/>
      <c r="U910"/>
    </row>
    <row r="911" spans="1:21">
      <c r="A911"/>
      <c r="C911"/>
      <c r="D911"/>
      <c r="L911"/>
      <c r="R911"/>
      <c r="S911"/>
      <c r="T911"/>
      <c r="U911"/>
    </row>
    <row r="912" spans="1:21">
      <c r="A912"/>
      <c r="C912"/>
      <c r="D912"/>
      <c r="L912"/>
      <c r="R912"/>
      <c r="S912"/>
      <c r="T912"/>
      <c r="U912"/>
    </row>
    <row r="913" spans="1:21">
      <c r="A913"/>
      <c r="C913"/>
      <c r="D913"/>
      <c r="L913"/>
      <c r="R913"/>
      <c r="S913"/>
      <c r="T913"/>
      <c r="U913"/>
    </row>
    <row r="914" spans="1:21">
      <c r="A914"/>
      <c r="C914"/>
      <c r="D914"/>
      <c r="L914"/>
      <c r="R914"/>
      <c r="S914"/>
      <c r="T914"/>
      <c r="U914"/>
    </row>
    <row r="915" spans="1:21">
      <c r="A915"/>
      <c r="C915"/>
      <c r="D915"/>
      <c r="L915"/>
      <c r="R915"/>
      <c r="S915"/>
      <c r="T915"/>
      <c r="U915"/>
    </row>
    <row r="916" spans="1:21">
      <c r="A916"/>
      <c r="C916"/>
      <c r="D916"/>
      <c r="L916"/>
      <c r="R916"/>
      <c r="S916"/>
      <c r="T916"/>
      <c r="U916"/>
    </row>
    <row r="917" spans="1:21">
      <c r="A917"/>
      <c r="C917"/>
      <c r="D917"/>
      <c r="L917"/>
      <c r="R917"/>
      <c r="S917"/>
      <c r="T917"/>
      <c r="U917"/>
    </row>
    <row r="918" spans="1:21">
      <c r="A918"/>
      <c r="C918"/>
      <c r="D918"/>
      <c r="L918"/>
      <c r="R918"/>
      <c r="S918"/>
      <c r="T918"/>
      <c r="U918"/>
    </row>
    <row r="919" spans="1:21">
      <c r="A919"/>
      <c r="C919"/>
      <c r="D919"/>
      <c r="L919"/>
      <c r="R919"/>
      <c r="S919"/>
      <c r="T919"/>
      <c r="U919"/>
    </row>
    <row r="920" spans="1:21">
      <c r="A920"/>
      <c r="C920"/>
      <c r="D920"/>
      <c r="L920"/>
      <c r="R920"/>
      <c r="S920"/>
      <c r="T920"/>
      <c r="U920"/>
    </row>
    <row r="921" spans="1:21">
      <c r="A921"/>
      <c r="C921"/>
      <c r="D921"/>
      <c r="L921"/>
      <c r="R921"/>
      <c r="S921"/>
      <c r="T921"/>
      <c r="U921"/>
    </row>
    <row r="922" spans="1:21">
      <c r="A922"/>
      <c r="C922"/>
      <c r="D922"/>
      <c r="L922"/>
      <c r="R922"/>
      <c r="S922"/>
      <c r="T922"/>
      <c r="U922"/>
    </row>
    <row r="923" spans="1:21">
      <c r="A923"/>
      <c r="C923"/>
      <c r="D923"/>
      <c r="L923"/>
      <c r="R923"/>
      <c r="S923"/>
      <c r="T923"/>
      <c r="U923"/>
    </row>
    <row r="924" spans="1:21">
      <c r="A924"/>
      <c r="C924"/>
      <c r="D924"/>
      <c r="L924"/>
      <c r="R924"/>
      <c r="S924"/>
      <c r="T924"/>
      <c r="U924"/>
    </row>
    <row r="925" spans="1:21">
      <c r="A925"/>
      <c r="C925"/>
      <c r="D925"/>
      <c r="L925"/>
      <c r="R925"/>
      <c r="S925"/>
      <c r="T925"/>
      <c r="U925"/>
    </row>
    <row r="926" spans="1:21">
      <c r="A926"/>
      <c r="C926"/>
      <c r="D926"/>
      <c r="L926"/>
      <c r="R926"/>
      <c r="S926"/>
      <c r="T926"/>
      <c r="U926"/>
    </row>
    <row r="927" spans="1:21">
      <c r="A927"/>
      <c r="C927"/>
      <c r="D927"/>
      <c r="L927"/>
      <c r="R927"/>
      <c r="S927"/>
      <c r="T927"/>
      <c r="U927"/>
    </row>
    <row r="928" spans="1:21">
      <c r="A928"/>
      <c r="C928"/>
      <c r="D928"/>
      <c r="L928"/>
      <c r="R928"/>
      <c r="S928"/>
      <c r="T928"/>
      <c r="U928"/>
    </row>
    <row r="929" spans="1:21">
      <c r="A929"/>
      <c r="C929"/>
      <c r="D929"/>
      <c r="L929"/>
      <c r="R929"/>
      <c r="S929"/>
      <c r="T929"/>
      <c r="U929"/>
    </row>
    <row r="930" spans="1:21">
      <c r="A930"/>
      <c r="C930"/>
      <c r="D930"/>
      <c r="L930"/>
      <c r="R930"/>
      <c r="S930"/>
      <c r="T930"/>
      <c r="U930"/>
    </row>
    <row r="931" spans="1:21">
      <c r="A931"/>
      <c r="C931"/>
      <c r="D931"/>
      <c r="L931"/>
      <c r="R931"/>
      <c r="S931"/>
      <c r="T931"/>
      <c r="U931"/>
    </row>
    <row r="932" spans="1:21">
      <c r="A932"/>
      <c r="C932"/>
      <c r="D932"/>
      <c r="L932"/>
      <c r="R932"/>
      <c r="S932"/>
      <c r="T932"/>
      <c r="U932"/>
    </row>
    <row r="933" spans="1:21">
      <c r="A933"/>
      <c r="C933"/>
      <c r="D933"/>
      <c r="L933"/>
      <c r="R933"/>
      <c r="S933"/>
      <c r="T933"/>
      <c r="U933"/>
    </row>
    <row r="934" spans="1:21">
      <c r="A934"/>
      <c r="C934"/>
      <c r="D934"/>
      <c r="L934"/>
      <c r="R934"/>
      <c r="S934"/>
      <c r="T934"/>
      <c r="U934"/>
    </row>
    <row r="935" spans="1:21">
      <c r="A935"/>
      <c r="C935"/>
      <c r="D935"/>
      <c r="L935"/>
      <c r="R935"/>
      <c r="S935"/>
      <c r="T935"/>
      <c r="U935"/>
    </row>
    <row r="936" spans="1:21">
      <c r="A936"/>
      <c r="C936"/>
      <c r="D936"/>
      <c r="L936"/>
      <c r="R936"/>
      <c r="S936"/>
      <c r="T936"/>
      <c r="U936"/>
    </row>
    <row r="937" spans="1:21">
      <c r="A937"/>
      <c r="C937"/>
      <c r="D937"/>
      <c r="L937"/>
      <c r="R937"/>
      <c r="S937"/>
      <c r="T937"/>
      <c r="U937"/>
    </row>
    <row r="938" spans="1:21">
      <c r="A938"/>
      <c r="C938"/>
      <c r="D938"/>
      <c r="L938"/>
      <c r="R938"/>
      <c r="S938"/>
      <c r="T938"/>
      <c r="U938"/>
    </row>
    <row r="939" spans="1:21">
      <c r="A939"/>
      <c r="C939"/>
      <c r="D939"/>
      <c r="L939"/>
      <c r="R939"/>
      <c r="S939"/>
      <c r="T939"/>
      <c r="U939"/>
    </row>
    <row r="940" spans="1:21">
      <c r="A940"/>
      <c r="C940"/>
      <c r="D940"/>
      <c r="L940"/>
      <c r="R940"/>
      <c r="S940"/>
      <c r="T940"/>
      <c r="U940"/>
    </row>
    <row r="941" spans="1:21">
      <c r="A941"/>
      <c r="C941"/>
      <c r="D941"/>
      <c r="L941"/>
      <c r="R941"/>
      <c r="S941"/>
      <c r="T941"/>
      <c r="U941"/>
    </row>
    <row r="942" spans="1:21">
      <c r="A942"/>
      <c r="C942"/>
      <c r="D942"/>
      <c r="L942"/>
      <c r="R942"/>
      <c r="S942"/>
      <c r="T942"/>
      <c r="U942"/>
    </row>
    <row r="943" spans="1:21">
      <c r="A943"/>
      <c r="C943"/>
      <c r="D943"/>
      <c r="L943"/>
      <c r="R943"/>
      <c r="S943"/>
      <c r="T943"/>
      <c r="U943"/>
    </row>
    <row r="944" spans="1:21">
      <c r="A944"/>
      <c r="C944"/>
      <c r="D944"/>
      <c r="L944"/>
      <c r="R944"/>
      <c r="S944"/>
      <c r="T944"/>
      <c r="U944"/>
    </row>
    <row r="945" spans="1:21">
      <c r="A945"/>
      <c r="C945"/>
      <c r="D945"/>
      <c r="L945"/>
      <c r="R945"/>
      <c r="S945"/>
      <c r="T945"/>
      <c r="U945"/>
    </row>
    <row r="946" spans="1:21">
      <c r="A946"/>
      <c r="C946"/>
      <c r="D946"/>
      <c r="L946"/>
      <c r="R946"/>
      <c r="S946"/>
      <c r="T946"/>
      <c r="U946"/>
    </row>
    <row r="947" spans="1:21">
      <c r="A947"/>
      <c r="C947"/>
      <c r="D947"/>
      <c r="L947"/>
      <c r="R947"/>
      <c r="S947"/>
      <c r="T947"/>
      <c r="U947"/>
    </row>
    <row r="948" spans="1:21">
      <c r="A948"/>
      <c r="C948"/>
      <c r="D948"/>
      <c r="L948"/>
      <c r="R948"/>
      <c r="S948"/>
      <c r="T948"/>
      <c r="U948"/>
    </row>
    <row r="949" spans="1:21">
      <c r="A949"/>
      <c r="C949"/>
      <c r="D949"/>
      <c r="L949"/>
      <c r="R949"/>
      <c r="S949"/>
      <c r="T949"/>
      <c r="U949"/>
    </row>
    <row r="950" spans="1:21">
      <c r="A950"/>
      <c r="C950"/>
      <c r="D950"/>
      <c r="L950"/>
      <c r="R950"/>
      <c r="S950"/>
      <c r="T950"/>
      <c r="U950"/>
    </row>
    <row r="951" spans="1:21">
      <c r="A951"/>
      <c r="C951"/>
      <c r="D951"/>
      <c r="L951"/>
      <c r="R951"/>
      <c r="S951"/>
      <c r="T951"/>
      <c r="U951"/>
    </row>
    <row r="952" spans="1:21">
      <c r="A952"/>
      <c r="C952"/>
      <c r="D952"/>
      <c r="L952"/>
      <c r="R952"/>
      <c r="S952"/>
      <c r="T952"/>
      <c r="U952"/>
    </row>
    <row r="953" spans="1:21">
      <c r="A953"/>
      <c r="C953"/>
      <c r="D953"/>
      <c r="L953"/>
      <c r="R953"/>
      <c r="S953"/>
      <c r="T953"/>
      <c r="U953"/>
    </row>
    <row r="954" spans="1:21">
      <c r="A954"/>
      <c r="C954"/>
      <c r="D954"/>
      <c r="L954"/>
      <c r="R954"/>
      <c r="S954"/>
      <c r="T954"/>
      <c r="U954"/>
    </row>
    <row r="955" spans="1:21">
      <c r="A955"/>
      <c r="C955"/>
      <c r="D955"/>
      <c r="L955"/>
      <c r="R955"/>
      <c r="S955"/>
      <c r="T955"/>
      <c r="U955"/>
    </row>
    <row r="956" spans="1:21">
      <c r="A956"/>
      <c r="C956"/>
      <c r="D956"/>
      <c r="L956"/>
      <c r="R956"/>
      <c r="S956"/>
      <c r="T956"/>
      <c r="U956"/>
    </row>
    <row r="957" spans="1:21">
      <c r="A957"/>
      <c r="C957"/>
      <c r="D957"/>
      <c r="L957"/>
      <c r="R957"/>
      <c r="S957"/>
      <c r="T957"/>
      <c r="U957"/>
    </row>
    <row r="958" spans="1:21">
      <c r="A958"/>
      <c r="C958"/>
      <c r="D958"/>
      <c r="L958"/>
      <c r="R958"/>
      <c r="S958"/>
      <c r="T958"/>
      <c r="U958"/>
    </row>
    <row r="959" spans="1:21">
      <c r="A959"/>
      <c r="C959"/>
      <c r="D959"/>
      <c r="L959"/>
      <c r="R959"/>
      <c r="S959"/>
      <c r="T959"/>
      <c r="U959"/>
    </row>
    <row r="960" spans="1:21">
      <c r="A960"/>
      <c r="C960"/>
      <c r="D960"/>
      <c r="L960"/>
      <c r="R960"/>
      <c r="S960"/>
      <c r="T960"/>
      <c r="U960"/>
    </row>
    <row r="961" spans="1:21">
      <c r="A961"/>
      <c r="C961"/>
      <c r="D961"/>
      <c r="L961"/>
      <c r="R961"/>
      <c r="S961"/>
      <c r="T961"/>
      <c r="U961"/>
    </row>
    <row r="962" spans="1:21">
      <c r="A962"/>
      <c r="C962"/>
      <c r="D962"/>
      <c r="L962"/>
      <c r="R962"/>
      <c r="S962"/>
      <c r="T962"/>
      <c r="U962"/>
    </row>
    <row r="963" spans="1:21">
      <c r="A963"/>
      <c r="C963"/>
      <c r="D963"/>
      <c r="L963"/>
      <c r="R963"/>
      <c r="S963"/>
      <c r="T963"/>
      <c r="U963"/>
    </row>
    <row r="964" spans="1:21">
      <c r="A964"/>
      <c r="C964"/>
      <c r="D964"/>
      <c r="L964"/>
      <c r="R964"/>
      <c r="S964"/>
      <c r="T964"/>
      <c r="U964"/>
    </row>
    <row r="965" spans="1:21">
      <c r="A965"/>
      <c r="C965"/>
      <c r="D965"/>
      <c r="L965"/>
      <c r="R965"/>
      <c r="S965"/>
      <c r="T965"/>
      <c r="U965"/>
    </row>
    <row r="966" spans="1:21">
      <c r="A966"/>
      <c r="C966"/>
      <c r="D966"/>
      <c r="L966"/>
      <c r="R966"/>
      <c r="S966"/>
      <c r="T966"/>
      <c r="U966"/>
    </row>
    <row r="967" spans="1:21">
      <c r="A967"/>
      <c r="C967"/>
      <c r="D967"/>
      <c r="L967"/>
      <c r="R967"/>
      <c r="S967"/>
      <c r="T967"/>
      <c r="U967"/>
    </row>
    <row r="968" spans="1:21">
      <c r="A968"/>
      <c r="C968"/>
      <c r="D968"/>
      <c r="L968"/>
      <c r="R968"/>
      <c r="S968"/>
      <c r="T968"/>
      <c r="U968"/>
    </row>
    <row r="969" spans="1:21">
      <c r="A969"/>
      <c r="C969"/>
      <c r="D969"/>
      <c r="L969"/>
      <c r="R969"/>
      <c r="S969"/>
      <c r="T969"/>
      <c r="U969"/>
    </row>
    <row r="970" spans="1:21">
      <c r="A970"/>
      <c r="C970"/>
      <c r="D970"/>
      <c r="L970"/>
      <c r="R970"/>
      <c r="S970"/>
      <c r="T970"/>
      <c r="U970"/>
    </row>
    <row r="971" spans="1:21">
      <c r="A971"/>
      <c r="C971"/>
      <c r="D971"/>
      <c r="L971"/>
      <c r="R971"/>
      <c r="S971"/>
      <c r="T971"/>
      <c r="U971"/>
    </row>
    <row r="972" spans="1:21">
      <c r="A972"/>
      <c r="C972"/>
      <c r="D972"/>
      <c r="L972"/>
      <c r="R972"/>
      <c r="S972"/>
      <c r="T972"/>
      <c r="U972"/>
    </row>
    <row r="973" spans="1:21">
      <c r="A973"/>
      <c r="C973"/>
      <c r="D973"/>
      <c r="L973"/>
      <c r="R973"/>
      <c r="S973"/>
      <c r="T973"/>
      <c r="U973"/>
    </row>
    <row r="974" spans="1:21">
      <c r="A974"/>
      <c r="C974"/>
      <c r="D974"/>
      <c r="L974"/>
      <c r="R974"/>
      <c r="S974"/>
      <c r="T974"/>
      <c r="U974"/>
    </row>
    <row r="975" spans="1:21">
      <c r="A975"/>
      <c r="C975"/>
      <c r="D975"/>
      <c r="L975"/>
      <c r="R975"/>
      <c r="S975"/>
      <c r="T975"/>
      <c r="U975"/>
    </row>
    <row r="976" spans="1:21">
      <c r="A976"/>
      <c r="C976"/>
      <c r="D976"/>
      <c r="L976"/>
      <c r="R976"/>
      <c r="S976"/>
      <c r="T976"/>
      <c r="U976"/>
    </row>
    <row r="977" spans="1:21">
      <c r="A977"/>
      <c r="C977"/>
      <c r="D977"/>
      <c r="L977"/>
      <c r="R977"/>
      <c r="S977"/>
      <c r="T977"/>
      <c r="U977"/>
    </row>
    <row r="978" spans="1:21">
      <c r="A978"/>
      <c r="C978"/>
      <c r="D978"/>
      <c r="L978"/>
      <c r="R978"/>
      <c r="S978"/>
      <c r="T978"/>
      <c r="U978"/>
    </row>
    <row r="979" spans="1:21">
      <c r="A979"/>
      <c r="C979"/>
      <c r="D979"/>
      <c r="L979"/>
      <c r="R979"/>
      <c r="S979"/>
      <c r="T979"/>
      <c r="U979"/>
    </row>
    <row r="980" spans="1:21">
      <c r="A980"/>
      <c r="C980"/>
      <c r="D980"/>
      <c r="L980"/>
      <c r="R980"/>
      <c r="S980"/>
      <c r="T980"/>
      <c r="U980"/>
    </row>
    <row r="981" spans="1:21">
      <c r="A981"/>
      <c r="C981"/>
      <c r="D981"/>
      <c r="L981"/>
      <c r="R981"/>
      <c r="S981"/>
      <c r="T981"/>
      <c r="U981"/>
    </row>
    <row r="982" spans="1:21">
      <c r="A982"/>
      <c r="C982"/>
      <c r="D982"/>
      <c r="L982"/>
      <c r="R982"/>
      <c r="S982"/>
      <c r="T982"/>
      <c r="U982"/>
    </row>
    <row r="983" spans="1:21">
      <c r="A983"/>
      <c r="C983"/>
      <c r="D983"/>
      <c r="L983"/>
      <c r="R983"/>
      <c r="S983"/>
      <c r="T983"/>
      <c r="U983"/>
    </row>
    <row r="984" spans="1:21">
      <c r="A984"/>
      <c r="C984"/>
      <c r="D984"/>
      <c r="L984"/>
      <c r="R984"/>
      <c r="S984"/>
      <c r="T984"/>
      <c r="U984"/>
    </row>
    <row r="985" spans="1:21">
      <c r="A985"/>
      <c r="C985"/>
      <c r="D985"/>
      <c r="L985"/>
      <c r="R985"/>
      <c r="S985"/>
      <c r="T985"/>
      <c r="U985"/>
    </row>
    <row r="986" spans="1:21">
      <c r="A986"/>
      <c r="C986"/>
      <c r="D986"/>
      <c r="L986"/>
      <c r="R986"/>
      <c r="S986"/>
      <c r="T986"/>
      <c r="U986"/>
    </row>
    <row r="987" spans="1:21">
      <c r="A987"/>
      <c r="C987"/>
      <c r="D987"/>
      <c r="L987"/>
      <c r="R987"/>
      <c r="S987"/>
      <c r="T987"/>
      <c r="U987"/>
    </row>
    <row r="988" spans="1:21">
      <c r="A988"/>
      <c r="C988"/>
      <c r="D988"/>
      <c r="L988"/>
      <c r="R988"/>
      <c r="S988"/>
      <c r="T988"/>
      <c r="U988"/>
    </row>
    <row r="989" spans="1:21">
      <c r="A989"/>
      <c r="C989"/>
      <c r="D989"/>
      <c r="L989"/>
      <c r="R989"/>
      <c r="S989"/>
      <c r="T989"/>
      <c r="U989"/>
    </row>
    <row r="990" spans="1:21">
      <c r="A990"/>
      <c r="C990"/>
      <c r="D990"/>
      <c r="L990"/>
      <c r="R990"/>
      <c r="S990"/>
      <c r="T990"/>
      <c r="U990"/>
    </row>
    <row r="991" spans="1:21">
      <c r="A991"/>
      <c r="C991"/>
      <c r="D991"/>
      <c r="L991"/>
      <c r="R991"/>
      <c r="S991"/>
      <c r="T991"/>
      <c r="U991"/>
    </row>
    <row r="992" spans="1:21">
      <c r="A992"/>
      <c r="C992"/>
      <c r="D992"/>
      <c r="L992"/>
      <c r="R992"/>
      <c r="S992"/>
      <c r="T992"/>
      <c r="U992"/>
    </row>
    <row r="993" spans="1:21">
      <c r="A993"/>
      <c r="C993"/>
      <c r="D993"/>
      <c r="L993"/>
      <c r="R993"/>
      <c r="S993"/>
      <c r="T993"/>
      <c r="U993"/>
    </row>
    <row r="994" spans="1:21">
      <c r="A994"/>
      <c r="C994"/>
      <c r="D994"/>
      <c r="L994"/>
      <c r="R994"/>
      <c r="S994"/>
      <c r="T994"/>
      <c r="U994"/>
    </row>
    <row r="995" spans="1:21">
      <c r="A995"/>
      <c r="C995"/>
      <c r="D995"/>
      <c r="L995"/>
      <c r="R995"/>
      <c r="S995"/>
      <c r="T995"/>
      <c r="U995"/>
    </row>
    <row r="996" spans="1:21">
      <c r="A996"/>
      <c r="C996"/>
      <c r="D996"/>
      <c r="L996"/>
      <c r="R996"/>
      <c r="S996"/>
      <c r="T996"/>
      <c r="U996"/>
    </row>
    <row r="997" spans="1:21">
      <c r="A997"/>
      <c r="C997"/>
      <c r="D997"/>
      <c r="L997"/>
      <c r="R997"/>
      <c r="S997"/>
      <c r="T997"/>
      <c r="U997"/>
    </row>
    <row r="998" spans="1:21">
      <c r="A998"/>
      <c r="C998"/>
      <c r="D998"/>
      <c r="L998"/>
      <c r="R998"/>
      <c r="S998"/>
      <c r="T998"/>
      <c r="U998"/>
    </row>
    <row r="999" spans="1:21">
      <c r="A999"/>
      <c r="C999"/>
      <c r="D999"/>
      <c r="L999"/>
      <c r="R999"/>
      <c r="S999"/>
      <c r="T999"/>
      <c r="U999"/>
    </row>
    <row r="1000" spans="1:21">
      <c r="A1000"/>
      <c r="C1000"/>
      <c r="D1000"/>
      <c r="L1000"/>
      <c r="R1000"/>
      <c r="S1000"/>
      <c r="T1000"/>
      <c r="U1000"/>
    </row>
    <row r="1001" spans="1:21">
      <c r="A1001"/>
      <c r="C1001"/>
      <c r="D1001"/>
      <c r="L1001"/>
      <c r="R1001"/>
      <c r="S1001"/>
      <c r="T1001"/>
      <c r="U1001"/>
    </row>
    <row r="1002" spans="1:21">
      <c r="A1002"/>
      <c r="C1002"/>
      <c r="D1002"/>
      <c r="L1002"/>
      <c r="R1002"/>
      <c r="S1002"/>
      <c r="T1002"/>
      <c r="U1002"/>
    </row>
    <row r="1003" spans="1:21">
      <c r="A1003"/>
      <c r="C1003"/>
      <c r="D1003"/>
      <c r="L1003"/>
      <c r="R1003"/>
      <c r="S1003"/>
      <c r="T1003"/>
      <c r="U1003"/>
    </row>
    <row r="1004" spans="1:21">
      <c r="A1004"/>
      <c r="C1004"/>
      <c r="D1004"/>
      <c r="L1004"/>
      <c r="R1004"/>
      <c r="S1004"/>
      <c r="T1004"/>
      <c r="U1004"/>
    </row>
    <row r="1005" spans="1:21">
      <c r="A1005"/>
      <c r="C1005"/>
      <c r="D1005"/>
      <c r="L1005"/>
      <c r="R1005"/>
      <c r="S1005"/>
      <c r="T1005"/>
      <c r="U1005"/>
    </row>
    <row r="1006" spans="1:21">
      <c r="A1006"/>
      <c r="C1006"/>
      <c r="D1006"/>
      <c r="L1006"/>
      <c r="R1006"/>
      <c r="S1006"/>
      <c r="T1006"/>
      <c r="U1006"/>
    </row>
    <row r="1007" spans="1:21">
      <c r="A1007"/>
      <c r="C1007"/>
      <c r="D1007"/>
      <c r="L1007"/>
      <c r="R1007"/>
      <c r="S1007"/>
      <c r="T1007"/>
      <c r="U1007"/>
    </row>
    <row r="1008" spans="1:21">
      <c r="A1008"/>
      <c r="C1008"/>
      <c r="D1008"/>
      <c r="L1008"/>
      <c r="R1008"/>
      <c r="S1008"/>
      <c r="T1008"/>
      <c r="U1008"/>
    </row>
    <row r="1009" spans="1:21">
      <c r="A1009"/>
      <c r="C1009"/>
      <c r="D1009"/>
      <c r="L1009"/>
      <c r="R1009"/>
      <c r="S1009"/>
      <c r="T1009"/>
      <c r="U1009"/>
    </row>
    <row r="1010" spans="1:21">
      <c r="A1010"/>
      <c r="C1010"/>
      <c r="D1010"/>
      <c r="L1010"/>
      <c r="R1010"/>
      <c r="S1010"/>
      <c r="T1010"/>
      <c r="U1010"/>
    </row>
    <row r="1011" spans="1:21">
      <c r="A1011"/>
      <c r="C1011"/>
      <c r="D1011"/>
      <c r="L1011"/>
      <c r="R1011"/>
      <c r="S1011"/>
      <c r="T1011"/>
      <c r="U1011"/>
    </row>
    <row r="1012" spans="1:21">
      <c r="A1012"/>
      <c r="C1012"/>
      <c r="D1012"/>
      <c r="L1012"/>
      <c r="R1012"/>
      <c r="S1012"/>
      <c r="T1012"/>
      <c r="U1012"/>
    </row>
    <row r="1013" spans="1:21">
      <c r="A1013"/>
      <c r="C1013"/>
      <c r="D1013"/>
      <c r="L1013"/>
      <c r="R1013"/>
      <c r="S1013"/>
      <c r="T1013"/>
      <c r="U1013"/>
    </row>
    <row r="1014" spans="1:21">
      <c r="A1014"/>
      <c r="C1014"/>
      <c r="D1014"/>
      <c r="L1014"/>
      <c r="R1014"/>
      <c r="S1014"/>
      <c r="T1014"/>
      <c r="U1014"/>
    </row>
    <row r="1015" spans="1:21">
      <c r="A1015"/>
      <c r="C1015"/>
      <c r="D1015"/>
      <c r="L1015"/>
      <c r="R1015"/>
      <c r="S1015"/>
      <c r="T1015"/>
      <c r="U1015"/>
    </row>
    <row r="1016" spans="1:21">
      <c r="A1016"/>
      <c r="C1016"/>
      <c r="D1016"/>
      <c r="L1016"/>
      <c r="R1016"/>
      <c r="S1016"/>
      <c r="T1016"/>
      <c r="U1016"/>
    </row>
    <row r="1017" spans="1:21">
      <c r="A1017"/>
      <c r="C1017"/>
      <c r="D1017"/>
      <c r="L1017"/>
      <c r="R1017"/>
      <c r="S1017"/>
      <c r="T1017"/>
      <c r="U1017"/>
    </row>
    <row r="1018" spans="1:21">
      <c r="A1018"/>
      <c r="C1018"/>
      <c r="D1018"/>
      <c r="L1018"/>
      <c r="R1018"/>
      <c r="S1018"/>
      <c r="T1018"/>
      <c r="U1018"/>
    </row>
    <row r="1019" spans="1:21">
      <c r="A1019"/>
      <c r="C1019"/>
      <c r="D1019"/>
      <c r="L1019"/>
      <c r="R1019"/>
      <c r="S1019"/>
      <c r="T1019"/>
      <c r="U1019"/>
    </row>
    <row r="1020" spans="1:21">
      <c r="A1020"/>
      <c r="C1020"/>
      <c r="D1020"/>
      <c r="L1020"/>
      <c r="R1020"/>
      <c r="S1020"/>
      <c r="T1020"/>
      <c r="U1020"/>
    </row>
    <row r="1021" spans="1:21">
      <c r="A1021"/>
      <c r="C1021"/>
      <c r="D1021"/>
      <c r="L1021"/>
      <c r="R1021"/>
      <c r="S1021"/>
      <c r="T1021"/>
      <c r="U1021"/>
    </row>
    <row r="1022" spans="1:21">
      <c r="A1022"/>
      <c r="C1022"/>
      <c r="D1022"/>
      <c r="L1022"/>
      <c r="R1022"/>
      <c r="S1022"/>
      <c r="T1022"/>
      <c r="U1022"/>
    </row>
    <row r="1023" spans="1:21">
      <c r="A1023"/>
      <c r="C1023"/>
      <c r="D1023"/>
      <c r="L1023"/>
      <c r="R1023"/>
      <c r="S1023"/>
      <c r="T1023"/>
      <c r="U1023"/>
    </row>
    <row r="1024" spans="1:21">
      <c r="A1024"/>
      <c r="C1024"/>
      <c r="D1024"/>
      <c r="L1024"/>
      <c r="R1024"/>
      <c r="S1024"/>
      <c r="T1024"/>
      <c r="U1024"/>
    </row>
    <row r="1025" spans="1:21">
      <c r="A1025"/>
      <c r="C1025"/>
      <c r="D1025"/>
      <c r="L1025"/>
      <c r="R1025"/>
      <c r="S1025"/>
      <c r="T1025"/>
      <c r="U1025"/>
    </row>
    <row r="1026" spans="1:21">
      <c r="A1026"/>
      <c r="C1026"/>
      <c r="D1026"/>
      <c r="L1026"/>
      <c r="R1026"/>
      <c r="S1026"/>
      <c r="T1026"/>
      <c r="U1026"/>
    </row>
    <row r="1027" spans="1:21">
      <c r="A1027"/>
      <c r="C1027"/>
      <c r="D1027"/>
      <c r="L1027"/>
      <c r="R1027"/>
      <c r="S1027"/>
      <c r="T1027"/>
      <c r="U1027"/>
    </row>
    <row r="1028" spans="1:21">
      <c r="A1028"/>
      <c r="C1028"/>
      <c r="D1028"/>
      <c r="L1028"/>
      <c r="R1028"/>
      <c r="S1028"/>
      <c r="T1028"/>
      <c r="U1028"/>
    </row>
    <row r="1029" spans="1:21">
      <c r="A1029"/>
      <c r="C1029"/>
      <c r="D1029"/>
      <c r="L1029"/>
      <c r="R1029"/>
      <c r="S1029"/>
      <c r="T1029"/>
      <c r="U1029"/>
    </row>
    <row r="1030" spans="1:21">
      <c r="A1030"/>
      <c r="C1030"/>
      <c r="D1030"/>
      <c r="L1030"/>
      <c r="R1030"/>
      <c r="S1030"/>
      <c r="T1030"/>
      <c r="U1030"/>
    </row>
    <row r="1031" spans="1:21">
      <c r="A1031"/>
      <c r="C1031"/>
      <c r="D1031"/>
      <c r="L1031"/>
      <c r="R1031"/>
      <c r="S1031"/>
      <c r="T1031"/>
      <c r="U1031"/>
    </row>
    <row r="1032" spans="1:21">
      <c r="A1032"/>
      <c r="C1032"/>
      <c r="D1032"/>
      <c r="L1032"/>
      <c r="R1032"/>
      <c r="S1032"/>
      <c r="T1032"/>
      <c r="U1032"/>
    </row>
    <row r="1033" spans="1:21">
      <c r="A1033"/>
      <c r="C1033"/>
      <c r="D1033"/>
      <c r="L1033"/>
      <c r="R1033"/>
      <c r="S1033"/>
      <c r="T1033"/>
      <c r="U1033"/>
    </row>
    <row r="1034" spans="1:21">
      <c r="A1034"/>
      <c r="C1034"/>
      <c r="D1034"/>
      <c r="L1034"/>
      <c r="R1034"/>
      <c r="S1034"/>
      <c r="T1034"/>
      <c r="U1034"/>
    </row>
    <row r="1035" spans="1:21">
      <c r="A1035"/>
      <c r="C1035"/>
      <c r="D1035"/>
      <c r="L1035"/>
      <c r="R1035"/>
      <c r="S1035"/>
      <c r="T1035"/>
      <c r="U1035"/>
    </row>
    <row r="1036" spans="1:21">
      <c r="A1036"/>
      <c r="C1036"/>
      <c r="D1036"/>
      <c r="L1036"/>
      <c r="R1036"/>
      <c r="S1036"/>
      <c r="T1036"/>
      <c r="U1036"/>
    </row>
    <row r="1037" spans="1:21">
      <c r="A1037"/>
      <c r="C1037"/>
      <c r="D1037"/>
      <c r="L1037"/>
      <c r="R1037"/>
      <c r="S1037"/>
      <c r="T1037"/>
      <c r="U1037"/>
    </row>
    <row r="1038" spans="1:21">
      <c r="A1038"/>
      <c r="C1038"/>
      <c r="D1038"/>
      <c r="L1038"/>
      <c r="R1038"/>
      <c r="S1038"/>
      <c r="T1038"/>
      <c r="U1038"/>
    </row>
    <row r="1039" spans="1:21">
      <c r="A1039"/>
      <c r="C1039"/>
      <c r="D1039"/>
      <c r="L1039"/>
      <c r="R1039"/>
      <c r="S1039"/>
      <c r="T1039"/>
      <c r="U1039"/>
    </row>
    <row r="1040" spans="1:21">
      <c r="A1040"/>
      <c r="C1040"/>
      <c r="D1040"/>
      <c r="L1040"/>
      <c r="R1040"/>
      <c r="S1040"/>
      <c r="T1040"/>
      <c r="U1040"/>
    </row>
    <row r="1041" spans="1:21">
      <c r="A1041"/>
      <c r="C1041"/>
      <c r="D1041"/>
      <c r="L1041"/>
      <c r="R1041"/>
      <c r="S1041"/>
      <c r="T1041"/>
      <c r="U1041"/>
    </row>
    <row r="1042" spans="1:21">
      <c r="A1042"/>
      <c r="C1042"/>
      <c r="D1042"/>
      <c r="L1042"/>
      <c r="R1042"/>
      <c r="S1042"/>
      <c r="T1042"/>
      <c r="U1042"/>
    </row>
    <row r="1043" spans="1:21">
      <c r="A1043"/>
      <c r="C1043"/>
      <c r="D1043"/>
      <c r="L1043"/>
      <c r="R1043"/>
      <c r="S1043"/>
      <c r="T1043"/>
      <c r="U1043"/>
    </row>
    <row r="1044" spans="1:21">
      <c r="A1044"/>
      <c r="C1044"/>
      <c r="D1044"/>
      <c r="L1044"/>
      <c r="R1044"/>
      <c r="S1044"/>
      <c r="T1044"/>
      <c r="U1044"/>
    </row>
    <row r="1045" spans="1:21">
      <c r="A1045"/>
      <c r="C1045"/>
      <c r="D1045"/>
      <c r="L1045"/>
      <c r="R1045"/>
      <c r="S1045"/>
      <c r="T1045"/>
      <c r="U1045"/>
    </row>
    <row r="1046" spans="1:21">
      <c r="A1046"/>
      <c r="C1046"/>
      <c r="D1046"/>
      <c r="L1046"/>
      <c r="R1046"/>
      <c r="S1046"/>
      <c r="T1046"/>
      <c r="U1046"/>
    </row>
    <row r="1047" spans="1:21">
      <c r="A1047"/>
      <c r="C1047"/>
      <c r="D1047"/>
      <c r="L1047"/>
      <c r="R1047"/>
      <c r="S1047"/>
      <c r="T1047"/>
      <c r="U1047"/>
    </row>
    <row r="1048" spans="1:21">
      <c r="A1048"/>
      <c r="C1048"/>
      <c r="D1048"/>
      <c r="L1048"/>
      <c r="R1048"/>
      <c r="S1048"/>
      <c r="T1048"/>
      <c r="U1048"/>
    </row>
    <row r="1049" spans="1:21">
      <c r="A1049"/>
      <c r="C1049"/>
      <c r="D1049"/>
      <c r="L1049"/>
      <c r="R1049"/>
      <c r="S1049"/>
      <c r="T1049"/>
      <c r="U1049"/>
    </row>
    <row r="1050" spans="1:21">
      <c r="A1050"/>
      <c r="C1050"/>
      <c r="D1050"/>
      <c r="L1050"/>
      <c r="R1050"/>
      <c r="S1050"/>
      <c r="T1050"/>
      <c r="U1050"/>
    </row>
    <row r="1051" spans="1:21">
      <c r="A1051"/>
      <c r="C1051"/>
      <c r="D1051"/>
      <c r="L1051"/>
      <c r="R1051"/>
      <c r="S1051"/>
      <c r="T1051"/>
      <c r="U1051"/>
    </row>
    <row r="1052" spans="1:21">
      <c r="A1052"/>
      <c r="C1052"/>
      <c r="D1052"/>
      <c r="L1052"/>
      <c r="R1052"/>
      <c r="S1052"/>
      <c r="T1052"/>
      <c r="U1052"/>
    </row>
    <row r="1053" spans="1:21">
      <c r="A1053"/>
      <c r="C1053"/>
      <c r="D1053"/>
      <c r="L1053"/>
      <c r="R1053"/>
      <c r="S1053"/>
      <c r="T1053"/>
      <c r="U1053"/>
    </row>
    <row r="1054" spans="1:21">
      <c r="A1054"/>
      <c r="C1054"/>
      <c r="D1054"/>
      <c r="L1054"/>
      <c r="R1054"/>
      <c r="S1054"/>
      <c r="T1054"/>
      <c r="U1054"/>
    </row>
    <row r="1055" spans="1:21">
      <c r="A1055"/>
      <c r="C1055"/>
      <c r="D1055"/>
      <c r="L1055"/>
      <c r="R1055"/>
      <c r="S1055"/>
      <c r="T1055"/>
      <c r="U1055"/>
    </row>
    <row r="1056" spans="1:21">
      <c r="A1056"/>
      <c r="C1056"/>
      <c r="D1056"/>
      <c r="L1056"/>
      <c r="R1056"/>
      <c r="S1056"/>
      <c r="T1056"/>
      <c r="U1056"/>
    </row>
    <row r="1057" spans="1:21">
      <c r="A1057"/>
      <c r="C1057"/>
      <c r="D1057"/>
      <c r="L1057"/>
      <c r="R1057"/>
      <c r="S1057"/>
      <c r="T1057"/>
      <c r="U1057"/>
    </row>
    <row r="1058" spans="1:21">
      <c r="A1058"/>
      <c r="C1058"/>
      <c r="D1058"/>
      <c r="L1058"/>
      <c r="R1058"/>
      <c r="S1058"/>
      <c r="T1058"/>
      <c r="U1058"/>
    </row>
    <row r="1059" spans="1:21">
      <c r="A1059"/>
      <c r="C1059"/>
      <c r="D1059"/>
      <c r="L1059"/>
      <c r="R1059"/>
      <c r="S1059"/>
      <c r="T1059"/>
      <c r="U1059"/>
    </row>
    <row r="1060" spans="1:21">
      <c r="A1060"/>
      <c r="C1060"/>
      <c r="D1060"/>
      <c r="L1060"/>
      <c r="R1060"/>
      <c r="S1060"/>
      <c r="T1060"/>
      <c r="U1060"/>
    </row>
    <row r="1061" spans="1:21">
      <c r="A1061"/>
      <c r="C1061"/>
      <c r="D1061"/>
      <c r="L1061"/>
      <c r="R1061"/>
      <c r="S1061"/>
      <c r="T1061"/>
      <c r="U1061"/>
    </row>
    <row r="1062" spans="1:21">
      <c r="A1062"/>
      <c r="C1062"/>
      <c r="D1062"/>
      <c r="L1062"/>
      <c r="R1062"/>
      <c r="S1062"/>
      <c r="T1062"/>
      <c r="U1062"/>
    </row>
    <row r="1063" spans="1:21">
      <c r="A1063"/>
      <c r="C1063"/>
      <c r="D1063"/>
      <c r="L1063"/>
      <c r="R1063"/>
      <c r="S1063"/>
      <c r="T1063"/>
      <c r="U1063"/>
    </row>
    <row r="1064" spans="1:21">
      <c r="A1064"/>
      <c r="C1064"/>
      <c r="D1064"/>
      <c r="L1064"/>
      <c r="R1064"/>
      <c r="S1064"/>
      <c r="T1064"/>
      <c r="U1064"/>
    </row>
    <row r="1065" spans="1:21">
      <c r="A1065"/>
      <c r="C1065"/>
      <c r="D1065"/>
      <c r="L1065"/>
      <c r="R1065"/>
      <c r="S1065"/>
      <c r="T1065"/>
      <c r="U1065"/>
    </row>
    <row r="1066" spans="1:21">
      <c r="A1066"/>
      <c r="C1066"/>
      <c r="D1066"/>
      <c r="L1066"/>
      <c r="R1066"/>
      <c r="S1066"/>
      <c r="T1066"/>
      <c r="U1066"/>
    </row>
    <row r="1067" spans="1:21">
      <c r="A1067"/>
      <c r="C1067"/>
      <c r="D1067"/>
      <c r="L1067"/>
      <c r="R1067"/>
      <c r="S1067"/>
      <c r="T1067"/>
      <c r="U1067"/>
    </row>
    <row r="1068" spans="1:21">
      <c r="A1068"/>
      <c r="C1068"/>
      <c r="D1068"/>
      <c r="L1068"/>
      <c r="R1068"/>
      <c r="S1068"/>
      <c r="T1068"/>
      <c r="U1068"/>
    </row>
    <row r="1069" spans="1:21">
      <c r="A1069"/>
      <c r="C1069"/>
      <c r="D1069"/>
      <c r="L1069"/>
      <c r="R1069"/>
      <c r="S1069"/>
      <c r="T1069"/>
      <c r="U1069"/>
    </row>
    <row r="1070" spans="1:21">
      <c r="A1070"/>
      <c r="C1070"/>
      <c r="D1070"/>
      <c r="L1070"/>
      <c r="R1070"/>
      <c r="S1070"/>
      <c r="T1070"/>
      <c r="U1070"/>
    </row>
    <row r="1071" spans="1:21">
      <c r="A1071"/>
      <c r="C1071"/>
      <c r="D1071"/>
      <c r="L1071"/>
      <c r="R1071"/>
      <c r="S1071"/>
      <c r="T1071"/>
      <c r="U1071"/>
    </row>
    <row r="1072" spans="1:21">
      <c r="A1072"/>
      <c r="C1072"/>
      <c r="D1072"/>
      <c r="L1072"/>
      <c r="R1072"/>
      <c r="S1072"/>
      <c r="T1072"/>
      <c r="U1072"/>
    </row>
    <row r="1073" spans="1:21">
      <c r="A1073"/>
      <c r="C1073"/>
      <c r="D1073"/>
      <c r="L1073"/>
      <c r="R1073"/>
      <c r="S1073"/>
      <c r="T1073"/>
      <c r="U1073"/>
    </row>
    <row r="1074" spans="1:21">
      <c r="A1074"/>
      <c r="C1074"/>
      <c r="D1074"/>
      <c r="L1074"/>
      <c r="R1074"/>
      <c r="S1074"/>
      <c r="T1074"/>
      <c r="U1074"/>
    </row>
    <row r="1075" spans="1:21">
      <c r="A1075"/>
      <c r="C1075"/>
      <c r="D1075"/>
      <c r="L1075"/>
      <c r="R1075"/>
      <c r="S1075"/>
      <c r="T1075"/>
      <c r="U1075"/>
    </row>
    <row r="1076" spans="1:21">
      <c r="A1076"/>
      <c r="C1076"/>
      <c r="D1076"/>
      <c r="L1076"/>
      <c r="R1076"/>
      <c r="S1076"/>
      <c r="T1076"/>
      <c r="U1076"/>
    </row>
    <row r="1077" spans="1:21">
      <c r="A1077"/>
      <c r="C1077"/>
      <c r="D1077"/>
      <c r="L1077"/>
      <c r="R1077"/>
      <c r="S1077"/>
      <c r="T1077"/>
      <c r="U1077"/>
    </row>
    <row r="1078" spans="1:21">
      <c r="A1078"/>
      <c r="C1078"/>
      <c r="D1078"/>
      <c r="L1078"/>
      <c r="R1078"/>
      <c r="S1078"/>
      <c r="T1078"/>
      <c r="U1078"/>
    </row>
    <row r="1079" spans="1:21">
      <c r="A1079"/>
      <c r="C1079"/>
      <c r="D1079"/>
      <c r="L1079"/>
      <c r="R1079"/>
      <c r="S1079"/>
      <c r="T1079"/>
      <c r="U1079"/>
    </row>
    <row r="1080" spans="1:21">
      <c r="A1080"/>
      <c r="C1080"/>
      <c r="D1080"/>
      <c r="L1080"/>
      <c r="R1080"/>
      <c r="S1080"/>
      <c r="T1080"/>
      <c r="U1080"/>
    </row>
    <row r="1081" spans="1:21">
      <c r="A1081"/>
      <c r="C1081"/>
      <c r="D1081"/>
      <c r="L1081"/>
      <c r="R1081"/>
      <c r="S1081"/>
      <c r="T1081"/>
      <c r="U1081"/>
    </row>
    <row r="1082" spans="1:21">
      <c r="A1082"/>
      <c r="C1082"/>
      <c r="D1082"/>
      <c r="L1082"/>
      <c r="R1082"/>
      <c r="S1082"/>
      <c r="T1082"/>
      <c r="U1082"/>
    </row>
    <row r="1083" spans="1:21">
      <c r="A1083"/>
      <c r="C1083"/>
      <c r="D1083"/>
      <c r="L1083"/>
      <c r="R1083"/>
      <c r="S1083"/>
      <c r="T1083"/>
      <c r="U1083"/>
    </row>
    <row r="1084" spans="1:21">
      <c r="A1084"/>
      <c r="C1084"/>
      <c r="D1084"/>
      <c r="L1084"/>
      <c r="R1084"/>
      <c r="S1084"/>
      <c r="T1084"/>
      <c r="U1084"/>
    </row>
    <row r="1085" spans="1:21">
      <c r="A1085"/>
      <c r="C1085"/>
      <c r="D1085"/>
      <c r="L1085"/>
      <c r="R1085"/>
      <c r="S1085"/>
      <c r="T1085"/>
      <c r="U1085"/>
    </row>
    <row r="1086" spans="1:21">
      <c r="A1086"/>
      <c r="C1086"/>
      <c r="D1086"/>
      <c r="L1086"/>
      <c r="R1086"/>
      <c r="S1086"/>
      <c r="T1086"/>
      <c r="U1086"/>
    </row>
    <row r="1087" spans="1:21">
      <c r="A1087"/>
      <c r="C1087"/>
      <c r="D1087"/>
      <c r="L1087"/>
      <c r="R1087"/>
      <c r="S1087"/>
      <c r="T1087"/>
      <c r="U1087"/>
    </row>
    <row r="1088" spans="1:21">
      <c r="A1088"/>
      <c r="C1088"/>
      <c r="D1088"/>
      <c r="L1088"/>
      <c r="R1088"/>
      <c r="S1088"/>
      <c r="T1088"/>
      <c r="U1088"/>
    </row>
    <row r="1089" spans="1:21">
      <c r="A1089"/>
      <c r="C1089"/>
      <c r="D1089"/>
      <c r="L1089"/>
      <c r="R1089"/>
      <c r="S1089"/>
      <c r="T1089"/>
      <c r="U1089"/>
    </row>
    <row r="1090" spans="1:21">
      <c r="A1090"/>
      <c r="C1090"/>
      <c r="D1090"/>
      <c r="L1090"/>
      <c r="R1090"/>
      <c r="S1090"/>
      <c r="T1090"/>
      <c r="U1090"/>
    </row>
    <row r="1091" spans="1:21">
      <c r="A1091"/>
      <c r="C1091"/>
      <c r="D1091"/>
      <c r="L1091"/>
      <c r="R1091"/>
      <c r="S1091"/>
      <c r="T1091"/>
      <c r="U1091"/>
    </row>
    <row r="1092" spans="1:21">
      <c r="A1092"/>
      <c r="C1092"/>
      <c r="D1092"/>
      <c r="L1092"/>
      <c r="R1092"/>
      <c r="S1092"/>
      <c r="T1092"/>
      <c r="U1092"/>
    </row>
    <row r="1093" spans="1:21">
      <c r="A1093"/>
      <c r="C1093"/>
      <c r="D1093"/>
      <c r="L1093"/>
      <c r="R1093"/>
      <c r="S1093"/>
      <c r="T1093"/>
      <c r="U1093"/>
    </row>
    <row r="1094" spans="1:21">
      <c r="A1094"/>
      <c r="C1094"/>
      <c r="D1094"/>
      <c r="L1094"/>
      <c r="R1094"/>
      <c r="S1094"/>
      <c r="T1094"/>
      <c r="U1094"/>
    </row>
    <row r="1095" spans="1:21">
      <c r="A1095"/>
      <c r="C1095"/>
      <c r="D1095"/>
      <c r="L1095"/>
      <c r="R1095"/>
      <c r="S1095"/>
      <c r="T1095"/>
      <c r="U1095"/>
    </row>
    <row r="1096" spans="1:21">
      <c r="A1096"/>
      <c r="C1096"/>
      <c r="D1096"/>
      <c r="L1096"/>
      <c r="R1096"/>
      <c r="S1096"/>
      <c r="T1096"/>
      <c r="U1096"/>
    </row>
    <row r="1097" spans="1:21">
      <c r="A1097"/>
      <c r="C1097"/>
      <c r="D1097"/>
      <c r="L1097"/>
      <c r="R1097"/>
      <c r="S1097"/>
      <c r="T1097"/>
      <c r="U1097"/>
    </row>
    <row r="1098" spans="1:21">
      <c r="A1098"/>
      <c r="C1098"/>
      <c r="D1098"/>
      <c r="L1098"/>
      <c r="R1098"/>
      <c r="S1098"/>
      <c r="T1098"/>
      <c r="U1098"/>
    </row>
    <row r="1099" spans="1:21">
      <c r="A1099"/>
      <c r="C1099"/>
      <c r="D1099"/>
      <c r="L1099"/>
      <c r="R1099"/>
      <c r="S1099"/>
      <c r="T1099"/>
      <c r="U1099"/>
    </row>
    <row r="1100" spans="1:21">
      <c r="A1100"/>
      <c r="C1100"/>
      <c r="D1100"/>
      <c r="L1100"/>
      <c r="R1100"/>
      <c r="S1100"/>
      <c r="T1100"/>
      <c r="U1100"/>
    </row>
    <row r="1101" spans="1:21">
      <c r="A1101"/>
      <c r="C1101"/>
      <c r="D1101"/>
      <c r="L1101"/>
      <c r="R1101"/>
      <c r="S1101"/>
      <c r="T1101"/>
      <c r="U1101"/>
    </row>
    <row r="1102" spans="1:21">
      <c r="A1102"/>
      <c r="C1102"/>
      <c r="D1102"/>
      <c r="L1102"/>
      <c r="R1102"/>
      <c r="S1102"/>
      <c r="T1102"/>
      <c r="U1102"/>
    </row>
    <row r="1103" spans="1:21">
      <c r="A1103"/>
      <c r="C1103"/>
      <c r="D1103"/>
      <c r="L1103"/>
      <c r="R1103"/>
      <c r="S1103"/>
      <c r="T1103"/>
      <c r="U1103"/>
    </row>
    <row r="1104" spans="1:21">
      <c r="A1104"/>
      <c r="C1104"/>
      <c r="D1104"/>
      <c r="L1104"/>
      <c r="R1104"/>
      <c r="S1104"/>
      <c r="T1104"/>
      <c r="U1104"/>
    </row>
    <row r="1105" spans="1:21">
      <c r="A1105"/>
      <c r="C1105"/>
      <c r="D1105"/>
      <c r="L1105"/>
      <c r="R1105"/>
      <c r="S1105"/>
      <c r="T1105"/>
      <c r="U1105"/>
    </row>
    <row r="1106" spans="1:21">
      <c r="A1106"/>
      <c r="C1106"/>
      <c r="D1106"/>
      <c r="L1106"/>
      <c r="R1106"/>
      <c r="S1106"/>
      <c r="T1106"/>
      <c r="U1106"/>
    </row>
    <row r="1107" spans="1:21">
      <c r="A1107"/>
      <c r="C1107"/>
      <c r="D1107"/>
      <c r="L1107"/>
      <c r="R1107"/>
      <c r="S1107"/>
      <c r="T1107"/>
      <c r="U1107"/>
    </row>
    <row r="1108" spans="1:21">
      <c r="A1108"/>
      <c r="C1108"/>
      <c r="D1108"/>
      <c r="L1108"/>
      <c r="R1108"/>
      <c r="S1108"/>
      <c r="T1108"/>
      <c r="U1108"/>
    </row>
    <row r="1109" spans="1:21">
      <c r="A1109"/>
      <c r="C1109"/>
      <c r="D1109"/>
      <c r="L1109"/>
      <c r="R1109"/>
      <c r="S1109"/>
      <c r="T1109"/>
      <c r="U1109"/>
    </row>
    <row r="1110" spans="1:21">
      <c r="A1110"/>
      <c r="C1110"/>
      <c r="D1110"/>
      <c r="L1110"/>
      <c r="R1110"/>
      <c r="S1110"/>
      <c r="T1110"/>
      <c r="U1110"/>
    </row>
    <row r="1111" spans="1:21">
      <c r="A1111"/>
      <c r="C1111"/>
      <c r="D1111"/>
      <c r="L1111"/>
      <c r="R1111"/>
      <c r="S1111"/>
      <c r="T1111"/>
      <c r="U1111"/>
    </row>
    <row r="1112" spans="1:21">
      <c r="A1112"/>
      <c r="C1112"/>
      <c r="D1112"/>
      <c r="L1112"/>
      <c r="R1112"/>
      <c r="S1112"/>
      <c r="T1112"/>
      <c r="U1112"/>
    </row>
    <row r="1113" spans="1:21">
      <c r="A1113"/>
      <c r="C1113"/>
      <c r="D1113"/>
      <c r="L1113"/>
      <c r="R1113"/>
      <c r="S1113"/>
      <c r="T1113"/>
      <c r="U1113"/>
    </row>
    <row r="1114" spans="1:21">
      <c r="A1114"/>
      <c r="C1114"/>
      <c r="D1114"/>
      <c r="L1114"/>
      <c r="R1114"/>
      <c r="S1114"/>
      <c r="T1114"/>
      <c r="U1114"/>
    </row>
    <row r="1115" spans="1:21">
      <c r="A1115"/>
      <c r="C1115"/>
      <c r="D1115"/>
      <c r="L1115"/>
      <c r="R1115"/>
      <c r="S1115"/>
      <c r="T1115"/>
      <c r="U1115"/>
    </row>
    <row r="1116" spans="1:21">
      <c r="A1116"/>
      <c r="C1116"/>
      <c r="D1116"/>
      <c r="L1116"/>
      <c r="R1116"/>
      <c r="S1116"/>
      <c r="T1116"/>
      <c r="U1116"/>
    </row>
    <row r="1117" spans="1:21">
      <c r="A1117"/>
      <c r="C1117"/>
      <c r="D1117"/>
      <c r="L1117"/>
      <c r="R1117"/>
      <c r="S1117"/>
      <c r="T1117"/>
      <c r="U1117"/>
    </row>
    <row r="1118" spans="1:21">
      <c r="A1118"/>
      <c r="C1118"/>
      <c r="D1118"/>
      <c r="L1118"/>
      <c r="R1118"/>
      <c r="S1118"/>
      <c r="T1118"/>
      <c r="U1118"/>
    </row>
    <row r="1119" spans="1:21">
      <c r="A1119"/>
      <c r="C1119"/>
      <c r="D1119"/>
      <c r="L1119"/>
      <c r="R1119"/>
      <c r="S1119"/>
      <c r="T1119"/>
      <c r="U1119"/>
    </row>
    <row r="1120" spans="1:21">
      <c r="A1120"/>
      <c r="C1120"/>
      <c r="D1120"/>
      <c r="L1120"/>
      <c r="R1120"/>
      <c r="S1120"/>
      <c r="T1120"/>
      <c r="U1120"/>
    </row>
    <row r="1121" spans="1:21">
      <c r="A1121"/>
      <c r="C1121"/>
      <c r="D1121"/>
      <c r="L1121"/>
      <c r="R1121"/>
      <c r="S1121"/>
      <c r="T1121"/>
      <c r="U1121"/>
    </row>
    <row r="1122" spans="1:21">
      <c r="A1122"/>
      <c r="C1122"/>
      <c r="D1122"/>
      <c r="L1122"/>
      <c r="R1122"/>
      <c r="S1122"/>
      <c r="T1122"/>
      <c r="U1122"/>
    </row>
    <row r="1123" spans="1:21">
      <c r="A1123"/>
      <c r="C1123"/>
      <c r="D1123"/>
      <c r="L1123"/>
      <c r="R1123"/>
      <c r="S1123"/>
      <c r="T1123"/>
      <c r="U1123"/>
    </row>
    <row r="1124" spans="1:21">
      <c r="A1124"/>
      <c r="C1124"/>
      <c r="D1124"/>
      <c r="L1124"/>
      <c r="R1124"/>
      <c r="S1124"/>
      <c r="T1124"/>
      <c r="U1124"/>
    </row>
    <row r="1125" spans="1:21">
      <c r="A1125"/>
      <c r="C1125"/>
      <c r="D1125"/>
      <c r="L1125"/>
      <c r="R1125"/>
      <c r="S1125"/>
      <c r="T1125"/>
      <c r="U1125"/>
    </row>
    <row r="1126" spans="1:21">
      <c r="A1126"/>
      <c r="C1126"/>
      <c r="D1126"/>
      <c r="L1126"/>
      <c r="R1126"/>
      <c r="S1126"/>
      <c r="T1126"/>
      <c r="U1126"/>
    </row>
    <row r="1127" spans="1:21">
      <c r="A1127"/>
      <c r="C1127"/>
      <c r="D1127"/>
      <c r="L1127"/>
      <c r="R1127"/>
      <c r="S1127"/>
      <c r="T1127"/>
      <c r="U1127"/>
    </row>
    <row r="1128" spans="1:21">
      <c r="A1128"/>
      <c r="C1128"/>
      <c r="D1128"/>
      <c r="L1128"/>
      <c r="R1128"/>
      <c r="S1128"/>
      <c r="T1128"/>
      <c r="U1128"/>
    </row>
    <row r="1129" spans="1:21">
      <c r="A1129"/>
      <c r="C1129"/>
      <c r="D1129"/>
      <c r="L1129"/>
      <c r="R1129"/>
      <c r="S1129"/>
      <c r="T1129"/>
      <c r="U1129"/>
    </row>
    <row r="1130" spans="1:21">
      <c r="A1130"/>
      <c r="C1130"/>
      <c r="D1130"/>
      <c r="L1130"/>
      <c r="R1130"/>
      <c r="S1130"/>
      <c r="T1130"/>
      <c r="U1130"/>
    </row>
    <row r="1131" spans="1:21">
      <c r="A1131"/>
      <c r="C1131"/>
      <c r="D1131"/>
      <c r="L1131"/>
      <c r="R1131"/>
      <c r="S1131"/>
      <c r="T1131"/>
      <c r="U1131"/>
    </row>
    <row r="1132" spans="1:21">
      <c r="A1132"/>
      <c r="C1132"/>
      <c r="D1132"/>
      <c r="L1132"/>
      <c r="R1132"/>
      <c r="S1132"/>
      <c r="T1132"/>
      <c r="U1132"/>
    </row>
    <row r="1133" spans="1:21">
      <c r="A1133"/>
      <c r="C1133"/>
      <c r="D1133"/>
      <c r="L1133"/>
      <c r="R1133"/>
      <c r="S1133"/>
      <c r="T1133"/>
      <c r="U1133"/>
    </row>
    <row r="1134" spans="1:21">
      <c r="A1134"/>
      <c r="C1134"/>
      <c r="D1134"/>
      <c r="L1134"/>
      <c r="R1134"/>
      <c r="S1134"/>
      <c r="T1134"/>
      <c r="U1134"/>
    </row>
    <row r="1135" spans="1:21">
      <c r="A1135"/>
      <c r="C1135"/>
      <c r="D1135"/>
      <c r="L1135"/>
      <c r="R1135"/>
      <c r="S1135"/>
      <c r="T1135"/>
      <c r="U1135"/>
    </row>
    <row r="1136" spans="1:21">
      <c r="A1136"/>
      <c r="C1136"/>
      <c r="D1136"/>
      <c r="L1136"/>
      <c r="R1136"/>
      <c r="S1136"/>
      <c r="T1136"/>
      <c r="U1136"/>
    </row>
    <row r="1137" spans="1:21">
      <c r="A1137"/>
      <c r="C1137"/>
      <c r="D1137"/>
      <c r="L1137"/>
      <c r="R1137"/>
      <c r="S1137"/>
      <c r="T1137"/>
      <c r="U1137"/>
    </row>
    <row r="1138" spans="1:21">
      <c r="A1138"/>
      <c r="C1138"/>
      <c r="D1138"/>
      <c r="L1138"/>
      <c r="R1138"/>
      <c r="S1138"/>
      <c r="T1138"/>
      <c r="U1138"/>
    </row>
    <row r="1139" spans="1:21">
      <c r="A1139"/>
      <c r="C1139"/>
      <c r="D1139"/>
      <c r="L1139"/>
      <c r="R1139"/>
      <c r="S1139"/>
      <c r="T1139"/>
      <c r="U1139"/>
    </row>
    <row r="1140" spans="1:21">
      <c r="A1140"/>
      <c r="C1140"/>
      <c r="D1140"/>
      <c r="L1140"/>
      <c r="R1140"/>
      <c r="S1140"/>
      <c r="T1140"/>
      <c r="U1140"/>
    </row>
    <row r="1141" spans="1:21">
      <c r="A1141"/>
      <c r="C1141"/>
      <c r="D1141"/>
      <c r="L1141"/>
      <c r="R1141"/>
      <c r="S1141"/>
      <c r="T1141"/>
      <c r="U1141"/>
    </row>
    <row r="1142" spans="1:21">
      <c r="A1142"/>
      <c r="C1142"/>
      <c r="D1142"/>
      <c r="L1142"/>
      <c r="R1142"/>
      <c r="S1142"/>
      <c r="T1142"/>
      <c r="U1142"/>
    </row>
    <row r="1143" spans="1:21">
      <c r="A1143"/>
      <c r="C1143"/>
      <c r="D1143"/>
      <c r="L1143"/>
      <c r="R1143"/>
      <c r="S1143"/>
      <c r="T1143"/>
      <c r="U1143"/>
    </row>
    <row r="1144" spans="1:21">
      <c r="A1144"/>
      <c r="C1144"/>
      <c r="D1144"/>
      <c r="L1144"/>
      <c r="R1144"/>
      <c r="S1144"/>
      <c r="T1144"/>
      <c r="U1144"/>
    </row>
    <row r="1145" spans="1:21">
      <c r="A1145"/>
      <c r="C1145"/>
      <c r="D1145"/>
      <c r="L1145"/>
      <c r="R1145"/>
      <c r="S1145"/>
      <c r="T1145"/>
      <c r="U1145"/>
    </row>
    <row r="1146" spans="1:21">
      <c r="A1146"/>
      <c r="C1146"/>
      <c r="D1146"/>
      <c r="L1146"/>
      <c r="R1146"/>
      <c r="S1146"/>
      <c r="T1146"/>
      <c r="U1146"/>
    </row>
    <row r="1147" spans="1:21">
      <c r="A1147"/>
      <c r="C1147"/>
      <c r="D1147"/>
      <c r="L1147"/>
      <c r="R1147"/>
      <c r="S1147"/>
      <c r="T1147"/>
      <c r="U1147"/>
    </row>
    <row r="1148" spans="1:21">
      <c r="A1148"/>
      <c r="C1148"/>
      <c r="D1148"/>
      <c r="L1148"/>
      <c r="R1148"/>
      <c r="S1148"/>
      <c r="T1148"/>
      <c r="U1148"/>
    </row>
    <row r="1149" spans="1:21">
      <c r="A1149"/>
      <c r="C1149"/>
      <c r="D1149"/>
      <c r="L1149"/>
      <c r="R1149"/>
      <c r="S1149"/>
      <c r="T1149"/>
      <c r="U1149"/>
    </row>
    <row r="1150" spans="1:21">
      <c r="A1150"/>
      <c r="C1150"/>
      <c r="D1150"/>
      <c r="L1150"/>
      <c r="R1150"/>
      <c r="S1150"/>
      <c r="T1150"/>
      <c r="U1150"/>
    </row>
    <row r="1151" spans="1:21">
      <c r="A1151"/>
      <c r="C1151"/>
      <c r="D1151"/>
      <c r="L1151"/>
      <c r="R1151"/>
      <c r="S1151"/>
      <c r="T1151"/>
      <c r="U1151"/>
    </row>
    <row r="1152" spans="1:21">
      <c r="A1152"/>
      <c r="C1152"/>
      <c r="D1152"/>
      <c r="L1152"/>
      <c r="R1152"/>
      <c r="S1152"/>
      <c r="T1152"/>
      <c r="U1152"/>
    </row>
    <row r="1153" spans="1:21">
      <c r="A1153"/>
      <c r="C1153"/>
      <c r="D1153"/>
      <c r="L1153"/>
      <c r="R1153"/>
      <c r="S1153"/>
      <c r="T1153"/>
      <c r="U1153"/>
    </row>
    <row r="1154" spans="1:21">
      <c r="A1154"/>
      <c r="C1154"/>
      <c r="D1154"/>
      <c r="L1154"/>
      <c r="R1154"/>
      <c r="S1154"/>
      <c r="T1154"/>
      <c r="U1154"/>
    </row>
    <row r="1155" spans="1:21">
      <c r="A1155"/>
      <c r="C1155"/>
      <c r="D1155"/>
      <c r="L1155"/>
      <c r="R1155"/>
      <c r="S1155"/>
      <c r="T1155"/>
      <c r="U1155"/>
    </row>
    <row r="1156" spans="1:21">
      <c r="A1156"/>
      <c r="C1156"/>
      <c r="D1156"/>
      <c r="L1156"/>
      <c r="R1156"/>
      <c r="S1156"/>
      <c r="T1156"/>
      <c r="U1156"/>
    </row>
    <row r="1157" spans="1:21">
      <c r="A1157"/>
      <c r="C1157"/>
      <c r="D1157"/>
      <c r="L1157"/>
      <c r="R1157"/>
      <c r="S1157"/>
      <c r="T1157"/>
      <c r="U1157"/>
    </row>
    <row r="1158" spans="1:21">
      <c r="A1158"/>
      <c r="C1158"/>
      <c r="D1158"/>
      <c r="L1158"/>
      <c r="R1158"/>
      <c r="S1158"/>
      <c r="T1158"/>
      <c r="U1158"/>
    </row>
    <row r="1159" spans="1:21">
      <c r="A1159"/>
      <c r="C1159"/>
      <c r="D1159"/>
      <c r="L1159"/>
      <c r="R1159"/>
      <c r="S1159"/>
      <c r="T1159"/>
      <c r="U1159"/>
    </row>
    <row r="1160" spans="1:21">
      <c r="A1160"/>
      <c r="C1160"/>
      <c r="D1160"/>
      <c r="L1160"/>
      <c r="R1160"/>
      <c r="S1160"/>
      <c r="T1160"/>
      <c r="U1160"/>
    </row>
    <row r="1161" spans="1:21">
      <c r="A1161"/>
      <c r="C1161"/>
      <c r="D1161"/>
      <c r="L1161"/>
      <c r="R1161"/>
      <c r="S1161"/>
      <c r="T1161"/>
      <c r="U1161"/>
    </row>
    <row r="1162" spans="1:21">
      <c r="A1162"/>
      <c r="C1162"/>
      <c r="D1162"/>
      <c r="L1162"/>
      <c r="R1162"/>
      <c r="S1162"/>
      <c r="T1162"/>
      <c r="U1162"/>
    </row>
    <row r="1163" spans="1:21">
      <c r="A1163"/>
      <c r="C1163"/>
      <c r="D1163"/>
      <c r="L1163"/>
      <c r="R1163"/>
      <c r="S1163"/>
      <c r="T1163"/>
      <c r="U1163"/>
    </row>
    <row r="1164" spans="1:21">
      <c r="A1164"/>
      <c r="C1164"/>
      <c r="D1164"/>
      <c r="L1164"/>
      <c r="R1164"/>
      <c r="S1164"/>
      <c r="T1164"/>
      <c r="U1164"/>
    </row>
    <row r="1165" spans="1:21">
      <c r="A1165"/>
      <c r="C1165"/>
      <c r="D1165"/>
      <c r="L1165"/>
      <c r="R1165"/>
      <c r="S1165"/>
      <c r="T1165"/>
      <c r="U1165"/>
    </row>
    <row r="1166" spans="1:21">
      <c r="A1166"/>
      <c r="C1166"/>
      <c r="D1166"/>
      <c r="L1166"/>
      <c r="R1166"/>
      <c r="S1166"/>
      <c r="T1166"/>
      <c r="U1166"/>
    </row>
    <row r="1167" spans="1:21">
      <c r="A1167"/>
      <c r="C1167"/>
      <c r="D1167"/>
      <c r="L1167"/>
      <c r="R1167"/>
      <c r="S1167"/>
      <c r="T1167"/>
      <c r="U1167"/>
    </row>
    <row r="1168" spans="1:21">
      <c r="A1168"/>
      <c r="C1168"/>
      <c r="D1168"/>
      <c r="L1168"/>
      <c r="R1168"/>
      <c r="S1168"/>
      <c r="T1168"/>
      <c r="U1168"/>
    </row>
    <row r="1169" spans="1:21">
      <c r="A1169"/>
      <c r="C1169"/>
      <c r="D1169"/>
      <c r="L1169"/>
      <c r="R1169"/>
      <c r="S1169"/>
      <c r="T1169"/>
      <c r="U1169"/>
    </row>
    <row r="1170" spans="1:21">
      <c r="A1170"/>
      <c r="C1170"/>
      <c r="D1170"/>
      <c r="L1170"/>
      <c r="R1170"/>
      <c r="S1170"/>
      <c r="T1170"/>
      <c r="U1170"/>
    </row>
    <row r="1171" spans="1:21">
      <c r="A1171"/>
      <c r="C1171"/>
      <c r="D1171"/>
      <c r="L1171"/>
      <c r="R1171"/>
      <c r="S1171"/>
      <c r="T1171"/>
      <c r="U1171"/>
    </row>
    <row r="1172" spans="1:21">
      <c r="A1172"/>
      <c r="C1172"/>
      <c r="D1172"/>
      <c r="L1172"/>
      <c r="R1172"/>
      <c r="S1172"/>
      <c r="T1172"/>
      <c r="U1172"/>
    </row>
    <row r="1173" spans="1:21">
      <c r="A1173"/>
      <c r="C1173"/>
      <c r="D1173"/>
      <c r="L1173"/>
      <c r="R1173"/>
      <c r="S1173"/>
      <c r="T1173"/>
      <c r="U1173"/>
    </row>
    <row r="1174" spans="1:21">
      <c r="A1174"/>
      <c r="C1174"/>
      <c r="D1174"/>
      <c r="L1174"/>
      <c r="R1174"/>
      <c r="S1174"/>
      <c r="T1174"/>
      <c r="U1174"/>
    </row>
    <row r="1175" spans="1:21">
      <c r="A1175"/>
      <c r="C1175"/>
      <c r="D1175"/>
      <c r="L1175"/>
      <c r="R1175"/>
      <c r="S1175"/>
      <c r="T1175"/>
      <c r="U1175"/>
    </row>
    <row r="1176" spans="1:21">
      <c r="A1176"/>
      <c r="C1176"/>
      <c r="D1176"/>
      <c r="L1176"/>
      <c r="R1176"/>
      <c r="S1176"/>
      <c r="T1176"/>
      <c r="U1176"/>
    </row>
    <row r="1177" spans="1:21">
      <c r="A1177"/>
      <c r="C1177"/>
      <c r="D1177"/>
      <c r="L1177"/>
      <c r="R1177"/>
      <c r="S1177"/>
      <c r="T1177"/>
      <c r="U1177"/>
    </row>
    <row r="1178" spans="1:21">
      <c r="A1178"/>
      <c r="C1178"/>
      <c r="D1178"/>
      <c r="L1178"/>
      <c r="R1178"/>
      <c r="S1178"/>
      <c r="T1178"/>
      <c r="U1178"/>
    </row>
    <row r="1179" spans="1:21">
      <c r="A1179"/>
      <c r="C1179"/>
      <c r="D1179"/>
      <c r="L1179"/>
      <c r="R1179"/>
      <c r="S1179"/>
      <c r="T1179"/>
      <c r="U1179"/>
    </row>
    <row r="1180" spans="1:21">
      <c r="A1180"/>
      <c r="C1180"/>
      <c r="D1180"/>
      <c r="L1180"/>
      <c r="R1180"/>
      <c r="S1180"/>
      <c r="T1180"/>
      <c r="U1180"/>
    </row>
    <row r="1181" spans="1:21">
      <c r="A1181"/>
      <c r="C1181"/>
      <c r="D1181"/>
      <c r="L1181"/>
      <c r="R1181"/>
      <c r="S1181"/>
      <c r="T1181"/>
      <c r="U1181"/>
    </row>
    <row r="1182" spans="1:21">
      <c r="A1182"/>
      <c r="C1182"/>
      <c r="D1182"/>
      <c r="L1182"/>
      <c r="R1182"/>
      <c r="S1182"/>
      <c r="T1182"/>
      <c r="U1182"/>
    </row>
    <row r="1183" spans="1:21">
      <c r="A1183"/>
      <c r="C1183"/>
      <c r="D1183"/>
      <c r="L1183"/>
      <c r="R1183"/>
      <c r="S1183"/>
      <c r="T1183"/>
      <c r="U1183"/>
    </row>
    <row r="1184" spans="1:21">
      <c r="A1184"/>
      <c r="C1184"/>
      <c r="D1184"/>
      <c r="L1184"/>
      <c r="R1184"/>
      <c r="S1184"/>
      <c r="T1184"/>
      <c r="U1184"/>
    </row>
    <row r="1185" spans="1:21">
      <c r="A1185"/>
      <c r="C1185"/>
      <c r="D1185"/>
      <c r="L1185"/>
      <c r="R1185"/>
      <c r="S1185"/>
      <c r="T1185"/>
      <c r="U1185"/>
    </row>
    <row r="1186" spans="1:21">
      <c r="A1186"/>
      <c r="C1186"/>
      <c r="D1186"/>
      <c r="L1186"/>
      <c r="R1186"/>
      <c r="S1186"/>
      <c r="T1186"/>
      <c r="U1186"/>
    </row>
    <row r="1187" spans="1:21">
      <c r="A1187"/>
      <c r="C1187"/>
      <c r="D1187"/>
      <c r="L1187"/>
      <c r="R1187"/>
      <c r="S1187"/>
      <c r="T1187"/>
      <c r="U1187"/>
    </row>
    <row r="1188" spans="1:21">
      <c r="A1188"/>
      <c r="C1188"/>
      <c r="D1188"/>
      <c r="L1188"/>
      <c r="R1188"/>
      <c r="S1188"/>
      <c r="T1188"/>
      <c r="U1188"/>
    </row>
    <row r="1189" spans="1:21">
      <c r="A1189"/>
      <c r="C1189"/>
      <c r="D1189"/>
      <c r="L1189"/>
      <c r="R1189"/>
      <c r="S1189"/>
      <c r="T1189"/>
      <c r="U1189"/>
    </row>
    <row r="1190" spans="1:21">
      <c r="A1190"/>
      <c r="C1190"/>
      <c r="D1190"/>
      <c r="L1190"/>
      <c r="R1190"/>
      <c r="S1190"/>
      <c r="T1190"/>
      <c r="U1190"/>
    </row>
    <row r="1191" spans="1:21">
      <c r="A1191"/>
      <c r="C1191"/>
      <c r="D1191"/>
      <c r="L1191"/>
      <c r="R1191"/>
      <c r="S1191"/>
      <c r="T1191"/>
      <c r="U1191"/>
    </row>
    <row r="1192" spans="1:21">
      <c r="A1192"/>
      <c r="C1192"/>
      <c r="D1192"/>
      <c r="L1192"/>
      <c r="R1192"/>
      <c r="S1192"/>
      <c r="T1192"/>
      <c r="U1192"/>
    </row>
    <row r="1193" spans="1:21">
      <c r="A1193"/>
      <c r="C1193"/>
      <c r="D1193"/>
      <c r="L1193"/>
      <c r="R1193"/>
      <c r="S1193"/>
      <c r="T1193"/>
      <c r="U1193"/>
    </row>
    <row r="1194" spans="1:21">
      <c r="A1194"/>
      <c r="C1194"/>
      <c r="D1194"/>
      <c r="L1194"/>
      <c r="R1194"/>
      <c r="S1194"/>
      <c r="T1194"/>
      <c r="U1194"/>
    </row>
    <row r="1195" spans="1:21">
      <c r="A1195"/>
      <c r="C1195"/>
      <c r="D1195"/>
      <c r="L1195"/>
      <c r="R1195"/>
      <c r="S1195"/>
      <c r="T1195"/>
      <c r="U1195"/>
    </row>
    <row r="1196" spans="1:21">
      <c r="A1196"/>
      <c r="C1196"/>
      <c r="D1196"/>
      <c r="L1196"/>
      <c r="R1196"/>
      <c r="S1196"/>
      <c r="T1196"/>
      <c r="U1196"/>
    </row>
    <row r="1197" spans="1:21">
      <c r="A1197"/>
      <c r="C1197"/>
      <c r="D1197"/>
      <c r="L1197"/>
      <c r="R1197"/>
      <c r="S1197"/>
      <c r="T1197"/>
      <c r="U1197"/>
    </row>
    <row r="1198" spans="1:21">
      <c r="A1198"/>
      <c r="C1198"/>
      <c r="D1198"/>
      <c r="L1198"/>
      <c r="R1198"/>
      <c r="S1198"/>
      <c r="T1198"/>
      <c r="U1198"/>
    </row>
    <row r="1199" spans="1:21">
      <c r="A1199"/>
      <c r="C1199"/>
      <c r="D1199"/>
      <c r="L1199"/>
      <c r="R1199"/>
      <c r="S1199"/>
      <c r="T1199"/>
      <c r="U1199"/>
    </row>
    <row r="1200" spans="1:21">
      <c r="A1200"/>
      <c r="C1200"/>
      <c r="D1200"/>
      <c r="L1200"/>
      <c r="R1200"/>
      <c r="S1200"/>
      <c r="T1200"/>
      <c r="U1200"/>
    </row>
    <row r="1201" spans="1:21">
      <c r="A1201"/>
      <c r="C1201"/>
      <c r="D1201"/>
      <c r="L1201"/>
      <c r="R1201"/>
      <c r="S1201"/>
      <c r="T1201"/>
      <c r="U1201"/>
    </row>
    <row r="1202" spans="1:21">
      <c r="A1202"/>
      <c r="C1202"/>
      <c r="D1202"/>
      <c r="L1202"/>
      <c r="R1202"/>
      <c r="S1202"/>
      <c r="T1202"/>
      <c r="U1202"/>
    </row>
    <row r="1203" spans="1:21">
      <c r="A1203"/>
      <c r="C1203"/>
      <c r="D1203"/>
      <c r="L1203"/>
      <c r="R1203"/>
      <c r="S1203"/>
      <c r="T1203"/>
      <c r="U1203"/>
    </row>
    <row r="1204" spans="1:21">
      <c r="A1204"/>
      <c r="C1204"/>
      <c r="D1204"/>
      <c r="L1204"/>
      <c r="R1204"/>
      <c r="S1204"/>
      <c r="T1204"/>
      <c r="U1204"/>
    </row>
    <row r="1205" spans="1:21">
      <c r="A1205"/>
      <c r="C1205"/>
      <c r="D1205"/>
      <c r="L1205"/>
      <c r="R1205"/>
      <c r="S1205"/>
      <c r="T1205"/>
      <c r="U1205"/>
    </row>
    <row r="1206" spans="1:21">
      <c r="A1206"/>
      <c r="C1206"/>
      <c r="D1206"/>
      <c r="L1206"/>
      <c r="R1206"/>
      <c r="S1206"/>
      <c r="T1206"/>
      <c r="U1206"/>
    </row>
    <row r="1207" spans="1:21">
      <c r="A1207"/>
      <c r="C1207"/>
      <c r="D1207"/>
      <c r="L1207"/>
      <c r="R1207"/>
      <c r="S1207"/>
      <c r="T1207"/>
      <c r="U1207"/>
    </row>
    <row r="1208" spans="1:21">
      <c r="A1208"/>
      <c r="C1208"/>
      <c r="D1208"/>
      <c r="L1208"/>
      <c r="R1208"/>
      <c r="S1208"/>
      <c r="T1208"/>
      <c r="U1208"/>
    </row>
    <row r="1209" spans="1:21">
      <c r="A1209"/>
      <c r="C1209"/>
      <c r="D1209"/>
      <c r="L1209"/>
      <c r="R1209"/>
      <c r="S1209"/>
      <c r="T1209"/>
      <c r="U1209"/>
    </row>
    <row r="1210" spans="1:21">
      <c r="A1210"/>
      <c r="C1210"/>
      <c r="D1210"/>
      <c r="L1210"/>
      <c r="R1210"/>
      <c r="S1210"/>
      <c r="T1210"/>
      <c r="U1210"/>
    </row>
    <row r="1211" spans="1:21">
      <c r="A1211"/>
      <c r="C1211"/>
      <c r="D1211"/>
      <c r="L1211"/>
      <c r="R1211"/>
      <c r="S1211"/>
      <c r="T1211"/>
      <c r="U1211"/>
    </row>
    <row r="1212" spans="1:21">
      <c r="A1212"/>
      <c r="C1212"/>
      <c r="D1212"/>
      <c r="L1212"/>
      <c r="R1212"/>
      <c r="S1212"/>
      <c r="T1212"/>
      <c r="U1212"/>
    </row>
    <row r="1213" spans="1:21">
      <c r="A1213"/>
      <c r="C1213"/>
      <c r="D1213"/>
      <c r="L1213"/>
      <c r="R1213"/>
      <c r="S1213"/>
      <c r="T1213"/>
      <c r="U1213"/>
    </row>
    <row r="1214" spans="1:21">
      <c r="A1214"/>
      <c r="C1214"/>
      <c r="D1214"/>
      <c r="L1214"/>
      <c r="R1214"/>
      <c r="S1214"/>
      <c r="T1214"/>
      <c r="U1214"/>
    </row>
    <row r="1215" spans="1:21">
      <c r="A1215"/>
      <c r="C1215"/>
      <c r="D1215"/>
      <c r="L1215"/>
      <c r="R1215"/>
      <c r="S1215"/>
      <c r="T1215"/>
      <c r="U1215"/>
    </row>
    <row r="1216" spans="1:21">
      <c r="A1216"/>
      <c r="C1216"/>
      <c r="D1216"/>
      <c r="L1216"/>
      <c r="R1216"/>
      <c r="S1216"/>
      <c r="T1216"/>
      <c r="U1216"/>
    </row>
    <row r="1217" spans="1:21">
      <c r="A1217"/>
      <c r="C1217"/>
      <c r="D1217"/>
      <c r="L1217"/>
      <c r="R1217"/>
      <c r="S1217"/>
      <c r="T1217"/>
      <c r="U1217"/>
    </row>
    <row r="1218" spans="1:21">
      <c r="A1218"/>
      <c r="C1218"/>
      <c r="D1218"/>
      <c r="L1218"/>
      <c r="R1218"/>
      <c r="S1218"/>
      <c r="T1218"/>
      <c r="U1218"/>
    </row>
    <row r="1219" spans="1:21">
      <c r="A1219"/>
      <c r="C1219"/>
      <c r="D1219"/>
      <c r="L1219"/>
      <c r="R1219"/>
      <c r="S1219"/>
      <c r="T1219"/>
      <c r="U1219"/>
    </row>
    <row r="1220" spans="1:21">
      <c r="A1220"/>
      <c r="C1220"/>
      <c r="D1220"/>
      <c r="L1220"/>
      <c r="R1220"/>
      <c r="S1220"/>
      <c r="T1220"/>
      <c r="U1220"/>
    </row>
    <row r="1221" spans="1:21">
      <c r="A1221"/>
      <c r="C1221"/>
      <c r="D1221"/>
      <c r="L1221"/>
      <c r="R1221"/>
      <c r="S1221"/>
      <c r="T1221"/>
      <c r="U1221"/>
    </row>
    <row r="1222" spans="1:21">
      <c r="A1222"/>
      <c r="C1222"/>
      <c r="D1222"/>
      <c r="L1222"/>
      <c r="R1222"/>
      <c r="S1222"/>
      <c r="T1222"/>
      <c r="U1222"/>
    </row>
    <row r="1223" spans="1:21">
      <c r="A1223"/>
      <c r="C1223"/>
      <c r="D1223"/>
      <c r="L1223"/>
      <c r="R1223"/>
      <c r="S1223"/>
      <c r="T1223"/>
      <c r="U1223"/>
    </row>
    <row r="1224" spans="1:21">
      <c r="A1224"/>
      <c r="C1224"/>
      <c r="D1224"/>
      <c r="L1224"/>
      <c r="R1224"/>
      <c r="S1224"/>
      <c r="T1224"/>
      <c r="U1224"/>
    </row>
    <row r="1225" spans="1:21">
      <c r="A1225"/>
      <c r="C1225"/>
      <c r="D1225"/>
      <c r="L1225"/>
      <c r="R1225"/>
      <c r="S1225"/>
      <c r="T1225"/>
      <c r="U1225"/>
    </row>
    <row r="1226" spans="1:21">
      <c r="A1226"/>
      <c r="C1226"/>
      <c r="D1226"/>
      <c r="L1226"/>
      <c r="R1226"/>
      <c r="S1226"/>
      <c r="T1226"/>
      <c r="U1226"/>
    </row>
    <row r="1227" spans="1:21">
      <c r="A1227"/>
      <c r="C1227"/>
      <c r="D1227"/>
      <c r="L1227"/>
      <c r="R1227"/>
      <c r="S1227"/>
      <c r="T1227"/>
      <c r="U1227"/>
    </row>
    <row r="1228" spans="1:21">
      <c r="A1228"/>
      <c r="C1228"/>
      <c r="D1228"/>
      <c r="L1228"/>
      <c r="R1228"/>
      <c r="S1228"/>
      <c r="T1228"/>
      <c r="U1228"/>
    </row>
    <row r="1229" spans="1:21">
      <c r="A1229"/>
      <c r="C1229"/>
      <c r="D1229"/>
      <c r="L1229"/>
      <c r="R1229"/>
      <c r="S1229"/>
      <c r="T1229"/>
      <c r="U1229"/>
    </row>
    <row r="1230" spans="1:21">
      <c r="A1230"/>
      <c r="C1230"/>
      <c r="D1230"/>
      <c r="L1230"/>
      <c r="R1230"/>
      <c r="S1230"/>
      <c r="T1230"/>
      <c r="U1230"/>
    </row>
    <row r="1231" spans="1:21">
      <c r="A1231"/>
      <c r="C1231"/>
      <c r="D1231"/>
      <c r="L1231"/>
      <c r="R1231"/>
      <c r="S1231"/>
      <c r="T1231"/>
      <c r="U1231"/>
    </row>
    <row r="1232" spans="1:21">
      <c r="A1232"/>
      <c r="C1232"/>
      <c r="D1232"/>
      <c r="L1232"/>
      <c r="R1232"/>
      <c r="S1232"/>
      <c r="T1232"/>
      <c r="U1232"/>
    </row>
    <row r="1233" spans="1:21">
      <c r="A1233"/>
      <c r="C1233"/>
      <c r="D1233"/>
      <c r="L1233"/>
      <c r="R1233"/>
      <c r="S1233"/>
      <c r="T1233"/>
      <c r="U1233"/>
    </row>
    <row r="1234" spans="1:21">
      <c r="A1234"/>
      <c r="C1234"/>
      <c r="D1234"/>
      <c r="L1234"/>
      <c r="R1234"/>
      <c r="S1234"/>
      <c r="T1234"/>
      <c r="U1234"/>
    </row>
    <row r="1235" spans="1:21">
      <c r="A1235"/>
      <c r="C1235"/>
      <c r="D1235"/>
      <c r="L1235"/>
      <c r="R1235"/>
      <c r="S1235"/>
      <c r="T1235"/>
      <c r="U1235"/>
    </row>
    <row r="1236" spans="1:21">
      <c r="A1236"/>
      <c r="C1236"/>
      <c r="D1236"/>
      <c r="L1236"/>
      <c r="R1236"/>
      <c r="S1236"/>
      <c r="T1236"/>
      <c r="U1236"/>
    </row>
    <row r="1237" spans="1:21">
      <c r="A1237"/>
      <c r="C1237"/>
      <c r="D1237"/>
      <c r="L1237"/>
      <c r="R1237"/>
      <c r="S1237"/>
      <c r="T1237"/>
      <c r="U1237"/>
    </row>
    <row r="1238" spans="1:21">
      <c r="A1238"/>
      <c r="C1238"/>
      <c r="D1238"/>
      <c r="L1238"/>
      <c r="R1238"/>
      <c r="S1238"/>
      <c r="T1238"/>
      <c r="U1238"/>
    </row>
    <row r="1239" spans="1:21">
      <c r="A1239"/>
      <c r="C1239"/>
      <c r="D1239"/>
      <c r="L1239"/>
      <c r="R1239"/>
      <c r="S1239"/>
      <c r="T1239"/>
      <c r="U1239"/>
    </row>
    <row r="1240" spans="1:21">
      <c r="A1240"/>
      <c r="C1240"/>
      <c r="D1240"/>
      <c r="L1240"/>
      <c r="R1240"/>
      <c r="S1240"/>
      <c r="T1240"/>
      <c r="U1240"/>
    </row>
    <row r="1241" spans="1:21">
      <c r="A1241"/>
      <c r="C1241"/>
      <c r="D1241"/>
      <c r="L1241"/>
      <c r="R1241"/>
      <c r="S1241"/>
      <c r="T1241"/>
      <c r="U1241"/>
    </row>
    <row r="1242" spans="1:21">
      <c r="A1242"/>
      <c r="C1242"/>
      <c r="D1242"/>
      <c r="L1242"/>
      <c r="R1242"/>
      <c r="S1242"/>
      <c r="T1242"/>
      <c r="U1242"/>
    </row>
    <row r="1243" spans="1:21">
      <c r="A1243"/>
      <c r="C1243"/>
      <c r="D1243"/>
      <c r="L1243"/>
      <c r="R1243"/>
      <c r="S1243"/>
      <c r="T1243"/>
      <c r="U1243"/>
    </row>
    <row r="1244" spans="1:21">
      <c r="A1244"/>
      <c r="C1244"/>
      <c r="D1244"/>
      <c r="L1244"/>
      <c r="R1244"/>
      <c r="S1244"/>
      <c r="T1244"/>
      <c r="U1244"/>
    </row>
    <row r="1245" spans="1:21">
      <c r="A1245"/>
      <c r="C1245"/>
      <c r="D1245"/>
      <c r="L1245"/>
      <c r="R1245"/>
      <c r="S1245"/>
      <c r="T1245"/>
      <c r="U1245"/>
    </row>
    <row r="1246" spans="1:21">
      <c r="A1246"/>
      <c r="C1246"/>
      <c r="D1246"/>
      <c r="L1246"/>
      <c r="R1246"/>
      <c r="S1246"/>
      <c r="T1246"/>
      <c r="U1246"/>
    </row>
    <row r="1247" spans="1:21">
      <c r="A1247"/>
      <c r="C1247"/>
      <c r="D1247"/>
      <c r="L1247"/>
      <c r="R1247"/>
      <c r="S1247"/>
      <c r="T1247"/>
      <c r="U1247"/>
    </row>
    <row r="1248" spans="1:21">
      <c r="A1248"/>
      <c r="C1248"/>
      <c r="D1248"/>
      <c r="L1248"/>
      <c r="R1248"/>
      <c r="S1248"/>
      <c r="T1248"/>
      <c r="U1248"/>
    </row>
    <row r="1249" spans="1:21">
      <c r="A1249"/>
      <c r="C1249"/>
      <c r="D1249"/>
      <c r="L1249"/>
      <c r="R1249"/>
      <c r="S1249"/>
      <c r="T1249"/>
      <c r="U1249"/>
    </row>
    <row r="1250" spans="1:21">
      <c r="A1250"/>
      <c r="C1250"/>
      <c r="D1250"/>
      <c r="L1250"/>
      <c r="R1250"/>
      <c r="S1250"/>
      <c r="T1250"/>
      <c r="U1250"/>
    </row>
    <row r="1251" spans="1:21">
      <c r="A1251"/>
      <c r="C1251"/>
      <c r="D1251"/>
      <c r="L1251"/>
      <c r="R1251"/>
      <c r="S1251"/>
      <c r="T1251"/>
      <c r="U1251"/>
    </row>
    <row r="1252" spans="1:21">
      <c r="A1252"/>
      <c r="C1252"/>
      <c r="D1252"/>
      <c r="L1252"/>
      <c r="R1252"/>
      <c r="S1252"/>
      <c r="T1252"/>
      <c r="U1252"/>
    </row>
    <row r="1253" spans="1:21">
      <c r="A1253"/>
      <c r="C1253"/>
      <c r="D1253"/>
      <c r="L1253"/>
      <c r="R1253"/>
      <c r="S1253"/>
      <c r="T1253"/>
      <c r="U1253"/>
    </row>
    <row r="1254" spans="1:21">
      <c r="A1254"/>
      <c r="C1254"/>
      <c r="D1254"/>
      <c r="L1254"/>
      <c r="R1254"/>
      <c r="S1254"/>
      <c r="T1254"/>
      <c r="U1254"/>
    </row>
    <row r="1255" spans="1:21">
      <c r="A1255"/>
      <c r="C1255"/>
      <c r="D1255"/>
      <c r="L1255"/>
      <c r="R1255"/>
      <c r="S1255"/>
      <c r="T1255"/>
      <c r="U1255"/>
    </row>
    <row r="1256" spans="1:21">
      <c r="A1256"/>
      <c r="C1256"/>
      <c r="D1256"/>
      <c r="L1256"/>
      <c r="R1256"/>
      <c r="S1256"/>
      <c r="T1256"/>
      <c r="U1256"/>
    </row>
    <row r="1257" spans="1:21">
      <c r="A1257"/>
      <c r="C1257"/>
      <c r="D1257"/>
      <c r="L1257"/>
      <c r="R1257"/>
      <c r="S1257"/>
      <c r="T1257"/>
      <c r="U1257"/>
    </row>
    <row r="1258" spans="1:21">
      <c r="A1258"/>
      <c r="C1258"/>
      <c r="D1258"/>
      <c r="L1258"/>
      <c r="R1258"/>
      <c r="S1258"/>
      <c r="T1258"/>
      <c r="U1258"/>
    </row>
    <row r="1259" spans="1:21">
      <c r="A1259"/>
      <c r="C1259"/>
      <c r="D1259"/>
      <c r="L1259"/>
      <c r="R1259"/>
      <c r="S1259"/>
      <c r="T1259"/>
      <c r="U1259"/>
    </row>
    <row r="1260" spans="1:21">
      <c r="A1260"/>
      <c r="C1260"/>
      <c r="D1260"/>
      <c r="L1260"/>
      <c r="R1260"/>
      <c r="S1260"/>
      <c r="T1260"/>
      <c r="U1260"/>
    </row>
    <row r="1261" spans="1:21">
      <c r="A1261"/>
      <c r="C1261"/>
      <c r="D1261"/>
      <c r="L1261"/>
      <c r="R1261"/>
      <c r="S1261"/>
      <c r="T1261"/>
      <c r="U1261"/>
    </row>
    <row r="1262" spans="1:21">
      <c r="A1262"/>
      <c r="C1262"/>
      <c r="D1262"/>
      <c r="L1262"/>
      <c r="R1262"/>
      <c r="S1262"/>
      <c r="T1262"/>
      <c r="U1262"/>
    </row>
    <row r="1263" spans="1:21">
      <c r="A1263"/>
      <c r="C1263"/>
      <c r="D1263"/>
      <c r="L1263"/>
      <c r="R1263"/>
      <c r="S1263"/>
      <c r="T1263"/>
      <c r="U1263"/>
    </row>
    <row r="1264" spans="1:21">
      <c r="A1264"/>
      <c r="C1264"/>
      <c r="D1264"/>
      <c r="L1264"/>
      <c r="R1264"/>
      <c r="S1264"/>
      <c r="T1264"/>
      <c r="U1264"/>
    </row>
    <row r="1265" spans="1:21">
      <c r="A1265"/>
      <c r="C1265"/>
      <c r="D1265"/>
      <c r="L1265"/>
      <c r="R1265"/>
      <c r="S1265"/>
      <c r="T1265"/>
      <c r="U1265"/>
    </row>
    <row r="1266" spans="1:21">
      <c r="A1266"/>
      <c r="C1266"/>
      <c r="D1266"/>
      <c r="L1266"/>
      <c r="R1266"/>
      <c r="S1266"/>
      <c r="T1266"/>
      <c r="U1266"/>
    </row>
    <row r="1267" spans="1:21">
      <c r="A1267"/>
      <c r="C1267"/>
      <c r="D1267"/>
      <c r="L1267"/>
      <c r="R1267"/>
      <c r="S1267"/>
      <c r="T1267"/>
      <c r="U1267"/>
    </row>
    <row r="1268" spans="1:21">
      <c r="A1268"/>
      <c r="C1268"/>
      <c r="D1268"/>
      <c r="L1268"/>
      <c r="R1268"/>
      <c r="S1268"/>
      <c r="T1268"/>
      <c r="U1268"/>
    </row>
    <row r="1269" spans="1:21">
      <c r="A1269"/>
      <c r="C1269"/>
      <c r="D1269"/>
      <c r="L1269"/>
      <c r="R1269"/>
      <c r="S1269"/>
      <c r="T1269"/>
      <c r="U1269"/>
    </row>
    <row r="1270" spans="1:21">
      <c r="A1270"/>
      <c r="C1270"/>
      <c r="D1270"/>
      <c r="L1270"/>
      <c r="R1270"/>
      <c r="S1270"/>
      <c r="T1270"/>
      <c r="U1270"/>
    </row>
    <row r="1271" spans="1:21">
      <c r="A1271"/>
      <c r="C1271"/>
      <c r="D1271"/>
      <c r="L1271"/>
      <c r="R1271"/>
      <c r="S1271"/>
      <c r="T1271"/>
      <c r="U1271"/>
    </row>
    <row r="1272" spans="1:21">
      <c r="A1272"/>
      <c r="C1272"/>
      <c r="D1272"/>
      <c r="L1272"/>
      <c r="R1272"/>
      <c r="S1272"/>
      <c r="T1272"/>
      <c r="U1272"/>
    </row>
    <row r="1273" spans="1:21">
      <c r="A1273"/>
      <c r="C1273"/>
      <c r="D1273"/>
      <c r="L1273"/>
      <c r="R1273"/>
      <c r="S1273"/>
      <c r="T1273"/>
      <c r="U1273"/>
    </row>
    <row r="1274" spans="1:21">
      <c r="A1274"/>
      <c r="C1274"/>
      <c r="D1274"/>
      <c r="L1274"/>
      <c r="R1274"/>
      <c r="S1274"/>
      <c r="T1274"/>
      <c r="U1274"/>
    </row>
    <row r="1275" spans="1:21">
      <c r="A1275"/>
      <c r="C1275"/>
      <c r="D1275"/>
      <c r="L1275"/>
      <c r="R1275"/>
      <c r="S1275"/>
      <c r="T1275"/>
      <c r="U1275"/>
    </row>
    <row r="1276" spans="1:21">
      <c r="A1276"/>
      <c r="C1276"/>
      <c r="D1276"/>
      <c r="L1276"/>
      <c r="R1276"/>
      <c r="S1276"/>
      <c r="T1276"/>
      <c r="U1276"/>
    </row>
    <row r="1277" spans="1:21">
      <c r="A1277"/>
      <c r="C1277"/>
      <c r="D1277"/>
      <c r="L1277"/>
      <c r="R1277"/>
      <c r="S1277"/>
      <c r="T1277"/>
      <c r="U1277"/>
    </row>
    <row r="1278" spans="1:21">
      <c r="A1278"/>
      <c r="C1278"/>
      <c r="D1278"/>
      <c r="L1278"/>
      <c r="R1278"/>
      <c r="S1278"/>
      <c r="T1278"/>
      <c r="U1278"/>
    </row>
    <row r="1279" spans="1:21">
      <c r="A1279"/>
      <c r="C1279"/>
      <c r="D1279"/>
      <c r="L1279"/>
      <c r="R1279"/>
      <c r="S1279"/>
      <c r="T1279"/>
      <c r="U1279"/>
    </row>
    <row r="1280" spans="1:21">
      <c r="A1280"/>
      <c r="C1280"/>
      <c r="D1280"/>
      <c r="L1280"/>
      <c r="R1280"/>
      <c r="S1280"/>
      <c r="T1280"/>
      <c r="U1280"/>
    </row>
    <row r="1281" spans="1:21">
      <c r="A1281"/>
      <c r="C1281"/>
      <c r="D1281"/>
      <c r="L1281"/>
      <c r="R1281"/>
      <c r="S1281"/>
      <c r="T1281"/>
      <c r="U1281"/>
    </row>
    <row r="1282" spans="1:21">
      <c r="A1282"/>
      <c r="C1282"/>
      <c r="D1282"/>
      <c r="L1282"/>
      <c r="R1282"/>
      <c r="S1282"/>
      <c r="T1282"/>
      <c r="U1282"/>
    </row>
    <row r="1283" spans="1:21">
      <c r="A1283"/>
      <c r="C1283"/>
      <c r="D1283"/>
      <c r="L1283"/>
      <c r="R1283"/>
      <c r="S1283"/>
      <c r="T1283"/>
      <c r="U1283"/>
    </row>
    <row r="1284" spans="1:21">
      <c r="A1284"/>
      <c r="C1284"/>
      <c r="D1284"/>
      <c r="L1284"/>
      <c r="R1284"/>
      <c r="S1284"/>
      <c r="T1284"/>
      <c r="U1284"/>
    </row>
    <row r="1285" spans="1:21">
      <c r="A1285"/>
      <c r="C1285"/>
      <c r="D1285"/>
      <c r="L1285"/>
      <c r="R1285"/>
      <c r="S1285"/>
      <c r="T1285"/>
      <c r="U1285"/>
    </row>
    <row r="1286" spans="1:21">
      <c r="A1286"/>
      <c r="C1286"/>
      <c r="D1286"/>
      <c r="L1286"/>
      <c r="R1286"/>
      <c r="S1286"/>
      <c r="T1286"/>
      <c r="U1286"/>
    </row>
    <row r="1287" spans="1:21">
      <c r="A1287"/>
      <c r="C1287"/>
      <c r="D1287"/>
      <c r="L1287"/>
      <c r="R1287"/>
      <c r="S1287"/>
      <c r="T1287"/>
      <c r="U1287"/>
    </row>
    <row r="1288" spans="1:21">
      <c r="A1288"/>
      <c r="C1288"/>
      <c r="D1288"/>
      <c r="L1288"/>
      <c r="R1288"/>
      <c r="S1288"/>
      <c r="T1288"/>
      <c r="U1288"/>
    </row>
    <row r="1289" spans="1:21">
      <c r="A1289"/>
      <c r="C1289"/>
      <c r="D1289"/>
      <c r="L1289"/>
      <c r="R1289"/>
      <c r="S1289"/>
      <c r="T1289"/>
      <c r="U1289"/>
    </row>
    <row r="1290" spans="1:21">
      <c r="A1290"/>
      <c r="C1290"/>
      <c r="D1290"/>
      <c r="L1290"/>
      <c r="R1290"/>
      <c r="S1290"/>
      <c r="T1290"/>
      <c r="U1290"/>
    </row>
    <row r="1291" spans="1:21">
      <c r="A1291"/>
      <c r="C1291"/>
      <c r="D1291"/>
      <c r="L1291"/>
      <c r="R1291"/>
      <c r="S1291"/>
      <c r="T1291"/>
      <c r="U1291"/>
    </row>
    <row r="1292" spans="1:21">
      <c r="A1292"/>
      <c r="C1292"/>
      <c r="D1292"/>
      <c r="L1292"/>
      <c r="R1292"/>
      <c r="S1292"/>
      <c r="T1292"/>
      <c r="U1292"/>
    </row>
    <row r="1293" spans="1:21">
      <c r="A1293"/>
      <c r="C1293"/>
      <c r="D1293"/>
      <c r="L1293"/>
      <c r="R1293"/>
      <c r="S1293"/>
      <c r="T1293"/>
      <c r="U1293"/>
    </row>
    <row r="1294" spans="1:21">
      <c r="A1294"/>
      <c r="C1294"/>
      <c r="D1294"/>
      <c r="L1294"/>
      <c r="R1294"/>
      <c r="S1294"/>
      <c r="T1294"/>
      <c r="U1294"/>
    </row>
    <row r="1295" spans="1:21">
      <c r="A1295"/>
      <c r="C1295"/>
      <c r="D1295"/>
      <c r="L1295"/>
      <c r="R1295"/>
      <c r="S1295"/>
      <c r="T1295"/>
      <c r="U1295"/>
    </row>
    <row r="1296" spans="1:21">
      <c r="A1296"/>
      <c r="C1296"/>
      <c r="D1296"/>
      <c r="L1296"/>
      <c r="R1296"/>
      <c r="S1296"/>
      <c r="T1296"/>
      <c r="U1296"/>
    </row>
    <row r="1297" spans="1:21">
      <c r="A1297"/>
      <c r="C1297"/>
      <c r="D1297"/>
      <c r="L1297"/>
      <c r="R1297"/>
      <c r="S1297"/>
      <c r="T1297"/>
      <c r="U1297"/>
    </row>
    <row r="1298" spans="1:21">
      <c r="A1298"/>
      <c r="C1298"/>
      <c r="D1298"/>
      <c r="L1298"/>
      <c r="R1298"/>
      <c r="S1298"/>
      <c r="T1298"/>
      <c r="U1298"/>
    </row>
    <row r="1299" spans="1:21">
      <c r="A1299"/>
      <c r="C1299"/>
      <c r="D1299"/>
      <c r="L1299"/>
      <c r="R1299"/>
      <c r="S1299"/>
      <c r="T1299"/>
      <c r="U1299"/>
    </row>
    <row r="1300" spans="1:21">
      <c r="A1300"/>
      <c r="C1300"/>
      <c r="D1300"/>
      <c r="L1300"/>
      <c r="R1300"/>
      <c r="S1300"/>
      <c r="T1300"/>
      <c r="U1300"/>
    </row>
    <row r="1301" spans="1:21">
      <c r="A1301"/>
      <c r="C1301"/>
      <c r="D1301"/>
      <c r="L1301"/>
      <c r="R1301"/>
      <c r="S1301"/>
      <c r="T1301"/>
      <c r="U1301"/>
    </row>
    <row r="1302" spans="1:21">
      <c r="A1302"/>
      <c r="C1302"/>
      <c r="D1302"/>
      <c r="L1302"/>
      <c r="R1302"/>
      <c r="S1302"/>
      <c r="T1302"/>
      <c r="U1302"/>
    </row>
    <row r="1303" spans="1:21">
      <c r="A1303"/>
      <c r="C1303"/>
      <c r="D1303"/>
      <c r="L1303"/>
      <c r="R1303"/>
      <c r="S1303"/>
      <c r="T1303"/>
      <c r="U1303"/>
    </row>
    <row r="1304" spans="1:21">
      <c r="A1304"/>
      <c r="C1304"/>
      <c r="D1304"/>
      <c r="L1304"/>
      <c r="R1304"/>
      <c r="S1304"/>
      <c r="T1304"/>
      <c r="U1304"/>
    </row>
    <row r="1305" spans="1:21">
      <c r="A1305"/>
      <c r="C1305"/>
      <c r="D1305"/>
      <c r="L1305"/>
      <c r="R1305"/>
      <c r="S1305"/>
      <c r="T1305"/>
      <c r="U1305"/>
    </row>
    <row r="1306" spans="1:21">
      <c r="A1306"/>
      <c r="C1306"/>
      <c r="D1306"/>
      <c r="L1306"/>
      <c r="R1306"/>
      <c r="S1306"/>
      <c r="T1306"/>
      <c r="U1306"/>
    </row>
    <row r="1307" spans="1:21">
      <c r="A1307"/>
      <c r="C1307"/>
      <c r="D1307"/>
      <c r="L1307"/>
      <c r="R1307"/>
      <c r="S1307"/>
      <c r="T1307"/>
      <c r="U1307"/>
    </row>
    <row r="1308" spans="1:21">
      <c r="A1308"/>
      <c r="C1308"/>
      <c r="D1308"/>
      <c r="L1308"/>
      <c r="R1308"/>
      <c r="S1308"/>
      <c r="T1308"/>
      <c r="U1308"/>
    </row>
    <row r="1309" spans="1:21">
      <c r="A1309"/>
      <c r="C1309"/>
      <c r="D1309"/>
      <c r="L1309"/>
      <c r="R1309"/>
      <c r="S1309"/>
      <c r="T1309"/>
      <c r="U1309"/>
    </row>
    <row r="1310" spans="1:21">
      <c r="A1310"/>
      <c r="C1310"/>
      <c r="D1310"/>
      <c r="L1310"/>
      <c r="R1310"/>
      <c r="S1310"/>
      <c r="T1310"/>
      <c r="U1310"/>
    </row>
    <row r="1311" spans="1:21">
      <c r="A1311"/>
      <c r="C1311"/>
      <c r="D1311"/>
      <c r="L1311"/>
      <c r="R1311"/>
      <c r="S1311"/>
      <c r="T1311"/>
      <c r="U1311"/>
    </row>
    <row r="1312" spans="1:21">
      <c r="A1312"/>
      <c r="C1312"/>
      <c r="D1312"/>
      <c r="L1312"/>
      <c r="R1312"/>
      <c r="S1312"/>
      <c r="T1312"/>
      <c r="U1312"/>
    </row>
    <row r="1313" spans="1:21">
      <c r="A1313"/>
      <c r="C1313"/>
      <c r="D1313"/>
      <c r="L1313"/>
      <c r="R1313"/>
      <c r="S1313"/>
      <c r="T1313"/>
      <c r="U1313"/>
    </row>
    <row r="1314" spans="1:21">
      <c r="A1314"/>
      <c r="C1314"/>
      <c r="D1314"/>
      <c r="L1314"/>
      <c r="R1314"/>
      <c r="S1314"/>
      <c r="T1314"/>
      <c r="U1314"/>
    </row>
    <row r="1315" spans="1:21">
      <c r="A1315"/>
      <c r="C1315"/>
      <c r="D1315"/>
      <c r="L1315"/>
      <c r="R1315"/>
      <c r="S1315"/>
      <c r="T1315"/>
      <c r="U1315"/>
    </row>
    <row r="1316" spans="1:21">
      <c r="A1316"/>
      <c r="C1316"/>
      <c r="D1316"/>
      <c r="L1316"/>
      <c r="R1316"/>
      <c r="S1316"/>
      <c r="T1316"/>
      <c r="U1316"/>
    </row>
    <row r="1317" spans="1:21">
      <c r="A1317"/>
      <c r="C1317"/>
      <c r="D1317"/>
      <c r="L1317"/>
      <c r="R1317"/>
      <c r="S1317"/>
      <c r="T1317"/>
      <c r="U1317"/>
    </row>
    <row r="1318" spans="1:21">
      <c r="A1318"/>
      <c r="C1318"/>
      <c r="D1318"/>
      <c r="L1318"/>
      <c r="R1318"/>
      <c r="S1318"/>
      <c r="T1318"/>
      <c r="U1318"/>
    </row>
    <row r="1319" spans="1:21">
      <c r="A1319"/>
      <c r="C1319"/>
      <c r="D1319"/>
      <c r="L1319"/>
      <c r="R1319"/>
      <c r="S1319"/>
      <c r="T1319"/>
      <c r="U1319"/>
    </row>
    <row r="1320" spans="1:21">
      <c r="A1320"/>
      <c r="C1320"/>
      <c r="D1320"/>
      <c r="L1320"/>
      <c r="R1320"/>
      <c r="S1320"/>
      <c r="T1320"/>
      <c r="U1320"/>
    </row>
    <row r="1321" spans="1:21">
      <c r="A1321"/>
      <c r="C1321"/>
      <c r="D1321"/>
      <c r="L1321"/>
      <c r="R1321"/>
      <c r="S1321"/>
      <c r="T1321"/>
      <c r="U1321"/>
    </row>
    <row r="1322" spans="1:21">
      <c r="A1322"/>
      <c r="C1322"/>
      <c r="D1322"/>
      <c r="L1322"/>
      <c r="R1322"/>
      <c r="S1322"/>
      <c r="T1322"/>
      <c r="U1322"/>
    </row>
    <row r="1323" spans="1:21">
      <c r="A1323"/>
      <c r="C1323"/>
      <c r="D1323"/>
      <c r="L1323"/>
      <c r="R1323"/>
      <c r="S1323"/>
      <c r="T1323"/>
      <c r="U1323"/>
    </row>
    <row r="1324" spans="1:21">
      <c r="A1324"/>
      <c r="C1324"/>
      <c r="D1324"/>
      <c r="L1324"/>
      <c r="R1324"/>
      <c r="S1324"/>
      <c r="T1324"/>
      <c r="U1324"/>
    </row>
    <row r="1325" spans="1:21">
      <c r="A1325"/>
      <c r="C1325"/>
      <c r="D1325"/>
      <c r="L1325"/>
      <c r="R1325"/>
      <c r="S1325"/>
      <c r="T1325"/>
      <c r="U1325"/>
    </row>
    <row r="1326" spans="1:21">
      <c r="A1326"/>
      <c r="C1326"/>
      <c r="D1326"/>
      <c r="L1326"/>
      <c r="R1326"/>
      <c r="S1326"/>
      <c r="T1326"/>
      <c r="U1326"/>
    </row>
    <row r="1327" spans="1:21">
      <c r="A1327"/>
      <c r="C1327"/>
      <c r="D1327"/>
      <c r="L1327"/>
      <c r="R1327"/>
      <c r="S1327"/>
      <c r="T1327"/>
      <c r="U1327"/>
    </row>
    <row r="1328" spans="1:21">
      <c r="A1328"/>
      <c r="C1328"/>
      <c r="D1328"/>
      <c r="L1328"/>
      <c r="R1328"/>
      <c r="S1328"/>
      <c r="T1328"/>
      <c r="U1328"/>
    </row>
    <row r="1329" spans="1:21">
      <c r="A1329"/>
      <c r="C1329"/>
      <c r="D1329"/>
      <c r="L1329"/>
      <c r="R1329"/>
      <c r="S1329"/>
      <c r="T1329"/>
      <c r="U1329"/>
    </row>
    <row r="1330" spans="1:21">
      <c r="A1330"/>
      <c r="C1330"/>
      <c r="D1330"/>
      <c r="L1330"/>
      <c r="R1330"/>
      <c r="S1330"/>
      <c r="T1330"/>
      <c r="U1330"/>
    </row>
    <row r="1331" spans="1:21">
      <c r="A1331"/>
      <c r="C1331"/>
      <c r="D1331"/>
      <c r="L1331"/>
      <c r="R1331"/>
      <c r="S1331"/>
      <c r="T1331"/>
      <c r="U1331"/>
    </row>
    <row r="1332" spans="1:21">
      <c r="A1332"/>
      <c r="C1332"/>
      <c r="D1332"/>
      <c r="L1332"/>
      <c r="R1332"/>
      <c r="S1332"/>
      <c r="T1332"/>
      <c r="U1332"/>
    </row>
    <row r="1333" spans="1:21">
      <c r="A1333"/>
      <c r="C1333"/>
      <c r="D1333"/>
      <c r="L1333"/>
      <c r="R1333"/>
      <c r="S1333"/>
      <c r="T1333"/>
      <c r="U1333"/>
    </row>
    <row r="1334" spans="1:21">
      <c r="A1334"/>
      <c r="C1334"/>
      <c r="D1334"/>
      <c r="L1334"/>
      <c r="R1334"/>
      <c r="S1334"/>
      <c r="T1334"/>
      <c r="U1334"/>
    </row>
    <row r="1335" spans="1:21">
      <c r="A1335"/>
      <c r="C1335"/>
      <c r="D1335"/>
      <c r="L1335"/>
      <c r="R1335"/>
      <c r="S1335"/>
      <c r="T1335"/>
      <c r="U1335"/>
    </row>
    <row r="1336" spans="1:21">
      <c r="A1336"/>
      <c r="C1336"/>
      <c r="D1336"/>
      <c r="L1336"/>
      <c r="R1336"/>
      <c r="S1336"/>
      <c r="T1336"/>
      <c r="U1336"/>
    </row>
    <row r="1337" spans="1:21">
      <c r="A1337"/>
      <c r="C1337"/>
      <c r="D1337"/>
      <c r="L1337"/>
      <c r="R1337"/>
      <c r="S1337"/>
      <c r="T1337"/>
      <c r="U1337"/>
    </row>
    <row r="1338" spans="1:21">
      <c r="A1338"/>
      <c r="C1338"/>
      <c r="D1338"/>
      <c r="L1338"/>
      <c r="R1338"/>
      <c r="S1338"/>
      <c r="T1338"/>
      <c r="U1338"/>
    </row>
    <row r="1339" spans="1:21">
      <c r="A1339"/>
      <c r="C1339"/>
      <c r="D1339"/>
      <c r="L1339"/>
      <c r="R1339"/>
      <c r="S1339"/>
      <c r="T1339"/>
      <c r="U1339"/>
    </row>
    <row r="1340" spans="1:21">
      <c r="A1340"/>
      <c r="C1340"/>
      <c r="D1340"/>
      <c r="L1340"/>
      <c r="R1340"/>
      <c r="S1340"/>
      <c r="T1340"/>
      <c r="U1340"/>
    </row>
    <row r="1341" spans="1:21">
      <c r="A1341"/>
      <c r="C1341"/>
      <c r="D1341"/>
      <c r="L1341"/>
      <c r="R1341"/>
      <c r="S1341"/>
      <c r="T1341"/>
      <c r="U1341"/>
    </row>
    <row r="1342" spans="1:21">
      <c r="A1342"/>
      <c r="C1342"/>
      <c r="D1342"/>
      <c r="L1342"/>
      <c r="R1342"/>
      <c r="S1342"/>
      <c r="T1342"/>
      <c r="U1342"/>
    </row>
    <row r="1343" spans="1:21">
      <c r="A1343"/>
      <c r="C1343"/>
      <c r="D1343"/>
      <c r="L1343"/>
      <c r="R1343"/>
      <c r="S1343"/>
      <c r="T1343"/>
      <c r="U1343"/>
    </row>
    <row r="1344" spans="1:21">
      <c r="A1344"/>
      <c r="C1344"/>
      <c r="D1344"/>
      <c r="L1344"/>
      <c r="R1344"/>
      <c r="S1344"/>
      <c r="T1344"/>
      <c r="U1344"/>
    </row>
    <row r="1345" spans="1:21">
      <c r="A1345"/>
      <c r="C1345"/>
      <c r="D1345"/>
      <c r="L1345"/>
      <c r="R1345"/>
      <c r="S1345"/>
      <c r="T1345"/>
      <c r="U1345"/>
    </row>
    <row r="1346" spans="1:21">
      <c r="A1346"/>
      <c r="C1346"/>
      <c r="D1346"/>
      <c r="L1346"/>
      <c r="R1346"/>
      <c r="S1346"/>
      <c r="T1346"/>
      <c r="U1346"/>
    </row>
    <row r="1347" spans="1:21">
      <c r="A1347"/>
      <c r="C1347"/>
      <c r="D1347"/>
      <c r="L1347"/>
      <c r="R1347"/>
      <c r="S1347"/>
      <c r="T1347"/>
      <c r="U1347"/>
    </row>
    <row r="1348" spans="1:21">
      <c r="A1348"/>
      <c r="C1348"/>
      <c r="D1348"/>
      <c r="L1348"/>
      <c r="R1348"/>
      <c r="S1348"/>
      <c r="T1348"/>
      <c r="U1348"/>
    </row>
    <row r="1349" spans="1:21">
      <c r="A1349"/>
      <c r="C1349"/>
      <c r="D1349"/>
      <c r="L1349"/>
      <c r="R1349"/>
      <c r="S1349"/>
      <c r="T1349"/>
      <c r="U1349"/>
    </row>
    <row r="1350" spans="1:21">
      <c r="A1350"/>
      <c r="C1350"/>
      <c r="D1350"/>
      <c r="L1350"/>
      <c r="R1350"/>
      <c r="S1350"/>
      <c r="T1350"/>
      <c r="U1350"/>
    </row>
    <row r="1351" spans="1:21">
      <c r="A1351"/>
      <c r="C1351"/>
      <c r="D1351"/>
      <c r="L1351"/>
      <c r="R1351"/>
      <c r="S1351"/>
      <c r="T1351"/>
      <c r="U1351"/>
    </row>
    <row r="1352" spans="1:21">
      <c r="A1352"/>
      <c r="C1352"/>
      <c r="D1352"/>
      <c r="L1352"/>
      <c r="R1352"/>
      <c r="S1352"/>
      <c r="T1352"/>
      <c r="U1352"/>
    </row>
    <row r="1353" spans="1:21">
      <c r="A1353"/>
      <c r="C1353"/>
      <c r="D1353"/>
      <c r="L1353"/>
      <c r="R1353"/>
      <c r="S1353"/>
      <c r="T1353"/>
      <c r="U1353"/>
    </row>
    <row r="1354" spans="1:21">
      <c r="A1354"/>
      <c r="C1354"/>
      <c r="D1354"/>
      <c r="L1354"/>
      <c r="R1354"/>
      <c r="S1354"/>
      <c r="T1354"/>
      <c r="U1354"/>
    </row>
    <row r="1355" spans="1:21">
      <c r="A1355"/>
      <c r="C1355"/>
      <c r="D1355"/>
      <c r="L1355"/>
      <c r="R1355"/>
      <c r="S1355"/>
      <c r="T1355"/>
      <c r="U1355"/>
    </row>
    <row r="1356" spans="1:21">
      <c r="A1356"/>
      <c r="C1356"/>
      <c r="D1356"/>
      <c r="L1356"/>
      <c r="R1356"/>
      <c r="S1356"/>
      <c r="T1356"/>
      <c r="U1356"/>
    </row>
    <row r="1357" spans="1:21">
      <c r="A1357"/>
      <c r="C1357"/>
      <c r="D1357"/>
      <c r="L1357"/>
      <c r="R1357"/>
      <c r="S1357"/>
      <c r="T1357"/>
      <c r="U1357"/>
    </row>
    <row r="1358" spans="1:21">
      <c r="A1358"/>
      <c r="C1358"/>
      <c r="D1358"/>
      <c r="L1358"/>
      <c r="R1358"/>
      <c r="S1358"/>
      <c r="T1358"/>
      <c r="U1358"/>
    </row>
    <row r="1359" spans="1:21">
      <c r="A1359"/>
      <c r="C1359"/>
      <c r="D1359"/>
      <c r="L1359"/>
      <c r="R1359"/>
      <c r="S1359"/>
      <c r="T1359"/>
      <c r="U1359"/>
    </row>
    <row r="1360" spans="1:21">
      <c r="A1360"/>
      <c r="C1360"/>
      <c r="D1360"/>
      <c r="L1360"/>
      <c r="R1360"/>
      <c r="S1360"/>
      <c r="T1360"/>
      <c r="U1360"/>
    </row>
    <row r="1361" spans="1:21">
      <c r="A1361"/>
      <c r="C1361"/>
      <c r="D1361"/>
      <c r="L1361"/>
      <c r="R1361"/>
      <c r="S1361"/>
      <c r="T1361"/>
      <c r="U1361"/>
    </row>
    <row r="1362" spans="1:21">
      <c r="A1362"/>
      <c r="C1362"/>
      <c r="D1362"/>
      <c r="L1362"/>
      <c r="R1362"/>
      <c r="S1362"/>
      <c r="T1362"/>
      <c r="U1362"/>
    </row>
    <row r="1363" spans="1:21">
      <c r="A1363"/>
      <c r="C1363"/>
      <c r="D1363"/>
      <c r="L1363"/>
      <c r="R1363"/>
      <c r="S1363"/>
      <c r="T1363"/>
      <c r="U1363"/>
    </row>
    <row r="1364" spans="1:21">
      <c r="A1364"/>
      <c r="C1364"/>
      <c r="D1364"/>
      <c r="L1364"/>
      <c r="R1364"/>
      <c r="S1364"/>
      <c r="T1364"/>
      <c r="U1364"/>
    </row>
    <row r="1365" spans="1:21">
      <c r="A1365"/>
      <c r="C1365"/>
      <c r="D1365"/>
      <c r="L1365"/>
      <c r="R1365"/>
      <c r="S1365"/>
      <c r="T1365"/>
      <c r="U1365"/>
    </row>
    <row r="1366" spans="1:21">
      <c r="A1366"/>
      <c r="C1366"/>
      <c r="D1366"/>
      <c r="L1366"/>
      <c r="R1366"/>
      <c r="S1366"/>
      <c r="T1366"/>
      <c r="U1366"/>
    </row>
    <row r="1367" spans="1:21">
      <c r="A1367"/>
      <c r="C1367"/>
      <c r="D1367"/>
      <c r="L1367"/>
      <c r="R1367"/>
      <c r="S1367"/>
      <c r="T1367"/>
      <c r="U1367"/>
    </row>
    <row r="1368" spans="1:21">
      <c r="A1368"/>
      <c r="C1368"/>
      <c r="D1368"/>
      <c r="L1368"/>
      <c r="R1368"/>
      <c r="S1368"/>
      <c r="T1368"/>
      <c r="U1368"/>
    </row>
    <row r="1369" spans="1:21">
      <c r="A1369"/>
      <c r="C1369"/>
      <c r="D1369"/>
      <c r="L1369"/>
      <c r="R1369"/>
      <c r="S1369"/>
      <c r="T1369"/>
      <c r="U1369"/>
    </row>
    <row r="1370" spans="1:21">
      <c r="A1370"/>
      <c r="C1370"/>
      <c r="D1370"/>
      <c r="L1370"/>
      <c r="R1370"/>
      <c r="S1370"/>
      <c r="T1370"/>
      <c r="U1370"/>
    </row>
    <row r="1371" spans="1:21">
      <c r="A1371"/>
      <c r="C1371"/>
      <c r="D1371"/>
      <c r="L1371"/>
      <c r="R1371"/>
      <c r="S1371"/>
      <c r="T1371"/>
      <c r="U1371"/>
    </row>
    <row r="1372" spans="1:21">
      <c r="A1372"/>
      <c r="C1372"/>
      <c r="D1372"/>
      <c r="L1372"/>
      <c r="R1372"/>
      <c r="S1372"/>
      <c r="T1372"/>
      <c r="U1372"/>
    </row>
    <row r="1373" spans="1:21">
      <c r="A1373"/>
      <c r="C1373"/>
      <c r="D1373"/>
      <c r="L1373"/>
      <c r="R1373"/>
      <c r="S1373"/>
      <c r="T1373"/>
      <c r="U1373"/>
    </row>
    <row r="1374" spans="1:21">
      <c r="A1374"/>
      <c r="C1374"/>
      <c r="D1374"/>
      <c r="L1374"/>
      <c r="R1374"/>
      <c r="S1374"/>
      <c r="T1374"/>
      <c r="U1374"/>
    </row>
    <row r="1375" spans="1:21">
      <c r="A1375"/>
      <c r="C1375"/>
      <c r="D1375"/>
      <c r="L1375"/>
      <c r="R1375"/>
      <c r="S1375"/>
      <c r="T1375"/>
      <c r="U1375"/>
    </row>
    <row r="1376" spans="1:21">
      <c r="A1376"/>
      <c r="C1376"/>
      <c r="D1376"/>
      <c r="L1376"/>
      <c r="R1376"/>
      <c r="S1376"/>
      <c r="T1376"/>
      <c r="U1376"/>
    </row>
    <row r="1377" spans="1:21">
      <c r="A1377"/>
      <c r="C1377"/>
      <c r="D1377"/>
      <c r="L1377"/>
      <c r="R1377"/>
      <c r="S1377"/>
      <c r="T1377"/>
      <c r="U1377"/>
    </row>
    <row r="1378" spans="1:21">
      <c r="A1378"/>
      <c r="C1378"/>
      <c r="D1378"/>
      <c r="L1378"/>
      <c r="R1378"/>
      <c r="S1378"/>
      <c r="T1378"/>
      <c r="U1378"/>
    </row>
    <row r="1379" spans="1:21">
      <c r="A1379"/>
      <c r="C1379"/>
      <c r="D1379"/>
      <c r="L1379"/>
      <c r="R1379"/>
      <c r="S1379"/>
      <c r="T1379"/>
      <c r="U1379"/>
    </row>
    <row r="1380" spans="1:21">
      <c r="A1380"/>
      <c r="C1380"/>
      <c r="D1380"/>
      <c r="L1380"/>
      <c r="R1380"/>
      <c r="S1380"/>
      <c r="T1380"/>
      <c r="U1380"/>
    </row>
    <row r="1381" spans="1:21">
      <c r="A1381"/>
      <c r="C1381"/>
      <c r="D1381"/>
      <c r="L1381"/>
      <c r="R1381"/>
      <c r="S1381"/>
      <c r="T1381"/>
      <c r="U1381"/>
    </row>
    <row r="1382" spans="1:21">
      <c r="A1382"/>
      <c r="C1382"/>
      <c r="D1382"/>
      <c r="L1382"/>
      <c r="R1382"/>
      <c r="S1382"/>
      <c r="T1382"/>
      <c r="U1382"/>
    </row>
    <row r="1383" spans="1:21">
      <c r="A1383"/>
      <c r="C1383"/>
      <c r="D1383"/>
      <c r="L1383"/>
      <c r="R1383"/>
      <c r="S1383"/>
      <c r="T1383"/>
      <c r="U1383"/>
    </row>
    <row r="1384" spans="1:21">
      <c r="A1384"/>
      <c r="C1384"/>
      <c r="D1384"/>
      <c r="L1384"/>
      <c r="R1384"/>
      <c r="S1384"/>
      <c r="T1384"/>
      <c r="U1384"/>
    </row>
    <row r="1385" spans="1:21">
      <c r="A1385"/>
      <c r="C1385"/>
      <c r="D1385"/>
      <c r="L1385"/>
      <c r="R1385"/>
      <c r="S1385"/>
      <c r="T1385"/>
      <c r="U1385"/>
    </row>
    <row r="1386" spans="1:21">
      <c r="A1386"/>
      <c r="C1386"/>
      <c r="D1386"/>
      <c r="L1386"/>
      <c r="R1386"/>
      <c r="S1386"/>
      <c r="T1386"/>
      <c r="U1386"/>
    </row>
    <row r="1387" spans="1:21">
      <c r="A1387"/>
      <c r="C1387"/>
      <c r="D1387"/>
      <c r="L1387"/>
      <c r="R1387"/>
      <c r="S1387"/>
      <c r="T1387"/>
      <c r="U1387"/>
    </row>
    <row r="1388" spans="1:21">
      <c r="A1388"/>
      <c r="C1388"/>
      <c r="D1388"/>
      <c r="L1388"/>
      <c r="R1388"/>
      <c r="S1388"/>
      <c r="T1388"/>
      <c r="U1388"/>
    </row>
    <row r="1389" spans="1:21">
      <c r="A1389"/>
      <c r="C1389"/>
      <c r="D1389"/>
      <c r="L1389"/>
      <c r="R1389"/>
      <c r="S1389"/>
      <c r="T1389"/>
      <c r="U1389"/>
    </row>
    <row r="1390" spans="1:21">
      <c r="A1390"/>
      <c r="C1390"/>
      <c r="D1390"/>
      <c r="L1390"/>
      <c r="R1390"/>
      <c r="S1390"/>
      <c r="T1390"/>
      <c r="U1390"/>
    </row>
    <row r="1391" spans="1:21">
      <c r="A1391"/>
      <c r="C1391"/>
      <c r="D1391"/>
      <c r="L1391"/>
      <c r="R1391"/>
      <c r="S1391"/>
      <c r="T1391"/>
      <c r="U1391"/>
    </row>
    <row r="1392" spans="1:21">
      <c r="A1392"/>
      <c r="C1392"/>
      <c r="D1392"/>
      <c r="L1392"/>
      <c r="R1392"/>
      <c r="S1392"/>
      <c r="T1392"/>
      <c r="U1392"/>
    </row>
    <row r="1393" spans="1:21">
      <c r="A1393"/>
      <c r="C1393"/>
      <c r="D1393"/>
      <c r="L1393"/>
      <c r="R1393"/>
      <c r="S1393"/>
      <c r="T1393"/>
      <c r="U1393"/>
    </row>
    <row r="1394" spans="1:21">
      <c r="A1394"/>
      <c r="C1394"/>
      <c r="D1394"/>
      <c r="L1394"/>
      <c r="R1394"/>
      <c r="S1394"/>
      <c r="T1394"/>
      <c r="U1394"/>
    </row>
    <row r="1395" spans="1:21">
      <c r="A1395"/>
      <c r="C1395"/>
      <c r="D1395"/>
      <c r="L1395"/>
      <c r="R1395"/>
      <c r="S1395"/>
      <c r="T1395"/>
      <c r="U1395"/>
    </row>
    <row r="1396" spans="1:21">
      <c r="A1396"/>
      <c r="C1396"/>
      <c r="D1396"/>
      <c r="L1396"/>
      <c r="R1396"/>
      <c r="S1396"/>
      <c r="T1396"/>
      <c r="U1396"/>
    </row>
    <row r="1397" spans="1:21">
      <c r="A1397"/>
      <c r="C1397"/>
      <c r="D1397"/>
      <c r="L1397"/>
      <c r="R1397"/>
      <c r="S1397"/>
      <c r="T1397"/>
      <c r="U1397"/>
    </row>
    <row r="1398" spans="1:21">
      <c r="A1398"/>
      <c r="C1398"/>
      <c r="D1398"/>
      <c r="L1398"/>
      <c r="R1398"/>
      <c r="S1398"/>
      <c r="T1398"/>
      <c r="U1398"/>
    </row>
    <row r="1399" spans="1:21">
      <c r="A1399"/>
      <c r="C1399"/>
      <c r="D1399"/>
      <c r="L1399"/>
      <c r="R1399"/>
      <c r="S1399"/>
      <c r="T1399"/>
      <c r="U1399"/>
    </row>
    <row r="1400" spans="1:21">
      <c r="A1400"/>
      <c r="C1400"/>
      <c r="D1400"/>
      <c r="L1400"/>
      <c r="R1400"/>
      <c r="S1400"/>
      <c r="T1400"/>
      <c r="U1400"/>
    </row>
    <row r="1401" spans="1:21">
      <c r="A1401"/>
      <c r="C1401"/>
      <c r="D1401"/>
      <c r="L1401"/>
      <c r="R1401"/>
      <c r="S1401"/>
      <c r="T1401"/>
      <c r="U1401"/>
    </row>
    <row r="1402" spans="1:21">
      <c r="A1402"/>
      <c r="C1402"/>
      <c r="D1402"/>
      <c r="L1402"/>
      <c r="R1402"/>
      <c r="S1402"/>
      <c r="T1402"/>
      <c r="U1402"/>
    </row>
    <row r="1403" spans="1:21">
      <c r="A1403"/>
      <c r="C1403"/>
      <c r="D1403"/>
      <c r="L1403"/>
      <c r="R1403"/>
      <c r="S1403"/>
      <c r="T1403"/>
      <c r="U1403"/>
    </row>
    <row r="1404" spans="1:21">
      <c r="A1404"/>
      <c r="C1404"/>
      <c r="D1404"/>
      <c r="L1404"/>
      <c r="R1404"/>
      <c r="S1404"/>
      <c r="T1404"/>
      <c r="U1404"/>
    </row>
    <row r="1405" spans="1:21">
      <c r="A1405"/>
      <c r="C1405"/>
      <c r="D1405"/>
      <c r="L1405"/>
      <c r="R1405"/>
      <c r="S1405"/>
      <c r="T1405"/>
      <c r="U1405"/>
    </row>
    <row r="1406" spans="1:21">
      <c r="A1406"/>
      <c r="C1406"/>
      <c r="D1406"/>
      <c r="L1406"/>
      <c r="R1406"/>
      <c r="S1406"/>
      <c r="T1406"/>
      <c r="U1406"/>
    </row>
    <row r="1407" spans="1:21">
      <c r="A1407"/>
      <c r="C1407"/>
      <c r="D1407"/>
      <c r="L1407"/>
      <c r="R1407"/>
      <c r="S1407"/>
      <c r="T1407"/>
      <c r="U1407"/>
    </row>
    <row r="1408" spans="1:21">
      <c r="A1408"/>
      <c r="C1408"/>
      <c r="D1408"/>
      <c r="L1408"/>
      <c r="R1408"/>
      <c r="S1408"/>
      <c r="T1408"/>
      <c r="U1408"/>
    </row>
    <row r="1409" spans="1:21">
      <c r="A1409"/>
      <c r="C1409"/>
      <c r="D1409"/>
      <c r="L1409"/>
      <c r="R1409"/>
      <c r="S1409"/>
      <c r="T1409"/>
      <c r="U1409"/>
    </row>
    <row r="1410" spans="1:21">
      <c r="A1410"/>
      <c r="C1410"/>
      <c r="D1410"/>
      <c r="L1410"/>
      <c r="R1410"/>
      <c r="S1410"/>
      <c r="T1410"/>
      <c r="U1410"/>
    </row>
    <row r="1411" spans="1:21">
      <c r="A1411"/>
      <c r="C1411"/>
      <c r="D1411"/>
      <c r="L1411"/>
      <c r="R1411"/>
      <c r="S1411"/>
      <c r="T1411"/>
      <c r="U1411"/>
    </row>
    <row r="1412" spans="1:21">
      <c r="A1412"/>
      <c r="C1412"/>
      <c r="D1412"/>
      <c r="L1412"/>
      <c r="R1412"/>
      <c r="S1412"/>
      <c r="T1412"/>
      <c r="U1412"/>
    </row>
    <row r="1413" spans="1:21">
      <c r="A1413"/>
      <c r="C1413"/>
      <c r="D1413"/>
      <c r="L1413"/>
      <c r="R1413"/>
      <c r="S1413"/>
      <c r="T1413"/>
      <c r="U1413"/>
    </row>
    <row r="1414" spans="1:21">
      <c r="A1414"/>
      <c r="C1414"/>
      <c r="D1414"/>
      <c r="L1414"/>
      <c r="R1414"/>
      <c r="S1414"/>
      <c r="T1414"/>
      <c r="U1414"/>
    </row>
    <row r="1415" spans="1:21">
      <c r="A1415"/>
      <c r="C1415"/>
      <c r="D1415"/>
      <c r="L1415"/>
      <c r="R1415"/>
      <c r="S1415"/>
      <c r="T1415"/>
      <c r="U1415"/>
    </row>
    <row r="1416" spans="1:21">
      <c r="A1416"/>
      <c r="C1416"/>
      <c r="D1416"/>
      <c r="L1416"/>
      <c r="R1416"/>
      <c r="S1416"/>
      <c r="T1416"/>
      <c r="U1416"/>
    </row>
    <row r="1417" spans="1:21">
      <c r="A1417"/>
      <c r="C1417"/>
      <c r="D1417"/>
      <c r="L1417"/>
      <c r="R1417"/>
      <c r="S1417"/>
      <c r="T1417"/>
      <c r="U1417"/>
    </row>
    <row r="1418" spans="1:21">
      <c r="A1418"/>
      <c r="C1418"/>
      <c r="D1418"/>
      <c r="L1418"/>
      <c r="R1418"/>
      <c r="S1418"/>
      <c r="T1418"/>
      <c r="U1418"/>
    </row>
    <row r="1419" spans="1:21">
      <c r="A1419"/>
      <c r="C1419"/>
      <c r="D1419"/>
      <c r="L1419"/>
      <c r="R1419"/>
      <c r="S1419"/>
      <c r="T1419"/>
      <c r="U1419"/>
    </row>
    <row r="1420" spans="1:21">
      <c r="A1420"/>
      <c r="C1420"/>
      <c r="D1420"/>
      <c r="L1420"/>
      <c r="R1420"/>
      <c r="S1420"/>
      <c r="T1420"/>
      <c r="U1420"/>
    </row>
    <row r="1421" spans="1:21">
      <c r="A1421"/>
      <c r="C1421"/>
      <c r="D1421"/>
      <c r="L1421"/>
      <c r="R1421"/>
      <c r="S1421"/>
      <c r="T1421"/>
      <c r="U1421"/>
    </row>
    <row r="1422" spans="1:21">
      <c r="A1422"/>
      <c r="C1422"/>
      <c r="D1422"/>
      <c r="L1422"/>
      <c r="R1422"/>
      <c r="S1422"/>
      <c r="T1422"/>
      <c r="U1422"/>
    </row>
    <row r="1423" spans="1:21">
      <c r="A1423"/>
      <c r="C1423"/>
      <c r="D1423"/>
      <c r="L1423"/>
      <c r="R1423"/>
      <c r="S1423"/>
      <c r="T1423"/>
      <c r="U1423"/>
    </row>
    <row r="1424" spans="1:21">
      <c r="A1424"/>
      <c r="C1424"/>
      <c r="D1424"/>
      <c r="L1424"/>
      <c r="R1424"/>
      <c r="S1424"/>
      <c r="T1424"/>
      <c r="U1424"/>
    </row>
    <row r="1425" spans="1:21">
      <c r="A1425"/>
      <c r="C1425"/>
      <c r="D1425"/>
      <c r="L1425"/>
      <c r="R1425"/>
      <c r="S1425"/>
      <c r="T1425"/>
      <c r="U1425"/>
    </row>
    <row r="1426" spans="1:21">
      <c r="A1426"/>
      <c r="C1426"/>
      <c r="D1426"/>
      <c r="L1426"/>
      <c r="R1426"/>
      <c r="S1426"/>
      <c r="T1426"/>
      <c r="U1426"/>
    </row>
    <row r="1427" spans="1:21">
      <c r="A1427"/>
      <c r="C1427"/>
      <c r="D1427"/>
      <c r="L1427"/>
      <c r="R1427"/>
      <c r="S1427"/>
      <c r="T1427"/>
      <c r="U1427"/>
    </row>
    <row r="1428" spans="1:21">
      <c r="A1428"/>
      <c r="C1428"/>
      <c r="D1428"/>
      <c r="L1428"/>
      <c r="R1428"/>
      <c r="S1428"/>
      <c r="T1428"/>
      <c r="U1428"/>
    </row>
    <row r="1429" spans="1:21">
      <c r="A1429"/>
      <c r="C1429"/>
      <c r="D1429"/>
      <c r="L1429"/>
      <c r="R1429"/>
      <c r="S1429"/>
      <c r="T1429"/>
      <c r="U1429"/>
    </row>
    <row r="1430" spans="1:21">
      <c r="A1430"/>
      <c r="C1430"/>
      <c r="D1430"/>
      <c r="L1430"/>
      <c r="R1430"/>
      <c r="S1430"/>
      <c r="T1430"/>
      <c r="U1430"/>
    </row>
    <row r="1431" spans="1:21">
      <c r="A1431"/>
      <c r="C1431"/>
      <c r="D1431"/>
      <c r="L1431"/>
      <c r="R1431"/>
      <c r="S1431"/>
      <c r="T1431"/>
      <c r="U1431"/>
    </row>
    <row r="1432" spans="1:21">
      <c r="A1432"/>
      <c r="C1432"/>
      <c r="D1432"/>
      <c r="L1432"/>
      <c r="R1432"/>
      <c r="S1432"/>
      <c r="T1432"/>
      <c r="U1432"/>
    </row>
    <row r="1433" spans="1:21">
      <c r="A1433"/>
      <c r="C1433"/>
      <c r="D1433"/>
      <c r="L1433"/>
      <c r="R1433"/>
      <c r="S1433"/>
      <c r="T1433"/>
      <c r="U1433"/>
    </row>
    <row r="1434" spans="1:21">
      <c r="A1434"/>
      <c r="C1434"/>
      <c r="D1434"/>
      <c r="L1434"/>
      <c r="R1434"/>
      <c r="S1434"/>
      <c r="T1434"/>
      <c r="U1434"/>
    </row>
    <row r="1435" spans="1:21">
      <c r="A1435"/>
      <c r="C1435"/>
      <c r="D1435"/>
      <c r="L1435"/>
      <c r="R1435"/>
      <c r="S1435"/>
      <c r="T1435"/>
      <c r="U1435"/>
    </row>
    <row r="1436" spans="1:21">
      <c r="A1436"/>
      <c r="C1436"/>
      <c r="D1436"/>
      <c r="L1436"/>
      <c r="R1436"/>
      <c r="S1436"/>
      <c r="T1436"/>
      <c r="U1436"/>
    </row>
    <row r="1437" spans="1:21">
      <c r="A1437"/>
      <c r="C1437"/>
      <c r="D1437"/>
      <c r="L1437"/>
      <c r="R1437"/>
      <c r="S1437"/>
      <c r="T1437"/>
      <c r="U1437"/>
    </row>
    <row r="1438" spans="1:21">
      <c r="A1438"/>
      <c r="C1438"/>
      <c r="D1438"/>
      <c r="L1438"/>
      <c r="R1438"/>
      <c r="S1438"/>
      <c r="T1438"/>
      <c r="U1438"/>
    </row>
    <row r="1439" spans="1:21">
      <c r="A1439"/>
      <c r="C1439"/>
      <c r="D1439"/>
      <c r="L1439"/>
      <c r="R1439"/>
      <c r="S1439"/>
      <c r="T1439"/>
      <c r="U1439"/>
    </row>
    <row r="1440" spans="1:21">
      <c r="A1440"/>
      <c r="C1440"/>
      <c r="D1440"/>
      <c r="L1440"/>
      <c r="R1440"/>
      <c r="S1440"/>
      <c r="T1440"/>
      <c r="U1440"/>
    </row>
    <row r="1441" spans="1:21">
      <c r="A1441"/>
      <c r="C1441"/>
      <c r="D1441"/>
      <c r="L1441"/>
      <c r="R1441"/>
      <c r="S1441"/>
      <c r="T1441"/>
      <c r="U1441"/>
    </row>
    <row r="1442" spans="1:21">
      <c r="A1442"/>
      <c r="C1442"/>
      <c r="D1442"/>
      <c r="L1442"/>
      <c r="R1442"/>
      <c r="S1442"/>
      <c r="T1442"/>
      <c r="U1442"/>
    </row>
    <row r="1443" spans="1:21">
      <c r="A1443"/>
      <c r="C1443"/>
      <c r="D1443"/>
      <c r="L1443"/>
      <c r="R1443"/>
      <c r="S1443"/>
      <c r="T1443"/>
      <c r="U1443"/>
    </row>
    <row r="1444" spans="1:21">
      <c r="A1444"/>
      <c r="C1444"/>
      <c r="D1444"/>
      <c r="L1444"/>
      <c r="R1444"/>
      <c r="S1444"/>
      <c r="T1444"/>
      <c r="U1444"/>
    </row>
    <row r="1445" spans="1:21">
      <c r="A1445"/>
      <c r="C1445"/>
      <c r="D1445"/>
      <c r="L1445"/>
      <c r="R1445"/>
      <c r="S1445"/>
      <c r="T1445"/>
      <c r="U1445"/>
    </row>
    <row r="1446" spans="1:21">
      <c r="A1446"/>
      <c r="C1446"/>
      <c r="D1446"/>
      <c r="L1446"/>
      <c r="R1446"/>
      <c r="S1446"/>
      <c r="T1446"/>
      <c r="U1446"/>
    </row>
    <row r="1447" spans="1:21">
      <c r="A1447"/>
      <c r="C1447"/>
      <c r="D1447"/>
      <c r="L1447"/>
      <c r="R1447"/>
      <c r="S1447"/>
      <c r="T1447"/>
      <c r="U1447"/>
    </row>
    <row r="1448" spans="1:21">
      <c r="A1448"/>
      <c r="C1448"/>
      <c r="D1448"/>
      <c r="L1448"/>
      <c r="R1448"/>
      <c r="S1448"/>
      <c r="T1448"/>
      <c r="U1448"/>
    </row>
    <row r="1449" spans="1:21">
      <c r="A1449"/>
      <c r="C1449"/>
      <c r="D1449"/>
      <c r="L1449"/>
      <c r="R1449"/>
      <c r="S1449"/>
      <c r="T1449"/>
      <c r="U1449"/>
    </row>
    <row r="1450" spans="1:21">
      <c r="A1450"/>
      <c r="C1450"/>
      <c r="D1450"/>
      <c r="L1450"/>
      <c r="R1450"/>
      <c r="S1450"/>
      <c r="T1450"/>
      <c r="U1450"/>
    </row>
    <row r="1451" spans="1:21">
      <c r="A1451"/>
      <c r="C1451"/>
      <c r="D1451"/>
      <c r="L1451"/>
      <c r="R1451"/>
      <c r="S1451"/>
      <c r="T1451"/>
      <c r="U1451"/>
    </row>
    <row r="1452" spans="1:21">
      <c r="A1452"/>
      <c r="C1452"/>
      <c r="D1452"/>
      <c r="L1452"/>
      <c r="R1452"/>
      <c r="S1452"/>
      <c r="T1452"/>
      <c r="U1452"/>
    </row>
    <row r="1453" spans="1:21">
      <c r="A1453"/>
      <c r="C1453"/>
      <c r="D1453"/>
      <c r="L1453"/>
      <c r="R1453"/>
      <c r="S1453"/>
      <c r="T1453"/>
      <c r="U1453"/>
    </row>
    <row r="1454" spans="1:21">
      <c r="A1454"/>
      <c r="C1454"/>
      <c r="D1454"/>
      <c r="L1454"/>
      <c r="R1454"/>
      <c r="S1454"/>
      <c r="T1454"/>
      <c r="U1454"/>
    </row>
    <row r="1455" spans="1:21">
      <c r="A1455"/>
      <c r="C1455"/>
      <c r="D1455"/>
      <c r="L1455"/>
      <c r="R1455"/>
      <c r="S1455"/>
      <c r="T1455"/>
      <c r="U1455"/>
    </row>
    <row r="1456" spans="1:21">
      <c r="A1456"/>
      <c r="C1456"/>
      <c r="D1456"/>
      <c r="L1456"/>
      <c r="R1456"/>
      <c r="S1456"/>
      <c r="T1456"/>
      <c r="U1456"/>
    </row>
    <row r="1457" spans="1:21">
      <c r="A1457"/>
      <c r="C1457"/>
      <c r="D1457"/>
      <c r="L1457"/>
      <c r="R1457"/>
      <c r="S1457"/>
      <c r="T1457"/>
      <c r="U1457"/>
    </row>
    <row r="1458" spans="1:21">
      <c r="A1458"/>
      <c r="C1458"/>
      <c r="D1458"/>
      <c r="L1458"/>
      <c r="R1458"/>
      <c r="S1458"/>
      <c r="T1458"/>
      <c r="U1458"/>
    </row>
    <row r="1459" spans="1:21">
      <c r="A1459"/>
      <c r="C1459"/>
      <c r="D1459"/>
      <c r="L1459"/>
      <c r="R1459"/>
      <c r="S1459"/>
      <c r="T1459"/>
      <c r="U1459"/>
    </row>
    <row r="1460" spans="1:21">
      <c r="A1460"/>
      <c r="C1460"/>
      <c r="D1460"/>
      <c r="L1460"/>
      <c r="R1460"/>
      <c r="S1460"/>
      <c r="T1460"/>
      <c r="U1460"/>
    </row>
    <row r="1461" spans="1:21">
      <c r="A1461"/>
      <c r="C1461"/>
      <c r="D1461"/>
      <c r="L1461"/>
      <c r="R1461"/>
      <c r="S1461"/>
      <c r="T1461"/>
      <c r="U1461"/>
    </row>
    <row r="1462" spans="1:21">
      <c r="A1462"/>
      <c r="C1462"/>
      <c r="D1462"/>
      <c r="L1462"/>
      <c r="R1462"/>
      <c r="S1462"/>
      <c r="T1462"/>
      <c r="U1462"/>
    </row>
    <row r="1463" spans="1:21">
      <c r="A1463"/>
      <c r="C1463"/>
      <c r="D1463"/>
      <c r="L1463"/>
      <c r="R1463"/>
      <c r="S1463"/>
      <c r="T1463"/>
      <c r="U1463"/>
    </row>
    <row r="1464" spans="1:21">
      <c r="A1464"/>
      <c r="C1464"/>
      <c r="D1464"/>
      <c r="L1464"/>
      <c r="R1464"/>
      <c r="S1464"/>
      <c r="T1464"/>
      <c r="U1464"/>
    </row>
    <row r="1465" spans="1:21">
      <c r="A1465"/>
      <c r="C1465"/>
      <c r="D1465"/>
      <c r="L1465"/>
      <c r="R1465"/>
      <c r="S1465"/>
      <c r="T1465"/>
      <c r="U1465"/>
    </row>
    <row r="1466" spans="1:21">
      <c r="A1466"/>
      <c r="C1466"/>
      <c r="D1466"/>
      <c r="L1466"/>
      <c r="R1466"/>
      <c r="S1466"/>
      <c r="T1466"/>
      <c r="U1466"/>
    </row>
    <row r="1467" spans="1:21">
      <c r="A1467"/>
      <c r="C1467"/>
      <c r="D1467"/>
      <c r="L1467"/>
      <c r="R1467"/>
      <c r="S1467"/>
      <c r="T1467"/>
      <c r="U1467"/>
    </row>
    <row r="1468" spans="1:21">
      <c r="A1468"/>
      <c r="C1468"/>
      <c r="D1468"/>
      <c r="L1468"/>
      <c r="R1468"/>
      <c r="S1468"/>
      <c r="T1468"/>
      <c r="U1468"/>
    </row>
    <row r="1469" spans="1:21">
      <c r="A1469"/>
      <c r="C1469"/>
      <c r="D1469"/>
      <c r="L1469"/>
      <c r="R1469"/>
      <c r="S1469"/>
      <c r="T1469"/>
      <c r="U1469"/>
    </row>
    <row r="1470" spans="1:21">
      <c r="A1470"/>
      <c r="C1470"/>
      <c r="D1470"/>
      <c r="L1470"/>
      <c r="R1470"/>
      <c r="S1470"/>
      <c r="T1470"/>
      <c r="U1470"/>
    </row>
    <row r="1471" spans="1:21">
      <c r="A1471"/>
      <c r="C1471"/>
      <c r="D1471"/>
      <c r="L1471"/>
      <c r="R1471"/>
      <c r="S1471"/>
      <c r="T1471"/>
      <c r="U1471"/>
    </row>
    <row r="1472" spans="1:21">
      <c r="A1472"/>
      <c r="C1472"/>
      <c r="D1472"/>
      <c r="L1472"/>
      <c r="R1472"/>
      <c r="S1472"/>
      <c r="T1472"/>
      <c r="U1472"/>
    </row>
    <row r="1473" spans="1:21">
      <c r="A1473"/>
      <c r="C1473"/>
      <c r="D1473"/>
      <c r="L1473"/>
      <c r="R1473"/>
      <c r="S1473"/>
      <c r="T1473"/>
      <c r="U1473"/>
    </row>
    <row r="1474" spans="1:21">
      <c r="A1474"/>
      <c r="C1474"/>
      <c r="D1474"/>
      <c r="L1474"/>
      <c r="R1474"/>
      <c r="S1474"/>
      <c r="T1474"/>
      <c r="U1474"/>
    </row>
    <row r="1475" spans="1:21">
      <c r="A1475"/>
      <c r="C1475"/>
      <c r="D1475"/>
      <c r="L1475"/>
      <c r="R1475"/>
      <c r="S1475"/>
      <c r="T1475"/>
      <c r="U1475"/>
    </row>
    <row r="1476" spans="1:21">
      <c r="A1476"/>
      <c r="C1476"/>
      <c r="D1476"/>
      <c r="L1476"/>
      <c r="R1476"/>
      <c r="S1476"/>
      <c r="T1476"/>
      <c r="U1476"/>
    </row>
    <row r="1477" spans="1:21">
      <c r="A1477"/>
      <c r="C1477"/>
      <c r="D1477"/>
      <c r="L1477"/>
      <c r="R1477"/>
      <c r="S1477"/>
      <c r="T1477"/>
      <c r="U1477"/>
    </row>
    <row r="1478" spans="1:21">
      <c r="A1478"/>
      <c r="C1478"/>
      <c r="D1478"/>
      <c r="L1478"/>
      <c r="R1478"/>
      <c r="S1478"/>
      <c r="T1478"/>
      <c r="U1478"/>
    </row>
    <row r="1479" spans="1:21">
      <c r="A1479"/>
      <c r="C1479"/>
      <c r="D1479"/>
      <c r="L1479"/>
      <c r="R1479"/>
      <c r="S1479"/>
      <c r="T1479"/>
      <c r="U1479"/>
    </row>
    <row r="1480" spans="1:21">
      <c r="A1480"/>
      <c r="C1480"/>
      <c r="D1480"/>
      <c r="L1480"/>
      <c r="R1480"/>
      <c r="S1480"/>
      <c r="T1480"/>
      <c r="U1480"/>
    </row>
    <row r="1481" spans="1:21">
      <c r="A1481"/>
      <c r="C1481"/>
      <c r="D1481"/>
      <c r="L1481"/>
      <c r="R1481"/>
      <c r="S1481"/>
      <c r="T1481"/>
      <c r="U1481"/>
    </row>
    <row r="1482" spans="1:21">
      <c r="A1482"/>
      <c r="C1482"/>
      <c r="D1482"/>
      <c r="L1482"/>
      <c r="R1482"/>
      <c r="S1482"/>
      <c r="T1482"/>
      <c r="U1482"/>
    </row>
    <row r="1483" spans="1:21">
      <c r="A1483"/>
      <c r="C1483"/>
      <c r="D1483"/>
      <c r="L1483"/>
      <c r="R1483"/>
      <c r="S1483"/>
      <c r="T1483"/>
      <c r="U1483"/>
    </row>
    <row r="1484" spans="1:21">
      <c r="A1484"/>
      <c r="C1484"/>
      <c r="D1484"/>
      <c r="L1484"/>
      <c r="R1484"/>
      <c r="S1484"/>
      <c r="T1484"/>
      <c r="U1484"/>
    </row>
    <row r="1485" spans="1:21">
      <c r="A1485"/>
      <c r="C1485"/>
      <c r="D1485"/>
      <c r="L1485"/>
      <c r="R1485"/>
      <c r="S1485"/>
      <c r="T1485"/>
      <c r="U1485"/>
    </row>
    <row r="1486" spans="1:21">
      <c r="A1486"/>
      <c r="C1486"/>
      <c r="D1486"/>
      <c r="L1486"/>
      <c r="R1486"/>
      <c r="S1486"/>
      <c r="T1486"/>
      <c r="U1486"/>
    </row>
    <row r="1487" spans="1:21">
      <c r="A1487"/>
      <c r="C1487"/>
      <c r="D1487"/>
      <c r="L1487"/>
      <c r="R1487"/>
      <c r="S1487"/>
      <c r="T1487"/>
      <c r="U1487"/>
    </row>
    <row r="1488" spans="1:21">
      <c r="A1488"/>
      <c r="C1488"/>
      <c r="D1488"/>
      <c r="L1488"/>
      <c r="R1488"/>
      <c r="S1488"/>
      <c r="T1488"/>
      <c r="U1488"/>
    </row>
    <row r="1489" spans="1:21">
      <c r="A1489"/>
      <c r="C1489"/>
      <c r="D1489"/>
      <c r="L1489"/>
      <c r="R1489"/>
      <c r="S1489"/>
      <c r="T1489"/>
      <c r="U1489"/>
    </row>
    <row r="1490" spans="1:21">
      <c r="A1490"/>
      <c r="C1490"/>
      <c r="D1490"/>
      <c r="L1490"/>
      <c r="R1490"/>
      <c r="S1490"/>
      <c r="T1490"/>
      <c r="U1490"/>
    </row>
    <row r="1491" spans="1:21">
      <c r="A1491"/>
      <c r="C1491"/>
      <c r="D1491"/>
      <c r="L1491"/>
      <c r="R1491"/>
      <c r="S1491"/>
      <c r="T1491"/>
      <c r="U1491"/>
    </row>
    <row r="1492" spans="1:21">
      <c r="A1492"/>
      <c r="C1492"/>
      <c r="D1492"/>
      <c r="L1492"/>
      <c r="R1492"/>
      <c r="S1492"/>
      <c r="T1492"/>
      <c r="U1492"/>
    </row>
    <row r="1493" spans="1:21">
      <c r="A1493"/>
      <c r="C1493"/>
      <c r="D1493"/>
      <c r="L1493"/>
      <c r="R1493"/>
      <c r="S1493"/>
      <c r="T1493"/>
      <c r="U1493"/>
    </row>
    <row r="1494" spans="1:21">
      <c r="A1494"/>
      <c r="C1494"/>
      <c r="D1494"/>
      <c r="L1494"/>
      <c r="R1494"/>
      <c r="S1494"/>
      <c r="T1494"/>
      <c r="U1494"/>
    </row>
    <row r="1495" spans="1:21">
      <c r="A1495"/>
      <c r="C1495"/>
      <c r="D1495"/>
      <c r="L1495"/>
      <c r="R1495"/>
      <c r="S1495"/>
      <c r="T1495"/>
      <c r="U1495"/>
    </row>
    <row r="1496" spans="1:21">
      <c r="A1496"/>
      <c r="C1496"/>
      <c r="D1496"/>
      <c r="L1496"/>
      <c r="R1496"/>
      <c r="S1496"/>
      <c r="T1496"/>
      <c r="U1496"/>
    </row>
    <row r="1497" spans="1:21">
      <c r="A1497"/>
      <c r="C1497"/>
      <c r="D1497"/>
      <c r="L1497"/>
      <c r="R1497"/>
      <c r="S1497"/>
      <c r="T1497"/>
      <c r="U1497"/>
    </row>
    <row r="1498" spans="1:21">
      <c r="A1498"/>
      <c r="C1498"/>
      <c r="D1498"/>
      <c r="L1498"/>
      <c r="R1498"/>
      <c r="S1498"/>
      <c r="T1498"/>
      <c r="U1498"/>
    </row>
    <row r="1499" spans="1:21">
      <c r="A1499"/>
      <c r="C1499"/>
      <c r="D1499"/>
      <c r="L1499"/>
      <c r="R1499"/>
      <c r="S1499"/>
      <c r="T1499"/>
      <c r="U1499"/>
    </row>
    <row r="1500" spans="1:21">
      <c r="A1500"/>
      <c r="C1500"/>
      <c r="D1500"/>
      <c r="L1500"/>
      <c r="R1500"/>
      <c r="S1500"/>
      <c r="T1500"/>
      <c r="U1500"/>
    </row>
    <row r="1501" spans="1:21">
      <c r="A1501"/>
      <c r="C1501"/>
      <c r="D1501"/>
      <c r="L1501"/>
      <c r="R1501"/>
      <c r="S1501"/>
      <c r="T1501"/>
      <c r="U1501"/>
    </row>
    <row r="1502" spans="1:21">
      <c r="A1502"/>
      <c r="C1502"/>
      <c r="D1502"/>
      <c r="L1502"/>
      <c r="R1502"/>
      <c r="S1502"/>
      <c r="T1502"/>
      <c r="U1502"/>
    </row>
    <row r="1503" spans="1:21">
      <c r="A1503"/>
      <c r="C1503"/>
      <c r="D1503"/>
      <c r="L1503"/>
      <c r="R1503"/>
      <c r="S1503"/>
      <c r="T1503"/>
      <c r="U1503"/>
    </row>
    <row r="1504" spans="1:21">
      <c r="A1504"/>
      <c r="C1504"/>
      <c r="D1504"/>
      <c r="L1504"/>
      <c r="R1504"/>
      <c r="S1504"/>
      <c r="T1504"/>
      <c r="U1504"/>
    </row>
    <row r="1505" spans="1:21">
      <c r="A1505"/>
      <c r="C1505"/>
      <c r="D1505"/>
      <c r="L1505"/>
      <c r="R1505"/>
      <c r="S1505"/>
      <c r="T1505"/>
      <c r="U1505"/>
    </row>
    <row r="1506" spans="1:21">
      <c r="A1506"/>
      <c r="C1506"/>
      <c r="D1506"/>
      <c r="L1506"/>
      <c r="R1506"/>
      <c r="S1506"/>
      <c r="T1506"/>
      <c r="U1506"/>
    </row>
    <row r="1507" spans="1:21">
      <c r="A1507"/>
      <c r="C1507"/>
      <c r="D1507"/>
      <c r="L1507"/>
      <c r="R1507"/>
      <c r="S1507"/>
      <c r="T1507"/>
      <c r="U1507"/>
    </row>
    <row r="1508" spans="1:21">
      <c r="A1508"/>
      <c r="C1508"/>
      <c r="D1508"/>
      <c r="L1508"/>
      <c r="R1508"/>
      <c r="S1508"/>
      <c r="T1508"/>
      <c r="U1508"/>
    </row>
    <row r="1509" spans="1:21">
      <c r="A1509"/>
      <c r="C1509"/>
      <c r="D1509"/>
      <c r="L1509"/>
      <c r="R1509"/>
      <c r="S1509"/>
      <c r="T1509"/>
      <c r="U1509"/>
    </row>
    <row r="1510" spans="1:21">
      <c r="A1510"/>
      <c r="C1510"/>
      <c r="D1510"/>
      <c r="L1510"/>
      <c r="R1510"/>
      <c r="S1510"/>
      <c r="T1510"/>
      <c r="U1510"/>
    </row>
    <row r="1511" spans="1:21">
      <c r="A1511"/>
      <c r="C1511"/>
      <c r="D1511"/>
      <c r="L1511"/>
      <c r="R1511"/>
      <c r="S1511"/>
      <c r="T1511"/>
      <c r="U1511"/>
    </row>
    <row r="1512" spans="1:21">
      <c r="A1512"/>
      <c r="C1512"/>
      <c r="D1512"/>
      <c r="L1512"/>
      <c r="R1512"/>
      <c r="S1512"/>
      <c r="T1512"/>
      <c r="U1512"/>
    </row>
    <row r="1513" spans="1:21">
      <c r="A1513"/>
      <c r="C1513"/>
      <c r="D1513"/>
      <c r="L1513"/>
      <c r="R1513"/>
      <c r="S1513"/>
      <c r="T1513"/>
      <c r="U1513"/>
    </row>
    <row r="1514" spans="1:21">
      <c r="A1514"/>
      <c r="C1514"/>
      <c r="D1514"/>
      <c r="L1514"/>
      <c r="R1514"/>
      <c r="S1514"/>
      <c r="T1514"/>
      <c r="U1514"/>
    </row>
    <row r="1515" spans="1:21">
      <c r="A1515"/>
      <c r="C1515"/>
      <c r="D1515"/>
      <c r="L1515"/>
      <c r="R1515"/>
      <c r="S1515"/>
      <c r="T1515"/>
      <c r="U1515"/>
    </row>
    <row r="1516" spans="1:21">
      <c r="A1516"/>
      <c r="C1516"/>
      <c r="D1516"/>
      <c r="L1516"/>
      <c r="R1516"/>
      <c r="S1516"/>
      <c r="T1516"/>
      <c r="U1516"/>
    </row>
    <row r="1517" spans="1:21">
      <c r="A1517"/>
      <c r="C1517"/>
      <c r="D1517"/>
      <c r="L1517"/>
      <c r="R1517"/>
      <c r="S1517"/>
      <c r="T1517"/>
      <c r="U1517"/>
    </row>
    <row r="1518" spans="1:21">
      <c r="A1518"/>
      <c r="C1518"/>
      <c r="D1518"/>
      <c r="L1518"/>
      <c r="R1518"/>
      <c r="S1518"/>
      <c r="T1518"/>
      <c r="U1518"/>
    </row>
    <row r="1519" spans="1:21">
      <c r="A1519"/>
      <c r="C1519"/>
      <c r="D1519"/>
      <c r="L1519"/>
      <c r="R1519"/>
      <c r="S1519"/>
      <c r="T1519"/>
      <c r="U1519"/>
    </row>
    <row r="1520" spans="1:21">
      <c r="A1520"/>
      <c r="C1520"/>
      <c r="D1520"/>
      <c r="L1520"/>
      <c r="R1520"/>
      <c r="S1520"/>
      <c r="T1520"/>
      <c r="U1520"/>
    </row>
    <row r="1521" spans="1:21">
      <c r="A1521"/>
      <c r="C1521"/>
      <c r="D1521"/>
      <c r="L1521"/>
      <c r="R1521"/>
      <c r="S1521"/>
      <c r="T1521"/>
      <c r="U1521"/>
    </row>
    <row r="1522" spans="1:21">
      <c r="A1522"/>
      <c r="C1522"/>
      <c r="D1522"/>
      <c r="L1522"/>
      <c r="R1522"/>
      <c r="S1522"/>
      <c r="T1522"/>
      <c r="U1522"/>
    </row>
    <row r="1523" spans="1:21">
      <c r="A1523"/>
      <c r="C1523"/>
      <c r="D1523"/>
      <c r="L1523"/>
      <c r="R1523"/>
      <c r="S1523"/>
      <c r="T1523"/>
      <c r="U1523"/>
    </row>
    <row r="1524" spans="1:21">
      <c r="A1524"/>
      <c r="C1524"/>
      <c r="D1524"/>
      <c r="L1524"/>
      <c r="R1524"/>
      <c r="S1524"/>
      <c r="T1524"/>
      <c r="U1524"/>
    </row>
    <row r="1525" spans="1:21">
      <c r="A1525"/>
      <c r="C1525"/>
      <c r="D1525"/>
      <c r="L1525"/>
      <c r="R1525"/>
      <c r="S1525"/>
      <c r="T1525"/>
      <c r="U1525"/>
    </row>
    <row r="1526" spans="1:21">
      <c r="A1526"/>
      <c r="C1526"/>
      <c r="D1526"/>
      <c r="L1526"/>
      <c r="R1526"/>
      <c r="S1526"/>
      <c r="T1526"/>
      <c r="U1526"/>
    </row>
    <row r="1527" spans="1:21">
      <c r="A1527"/>
      <c r="C1527"/>
      <c r="D1527"/>
      <c r="L1527"/>
      <c r="R1527"/>
      <c r="S1527"/>
      <c r="T1527"/>
      <c r="U1527"/>
    </row>
    <row r="1528" spans="1:21">
      <c r="A1528"/>
      <c r="C1528"/>
      <c r="D1528"/>
      <c r="L1528"/>
      <c r="R1528"/>
      <c r="S1528"/>
      <c r="T1528"/>
      <c r="U1528"/>
    </row>
    <row r="1529" spans="1:21">
      <c r="A1529"/>
      <c r="C1529"/>
      <c r="D1529"/>
      <c r="L1529"/>
      <c r="R1529"/>
      <c r="S1529"/>
      <c r="T1529"/>
      <c r="U1529"/>
    </row>
    <row r="1530" spans="1:21">
      <c r="A1530"/>
      <c r="C1530"/>
      <c r="D1530"/>
      <c r="L1530"/>
      <c r="R1530"/>
      <c r="S1530"/>
      <c r="T1530"/>
      <c r="U1530"/>
    </row>
    <row r="1531" spans="1:21">
      <c r="A1531"/>
      <c r="C1531"/>
      <c r="D1531"/>
      <c r="L1531"/>
      <c r="R1531"/>
      <c r="S1531"/>
      <c r="T1531"/>
      <c r="U1531"/>
    </row>
    <row r="1532" spans="1:21">
      <c r="A1532"/>
      <c r="C1532"/>
      <c r="D1532"/>
      <c r="L1532"/>
      <c r="R1532"/>
      <c r="S1532"/>
      <c r="T1532"/>
      <c r="U1532"/>
    </row>
    <row r="1533" spans="1:21">
      <c r="A1533"/>
      <c r="C1533"/>
      <c r="D1533"/>
      <c r="L1533"/>
      <c r="R1533"/>
      <c r="S1533"/>
      <c r="T1533"/>
      <c r="U1533"/>
    </row>
    <row r="1534" spans="1:21">
      <c r="A1534"/>
      <c r="C1534"/>
      <c r="D1534"/>
      <c r="L1534"/>
      <c r="R1534"/>
      <c r="S1534"/>
      <c r="T1534"/>
      <c r="U1534"/>
    </row>
    <row r="1535" spans="1:21">
      <c r="A1535"/>
      <c r="C1535"/>
      <c r="D1535"/>
      <c r="L1535"/>
      <c r="R1535"/>
      <c r="S1535"/>
      <c r="T1535"/>
      <c r="U1535"/>
    </row>
    <row r="1536" spans="1:21">
      <c r="A1536"/>
      <c r="C1536"/>
      <c r="D1536"/>
      <c r="L1536"/>
      <c r="R1536"/>
      <c r="S1536"/>
      <c r="T1536"/>
      <c r="U1536"/>
    </row>
    <row r="1537" spans="1:21">
      <c r="A1537"/>
      <c r="C1537"/>
      <c r="D1537"/>
      <c r="L1537"/>
      <c r="R1537"/>
      <c r="S1537"/>
      <c r="T1537"/>
      <c r="U1537"/>
    </row>
    <row r="1538" spans="1:21">
      <c r="A1538"/>
      <c r="C1538"/>
      <c r="D1538"/>
      <c r="L1538"/>
      <c r="R1538"/>
      <c r="S1538"/>
      <c r="T1538"/>
      <c r="U1538"/>
    </row>
    <row r="1539" spans="1:21">
      <c r="A1539"/>
      <c r="C1539"/>
      <c r="D1539"/>
      <c r="L1539"/>
      <c r="R1539"/>
      <c r="S1539"/>
      <c r="T1539"/>
      <c r="U1539"/>
    </row>
    <row r="1540" spans="1:21">
      <c r="A1540"/>
      <c r="C1540"/>
      <c r="D1540"/>
      <c r="L1540"/>
      <c r="R1540"/>
      <c r="S1540"/>
      <c r="T1540"/>
      <c r="U1540"/>
    </row>
    <row r="1541" spans="1:21">
      <c r="A1541"/>
      <c r="C1541"/>
      <c r="D1541"/>
      <c r="L1541"/>
      <c r="R1541"/>
      <c r="S1541"/>
      <c r="T1541"/>
      <c r="U1541"/>
    </row>
    <row r="1542" spans="1:21">
      <c r="A1542"/>
      <c r="C1542"/>
      <c r="D1542"/>
      <c r="L1542"/>
      <c r="R1542"/>
      <c r="S1542"/>
      <c r="T1542"/>
      <c r="U1542"/>
    </row>
    <row r="1543" spans="1:21">
      <c r="A1543"/>
      <c r="C1543"/>
      <c r="D1543"/>
      <c r="L1543"/>
      <c r="R1543"/>
      <c r="S1543"/>
      <c r="T1543"/>
      <c r="U1543"/>
    </row>
    <row r="1544" spans="1:21">
      <c r="A1544"/>
      <c r="C1544"/>
      <c r="D1544"/>
      <c r="L1544"/>
      <c r="R1544"/>
      <c r="S1544"/>
      <c r="T1544"/>
      <c r="U1544"/>
    </row>
    <row r="1545" spans="1:21">
      <c r="A1545"/>
      <c r="C1545"/>
      <c r="D1545"/>
      <c r="L1545"/>
      <c r="R1545"/>
      <c r="S1545"/>
      <c r="T1545"/>
      <c r="U1545"/>
    </row>
    <row r="1546" spans="1:21">
      <c r="A1546"/>
      <c r="C1546"/>
      <c r="D1546"/>
      <c r="L1546"/>
      <c r="R1546"/>
      <c r="S1546"/>
      <c r="T1546"/>
      <c r="U1546"/>
    </row>
    <row r="1547" spans="1:21">
      <c r="A1547"/>
      <c r="C1547"/>
      <c r="D1547"/>
      <c r="L1547"/>
      <c r="R1547"/>
      <c r="S1547"/>
      <c r="T1547"/>
      <c r="U1547"/>
    </row>
    <row r="1548" spans="1:21">
      <c r="A1548"/>
      <c r="C1548"/>
      <c r="D1548"/>
      <c r="L1548"/>
      <c r="R1548"/>
      <c r="S1548"/>
      <c r="T1548"/>
      <c r="U1548"/>
    </row>
    <row r="1549" spans="1:21">
      <c r="A1549"/>
      <c r="C1549"/>
      <c r="D1549"/>
      <c r="L1549"/>
      <c r="R1549"/>
      <c r="S1549"/>
      <c r="T1549"/>
      <c r="U1549"/>
    </row>
    <row r="1550" spans="1:21">
      <c r="A1550"/>
      <c r="C1550"/>
      <c r="D1550"/>
      <c r="L1550"/>
      <c r="R1550"/>
      <c r="S1550"/>
      <c r="T1550"/>
      <c r="U1550"/>
    </row>
    <row r="1551" spans="1:21">
      <c r="A1551"/>
      <c r="C1551"/>
      <c r="D1551"/>
      <c r="L1551"/>
      <c r="R1551"/>
      <c r="S1551"/>
      <c r="T1551"/>
      <c r="U1551"/>
    </row>
    <row r="1552" spans="1:21">
      <c r="A1552"/>
      <c r="C1552"/>
      <c r="D1552"/>
      <c r="L1552"/>
      <c r="R1552"/>
      <c r="S1552"/>
      <c r="T1552"/>
      <c r="U1552"/>
    </row>
    <row r="1553" spans="1:21">
      <c r="A1553"/>
      <c r="C1553"/>
      <c r="D1553"/>
      <c r="L1553"/>
      <c r="R1553"/>
      <c r="S1553"/>
      <c r="T1553"/>
      <c r="U1553"/>
    </row>
    <row r="1554" spans="1:21">
      <c r="A1554"/>
      <c r="C1554"/>
      <c r="D1554"/>
      <c r="L1554"/>
      <c r="R1554"/>
      <c r="S1554"/>
      <c r="T1554"/>
      <c r="U1554"/>
    </row>
    <row r="1555" spans="1:21">
      <c r="A1555"/>
      <c r="C1555"/>
      <c r="D1555"/>
      <c r="L1555"/>
      <c r="R1555"/>
      <c r="S1555"/>
      <c r="T1555"/>
      <c r="U1555"/>
    </row>
    <row r="1556" spans="1:21">
      <c r="A1556"/>
      <c r="C1556"/>
      <c r="D1556"/>
      <c r="L1556"/>
      <c r="R1556"/>
      <c r="S1556"/>
      <c r="T1556"/>
      <c r="U1556"/>
    </row>
    <row r="1557" spans="1:21">
      <c r="A1557"/>
      <c r="C1557"/>
      <c r="D1557"/>
      <c r="L1557"/>
      <c r="R1557"/>
      <c r="S1557"/>
      <c r="T1557"/>
      <c r="U1557"/>
    </row>
    <row r="1558" spans="1:21">
      <c r="A1558"/>
      <c r="C1558"/>
      <c r="D1558"/>
      <c r="L1558"/>
      <c r="R1558"/>
      <c r="S1558"/>
      <c r="T1558"/>
      <c r="U1558"/>
    </row>
    <row r="1559" spans="1:21">
      <c r="A1559"/>
      <c r="C1559"/>
      <c r="D1559"/>
      <c r="L1559"/>
      <c r="R1559"/>
      <c r="S1559"/>
      <c r="T1559"/>
      <c r="U1559"/>
    </row>
    <row r="1560" spans="1:21">
      <c r="A1560"/>
      <c r="C1560"/>
      <c r="D1560"/>
      <c r="L1560"/>
      <c r="R1560"/>
      <c r="S1560"/>
      <c r="T1560"/>
      <c r="U1560"/>
    </row>
    <row r="1561" spans="1:21">
      <c r="A1561"/>
      <c r="C1561"/>
      <c r="D1561"/>
      <c r="L1561"/>
      <c r="R1561"/>
      <c r="S1561"/>
      <c r="T1561"/>
      <c r="U1561"/>
    </row>
    <row r="1562" spans="1:21">
      <c r="A1562"/>
      <c r="C1562"/>
      <c r="D1562"/>
      <c r="L1562"/>
      <c r="R1562"/>
      <c r="S1562"/>
      <c r="T1562"/>
      <c r="U1562"/>
    </row>
    <row r="1563" spans="1:21">
      <c r="A1563"/>
      <c r="C1563"/>
      <c r="D1563"/>
      <c r="L1563"/>
      <c r="R1563"/>
      <c r="S1563"/>
      <c r="T1563"/>
      <c r="U1563"/>
    </row>
    <row r="1564" spans="1:21">
      <c r="A1564"/>
      <c r="C1564"/>
      <c r="D1564"/>
      <c r="L1564"/>
      <c r="R1564"/>
      <c r="S1564"/>
      <c r="T1564"/>
      <c r="U1564"/>
    </row>
    <row r="1565" spans="1:21">
      <c r="A1565"/>
      <c r="C1565"/>
      <c r="D1565"/>
      <c r="L1565"/>
      <c r="R1565"/>
      <c r="S1565"/>
      <c r="T1565"/>
      <c r="U1565"/>
    </row>
    <row r="1566" spans="1:21">
      <c r="A1566"/>
      <c r="C1566"/>
      <c r="D1566"/>
      <c r="L1566"/>
      <c r="R1566"/>
      <c r="S1566"/>
      <c r="T1566"/>
      <c r="U1566"/>
    </row>
    <row r="1567" spans="1:21">
      <c r="A1567"/>
      <c r="C1567"/>
      <c r="D1567"/>
      <c r="L1567"/>
      <c r="R1567"/>
      <c r="S1567"/>
      <c r="T1567"/>
      <c r="U1567"/>
    </row>
    <row r="1568" spans="1:21">
      <c r="A1568"/>
      <c r="C1568"/>
      <c r="D1568"/>
      <c r="L1568"/>
      <c r="R1568"/>
      <c r="S1568"/>
      <c r="T1568"/>
      <c r="U1568"/>
    </row>
    <row r="1569" spans="1:21">
      <c r="A1569"/>
      <c r="C1569"/>
      <c r="D1569"/>
      <c r="L1569"/>
      <c r="R1569"/>
      <c r="S1569"/>
      <c r="T1569"/>
      <c r="U1569"/>
    </row>
    <row r="1570" spans="1:21">
      <c r="A1570"/>
      <c r="C1570"/>
      <c r="D1570"/>
      <c r="L1570"/>
      <c r="R1570"/>
      <c r="S1570"/>
      <c r="T1570"/>
      <c r="U1570"/>
    </row>
    <row r="1571" spans="1:21">
      <c r="A1571"/>
      <c r="C1571"/>
      <c r="D1571"/>
      <c r="L1571"/>
      <c r="R1571"/>
      <c r="S1571"/>
      <c r="T1571"/>
      <c r="U1571"/>
    </row>
    <row r="1572" spans="1:21">
      <c r="A1572"/>
      <c r="C1572"/>
      <c r="D1572"/>
      <c r="L1572"/>
      <c r="R1572"/>
      <c r="S1572"/>
      <c r="T1572"/>
      <c r="U1572"/>
    </row>
    <row r="1573" spans="1:21">
      <c r="A1573"/>
      <c r="C1573"/>
      <c r="D1573"/>
      <c r="L1573"/>
      <c r="R1573"/>
      <c r="S1573"/>
      <c r="T1573"/>
      <c r="U1573"/>
    </row>
    <row r="1574" spans="1:21">
      <c r="A1574"/>
      <c r="C1574"/>
      <c r="D1574"/>
      <c r="L1574"/>
      <c r="R1574"/>
      <c r="S1574"/>
      <c r="T1574"/>
      <c r="U1574"/>
    </row>
    <row r="1575" spans="1:21">
      <c r="A1575"/>
      <c r="C1575"/>
      <c r="D1575"/>
      <c r="L1575"/>
      <c r="R1575"/>
      <c r="S1575"/>
      <c r="T1575"/>
      <c r="U1575"/>
    </row>
    <row r="1576" spans="1:21">
      <c r="A1576"/>
      <c r="C1576"/>
      <c r="D1576"/>
      <c r="L1576"/>
      <c r="R1576"/>
      <c r="S1576"/>
      <c r="T1576"/>
      <c r="U1576"/>
    </row>
    <row r="1577" spans="1:21">
      <c r="A1577"/>
      <c r="C1577"/>
      <c r="D1577"/>
      <c r="L1577"/>
      <c r="R1577"/>
      <c r="S1577"/>
      <c r="T1577"/>
      <c r="U1577"/>
    </row>
    <row r="1578" spans="1:21">
      <c r="A1578"/>
      <c r="C1578"/>
      <c r="D1578"/>
      <c r="L1578"/>
      <c r="R1578"/>
      <c r="S1578"/>
      <c r="T1578"/>
      <c r="U1578"/>
    </row>
    <row r="1579" spans="1:21">
      <c r="A1579"/>
      <c r="C1579"/>
      <c r="D1579"/>
      <c r="L1579"/>
      <c r="R1579"/>
      <c r="S1579"/>
      <c r="T1579"/>
      <c r="U1579"/>
    </row>
    <row r="1580" spans="1:21">
      <c r="A1580"/>
      <c r="C1580"/>
      <c r="D1580"/>
      <c r="L1580"/>
      <c r="R1580"/>
      <c r="S1580"/>
      <c r="T1580"/>
      <c r="U1580"/>
    </row>
    <row r="1581" spans="1:21">
      <c r="A1581"/>
      <c r="C1581"/>
      <c r="D1581"/>
      <c r="L1581"/>
      <c r="R1581"/>
      <c r="S1581"/>
      <c r="T1581"/>
      <c r="U1581"/>
    </row>
    <row r="1582" spans="1:21">
      <c r="A1582"/>
      <c r="C1582"/>
      <c r="D1582"/>
      <c r="L1582"/>
      <c r="R1582"/>
      <c r="S1582"/>
      <c r="T1582"/>
      <c r="U1582"/>
    </row>
    <row r="1583" spans="1:21">
      <c r="A1583"/>
      <c r="C1583"/>
      <c r="D1583"/>
      <c r="L1583"/>
      <c r="R1583"/>
      <c r="S1583"/>
      <c r="T1583"/>
      <c r="U1583"/>
    </row>
    <row r="1584" spans="1:21">
      <c r="A1584"/>
      <c r="C1584"/>
      <c r="D1584"/>
      <c r="L1584"/>
      <c r="R1584"/>
      <c r="S1584"/>
      <c r="T1584"/>
      <c r="U1584"/>
    </row>
    <row r="1585" spans="1:21">
      <c r="A1585"/>
      <c r="C1585"/>
      <c r="D1585"/>
      <c r="L1585"/>
      <c r="R1585"/>
      <c r="S1585"/>
      <c r="T1585"/>
      <c r="U1585"/>
    </row>
    <row r="1586" spans="1:21">
      <c r="A1586"/>
      <c r="C1586"/>
      <c r="D1586"/>
      <c r="L1586"/>
      <c r="R1586"/>
      <c r="S1586"/>
      <c r="T1586"/>
      <c r="U1586"/>
    </row>
    <row r="1587" spans="1:21">
      <c r="A1587"/>
      <c r="C1587"/>
      <c r="D1587"/>
      <c r="L1587"/>
      <c r="R1587"/>
      <c r="S1587"/>
      <c r="T1587"/>
      <c r="U1587"/>
    </row>
    <row r="1588" spans="1:21">
      <c r="A1588"/>
      <c r="C1588"/>
      <c r="D1588"/>
      <c r="L1588"/>
      <c r="R1588"/>
      <c r="S1588"/>
      <c r="T1588"/>
      <c r="U1588"/>
    </row>
    <row r="1589" spans="1:21">
      <c r="A1589"/>
      <c r="C1589"/>
      <c r="D1589"/>
      <c r="L1589"/>
      <c r="R1589"/>
      <c r="S1589"/>
      <c r="T1589"/>
      <c r="U1589"/>
    </row>
    <row r="1590" spans="1:21">
      <c r="A1590"/>
      <c r="C1590"/>
      <c r="D1590"/>
      <c r="L1590"/>
      <c r="R1590"/>
      <c r="S1590"/>
      <c r="T1590"/>
      <c r="U1590"/>
    </row>
    <row r="1591" spans="1:21">
      <c r="A1591"/>
      <c r="C1591"/>
      <c r="D1591"/>
      <c r="L1591"/>
      <c r="R1591"/>
      <c r="S1591"/>
      <c r="T1591"/>
      <c r="U1591"/>
    </row>
    <row r="1592" spans="1:21">
      <c r="A1592"/>
      <c r="C1592"/>
      <c r="D1592"/>
      <c r="L1592"/>
      <c r="R1592"/>
      <c r="S1592"/>
      <c r="T1592"/>
      <c r="U1592"/>
    </row>
    <row r="1593" spans="1:21">
      <c r="A1593"/>
      <c r="C1593"/>
      <c r="D1593"/>
      <c r="L1593"/>
      <c r="R1593"/>
      <c r="S1593"/>
      <c r="T1593"/>
      <c r="U1593"/>
    </row>
    <row r="1594" spans="1:21">
      <c r="A1594"/>
      <c r="C1594"/>
      <c r="D1594"/>
      <c r="L1594"/>
      <c r="R1594"/>
      <c r="S1594"/>
      <c r="T1594"/>
      <c r="U1594"/>
    </row>
    <row r="1595" spans="1:21">
      <c r="A1595"/>
      <c r="C1595"/>
      <c r="D1595"/>
      <c r="L1595"/>
      <c r="R1595"/>
      <c r="S1595"/>
      <c r="T1595"/>
      <c r="U1595"/>
    </row>
    <row r="1596" spans="1:21">
      <c r="A1596"/>
      <c r="C1596"/>
      <c r="D1596"/>
      <c r="L1596"/>
      <c r="R1596"/>
      <c r="S1596"/>
      <c r="T1596"/>
      <c r="U1596"/>
    </row>
    <row r="1597" spans="1:21">
      <c r="A1597"/>
      <c r="C1597"/>
      <c r="D1597"/>
      <c r="L1597"/>
      <c r="R1597"/>
      <c r="S1597"/>
      <c r="T1597"/>
      <c r="U1597"/>
    </row>
    <row r="1598" spans="1:21">
      <c r="A1598"/>
      <c r="C1598"/>
      <c r="D1598"/>
      <c r="L1598"/>
      <c r="R1598"/>
      <c r="S1598"/>
      <c r="T1598"/>
      <c r="U1598"/>
    </row>
    <row r="1599" spans="1:21">
      <c r="A1599"/>
      <c r="C1599"/>
      <c r="D1599"/>
      <c r="L1599"/>
      <c r="R1599"/>
      <c r="S1599"/>
      <c r="T1599"/>
      <c r="U1599"/>
    </row>
    <row r="1600" spans="1:21">
      <c r="A1600"/>
      <c r="C1600"/>
      <c r="D1600"/>
      <c r="L1600"/>
      <c r="R1600"/>
      <c r="S1600"/>
      <c r="T1600"/>
      <c r="U1600"/>
    </row>
    <row r="1601" spans="1:21">
      <c r="A1601"/>
      <c r="C1601"/>
      <c r="D1601"/>
      <c r="L1601"/>
      <c r="R1601"/>
      <c r="S1601"/>
      <c r="T1601"/>
      <c r="U1601"/>
    </row>
    <row r="1602" spans="1:21">
      <c r="A1602"/>
      <c r="C1602"/>
      <c r="D1602"/>
      <c r="L1602"/>
      <c r="R1602"/>
      <c r="S1602"/>
      <c r="T1602"/>
      <c r="U1602"/>
    </row>
    <row r="1603" spans="1:21">
      <c r="A1603"/>
      <c r="C1603"/>
      <c r="D1603"/>
      <c r="L1603"/>
      <c r="R1603"/>
      <c r="S1603"/>
      <c r="T1603"/>
      <c r="U1603"/>
    </row>
    <row r="1604" spans="1:21">
      <c r="A1604"/>
      <c r="C1604"/>
      <c r="D1604"/>
      <c r="L1604"/>
      <c r="R1604"/>
      <c r="S1604"/>
      <c r="T1604"/>
      <c r="U1604"/>
    </row>
    <row r="1605" spans="1:21">
      <c r="A1605"/>
      <c r="C1605"/>
      <c r="D1605"/>
      <c r="L1605"/>
      <c r="R1605"/>
      <c r="S1605"/>
      <c r="T1605"/>
      <c r="U1605"/>
    </row>
    <row r="1606" spans="1:21">
      <c r="A1606"/>
      <c r="C1606"/>
      <c r="D1606"/>
      <c r="L1606"/>
      <c r="R1606"/>
      <c r="S1606"/>
      <c r="T1606"/>
      <c r="U1606"/>
    </row>
    <row r="1607" spans="1:21">
      <c r="A1607"/>
      <c r="C1607"/>
      <c r="D1607"/>
      <c r="L1607"/>
      <c r="R1607"/>
      <c r="S1607"/>
      <c r="T1607"/>
      <c r="U1607"/>
    </row>
    <row r="1608" spans="1:21">
      <c r="A1608"/>
      <c r="C1608"/>
      <c r="D1608"/>
      <c r="L1608"/>
      <c r="R1608"/>
      <c r="S1608"/>
      <c r="T1608"/>
      <c r="U1608"/>
    </row>
    <row r="1609" spans="1:21">
      <c r="A1609"/>
      <c r="C1609"/>
      <c r="D1609"/>
      <c r="L1609"/>
      <c r="R1609"/>
      <c r="S1609"/>
      <c r="T1609"/>
      <c r="U1609"/>
    </row>
    <row r="1610" spans="1:21">
      <c r="A1610"/>
      <c r="C1610"/>
      <c r="D1610"/>
      <c r="L1610"/>
      <c r="R1610"/>
      <c r="S1610"/>
      <c r="T1610"/>
      <c r="U1610"/>
    </row>
    <row r="1611" spans="1:21">
      <c r="A1611"/>
      <c r="C1611"/>
      <c r="D1611"/>
      <c r="L1611"/>
      <c r="R1611"/>
      <c r="S1611"/>
      <c r="T1611"/>
      <c r="U1611"/>
    </row>
    <row r="1612" spans="1:21">
      <c r="A1612"/>
      <c r="C1612"/>
      <c r="D1612"/>
      <c r="L1612"/>
      <c r="R1612"/>
      <c r="S1612"/>
      <c r="T1612"/>
      <c r="U1612"/>
    </row>
    <row r="1613" spans="1:21">
      <c r="A1613"/>
      <c r="C1613"/>
      <c r="D1613"/>
      <c r="L1613"/>
      <c r="R1613"/>
      <c r="S1613"/>
      <c r="T1613"/>
      <c r="U1613"/>
    </row>
    <row r="1614" spans="1:21">
      <c r="A1614"/>
      <c r="C1614"/>
      <c r="D1614"/>
      <c r="L1614"/>
      <c r="R1614"/>
      <c r="S1614"/>
      <c r="T1614"/>
      <c r="U1614"/>
    </row>
    <row r="1615" spans="1:21">
      <c r="A1615"/>
      <c r="C1615"/>
      <c r="D1615"/>
      <c r="L1615"/>
      <c r="R1615"/>
      <c r="S1615"/>
      <c r="T1615"/>
      <c r="U1615"/>
    </row>
    <row r="1616" spans="1:21">
      <c r="A1616"/>
      <c r="C1616"/>
      <c r="D1616"/>
      <c r="L1616"/>
      <c r="R1616"/>
      <c r="S1616"/>
      <c r="T1616"/>
      <c r="U1616"/>
    </row>
    <row r="1617" spans="1:21">
      <c r="A1617"/>
      <c r="C1617"/>
      <c r="D1617"/>
      <c r="L1617"/>
      <c r="R1617"/>
      <c r="S1617"/>
      <c r="T1617"/>
      <c r="U1617"/>
    </row>
    <row r="1618" spans="1:21">
      <c r="A1618"/>
      <c r="C1618"/>
      <c r="D1618"/>
      <c r="L1618"/>
      <c r="R1618"/>
      <c r="S1618"/>
      <c r="T1618"/>
      <c r="U1618"/>
    </row>
    <row r="1619" spans="1:21">
      <c r="A1619"/>
      <c r="C1619"/>
      <c r="D1619"/>
      <c r="L1619"/>
      <c r="R1619"/>
      <c r="S1619"/>
      <c r="T1619"/>
      <c r="U1619"/>
    </row>
    <row r="1620" spans="1:21">
      <c r="A1620"/>
      <c r="C1620"/>
      <c r="D1620"/>
      <c r="L1620"/>
      <c r="R1620"/>
      <c r="S1620"/>
      <c r="T1620"/>
      <c r="U1620"/>
    </row>
    <row r="1621" spans="1:21">
      <c r="A1621"/>
      <c r="C1621"/>
      <c r="D1621"/>
      <c r="L1621"/>
      <c r="R1621"/>
      <c r="S1621"/>
      <c r="T1621"/>
      <c r="U1621"/>
    </row>
    <row r="1622" spans="1:21">
      <c r="A1622"/>
      <c r="C1622"/>
      <c r="D1622"/>
      <c r="L1622"/>
      <c r="R1622"/>
      <c r="S1622"/>
      <c r="T1622"/>
      <c r="U1622"/>
    </row>
    <row r="1623" spans="1:21">
      <c r="A1623"/>
      <c r="C1623"/>
      <c r="D1623"/>
      <c r="L1623"/>
      <c r="R1623"/>
      <c r="S1623"/>
      <c r="T1623"/>
      <c r="U1623"/>
    </row>
    <row r="1624" spans="1:21">
      <c r="A1624"/>
      <c r="C1624"/>
      <c r="D1624"/>
      <c r="L1624"/>
      <c r="R1624"/>
      <c r="S1624"/>
      <c r="T1624"/>
      <c r="U1624"/>
    </row>
    <row r="1625" spans="1:21">
      <c r="A1625"/>
      <c r="C1625"/>
      <c r="D1625"/>
      <c r="L1625"/>
      <c r="R1625"/>
      <c r="S1625"/>
      <c r="T1625"/>
      <c r="U1625"/>
    </row>
    <row r="1626" spans="1:21">
      <c r="A1626"/>
      <c r="C1626"/>
      <c r="D1626"/>
      <c r="L1626"/>
      <c r="R1626"/>
      <c r="S1626"/>
      <c r="T1626"/>
      <c r="U1626"/>
    </row>
    <row r="1627" spans="1:21">
      <c r="A1627"/>
      <c r="C1627"/>
      <c r="D1627"/>
      <c r="L1627"/>
      <c r="R1627"/>
      <c r="S1627"/>
      <c r="T1627"/>
      <c r="U1627"/>
    </row>
    <row r="1628" spans="1:21">
      <c r="A1628"/>
      <c r="C1628"/>
      <c r="D1628"/>
      <c r="L1628"/>
      <c r="R1628"/>
      <c r="S1628"/>
      <c r="T1628"/>
      <c r="U1628"/>
    </row>
    <row r="1629" spans="1:21">
      <c r="A1629"/>
      <c r="C1629"/>
      <c r="D1629"/>
      <c r="L1629"/>
      <c r="R1629"/>
      <c r="S1629"/>
      <c r="T1629"/>
      <c r="U1629"/>
    </row>
    <row r="1630" spans="1:21">
      <c r="A1630"/>
      <c r="C1630"/>
      <c r="D1630"/>
      <c r="L1630"/>
      <c r="R1630"/>
      <c r="S1630"/>
      <c r="T1630"/>
      <c r="U1630"/>
    </row>
    <row r="1631" spans="1:21">
      <c r="A1631"/>
      <c r="C1631"/>
      <c r="D1631"/>
      <c r="L1631"/>
      <c r="R1631"/>
      <c r="S1631"/>
      <c r="T1631"/>
      <c r="U1631"/>
    </row>
    <row r="1632" spans="1:21">
      <c r="A1632"/>
      <c r="C1632"/>
      <c r="D1632"/>
      <c r="L1632"/>
      <c r="R1632"/>
      <c r="S1632"/>
      <c r="T1632"/>
      <c r="U1632"/>
    </row>
    <row r="1633" spans="1:21">
      <c r="A1633"/>
      <c r="C1633"/>
      <c r="D1633"/>
      <c r="L1633"/>
      <c r="R1633"/>
      <c r="S1633"/>
      <c r="T1633"/>
      <c r="U1633"/>
    </row>
    <row r="1634" spans="1:21">
      <c r="A1634"/>
      <c r="C1634"/>
      <c r="D1634"/>
      <c r="L1634"/>
      <c r="R1634"/>
      <c r="S1634"/>
      <c r="T1634"/>
      <c r="U1634"/>
    </row>
    <row r="1635" spans="1:21">
      <c r="A1635"/>
      <c r="C1635"/>
      <c r="D1635"/>
      <c r="L1635"/>
      <c r="R1635"/>
      <c r="S1635"/>
      <c r="T1635"/>
      <c r="U1635"/>
    </row>
    <row r="1636" spans="1:21">
      <c r="A1636"/>
      <c r="C1636"/>
      <c r="D1636"/>
      <c r="L1636"/>
      <c r="R1636"/>
      <c r="S1636"/>
      <c r="T1636"/>
      <c r="U1636"/>
    </row>
    <row r="1637" spans="1:21">
      <c r="A1637"/>
      <c r="C1637"/>
      <c r="D1637"/>
      <c r="L1637"/>
      <c r="R1637"/>
      <c r="S1637"/>
      <c r="T1637"/>
      <c r="U1637"/>
    </row>
    <row r="1638" spans="1:21">
      <c r="A1638"/>
      <c r="C1638"/>
      <c r="D1638"/>
      <c r="L1638"/>
      <c r="R1638"/>
      <c r="S1638"/>
      <c r="T1638"/>
      <c r="U1638"/>
    </row>
    <row r="1639" spans="1:21">
      <c r="A1639"/>
      <c r="C1639"/>
      <c r="D1639"/>
      <c r="L1639"/>
      <c r="R1639"/>
      <c r="S1639"/>
      <c r="T1639"/>
      <c r="U1639"/>
    </row>
    <row r="1640" spans="1:21">
      <c r="A1640"/>
      <c r="C1640"/>
      <c r="D1640"/>
      <c r="L1640"/>
      <c r="R1640"/>
      <c r="S1640"/>
      <c r="T1640"/>
      <c r="U1640"/>
    </row>
    <row r="1641" spans="1:21">
      <c r="A1641"/>
      <c r="C1641"/>
      <c r="D1641"/>
      <c r="L1641"/>
      <c r="R1641"/>
      <c r="S1641"/>
      <c r="T1641"/>
      <c r="U1641"/>
    </row>
    <row r="1642" spans="1:21">
      <c r="A1642"/>
      <c r="C1642"/>
      <c r="D1642"/>
      <c r="L1642"/>
      <c r="R1642"/>
      <c r="S1642"/>
      <c r="T1642"/>
      <c r="U1642"/>
    </row>
    <row r="1643" spans="1:21">
      <c r="A1643"/>
      <c r="C1643"/>
      <c r="D1643"/>
      <c r="L1643"/>
      <c r="R1643"/>
      <c r="S1643"/>
      <c r="T1643"/>
      <c r="U1643"/>
    </row>
    <row r="1644" spans="1:21">
      <c r="A1644"/>
      <c r="C1644"/>
      <c r="D1644"/>
      <c r="L1644"/>
      <c r="R1644"/>
      <c r="S1644"/>
      <c r="T1644"/>
      <c r="U1644"/>
    </row>
    <row r="1645" spans="1:21">
      <c r="A1645"/>
      <c r="C1645"/>
      <c r="D1645"/>
      <c r="L1645"/>
      <c r="R1645"/>
      <c r="S1645"/>
      <c r="T1645"/>
      <c r="U1645"/>
    </row>
    <row r="1646" spans="1:21">
      <c r="A1646"/>
      <c r="C1646"/>
      <c r="D1646"/>
      <c r="L1646"/>
      <c r="R1646"/>
      <c r="S1646"/>
      <c r="T1646"/>
      <c r="U1646"/>
    </row>
    <row r="1647" spans="1:21">
      <c r="A1647"/>
      <c r="C1647"/>
      <c r="D1647"/>
      <c r="L1647"/>
      <c r="R1647"/>
      <c r="S1647"/>
      <c r="T1647"/>
      <c r="U1647"/>
    </row>
    <row r="1648" spans="1:21">
      <c r="A1648"/>
      <c r="C1648"/>
      <c r="D1648"/>
      <c r="L1648"/>
      <c r="R1648"/>
      <c r="S1648"/>
      <c r="T1648"/>
      <c r="U1648"/>
    </row>
    <row r="1649" spans="1:21">
      <c r="A1649"/>
      <c r="C1649"/>
      <c r="D1649"/>
      <c r="L1649"/>
      <c r="R1649"/>
      <c r="S1649"/>
      <c r="T1649"/>
      <c r="U1649"/>
    </row>
    <row r="1650" spans="1:21">
      <c r="A1650"/>
      <c r="C1650"/>
      <c r="D1650"/>
      <c r="L1650"/>
      <c r="R1650"/>
      <c r="S1650"/>
      <c r="T1650"/>
      <c r="U1650"/>
    </row>
    <row r="1651" spans="1:21">
      <c r="A1651"/>
      <c r="C1651"/>
      <c r="D1651"/>
      <c r="L1651"/>
      <c r="R1651"/>
      <c r="S1651"/>
      <c r="T1651"/>
      <c r="U1651"/>
    </row>
    <row r="1652" spans="1:21">
      <c r="A1652"/>
      <c r="C1652"/>
      <c r="D1652"/>
      <c r="L1652"/>
      <c r="R1652"/>
      <c r="S1652"/>
      <c r="T1652"/>
      <c r="U1652"/>
    </row>
    <row r="1653" spans="1:21">
      <c r="A1653"/>
      <c r="C1653"/>
      <c r="D1653"/>
      <c r="L1653"/>
      <c r="R1653"/>
      <c r="S1653"/>
      <c r="T1653"/>
      <c r="U1653"/>
    </row>
    <row r="1654" spans="1:21">
      <c r="A1654"/>
      <c r="C1654"/>
      <c r="D1654"/>
      <c r="L1654"/>
      <c r="R1654"/>
      <c r="S1654"/>
      <c r="T1654"/>
      <c r="U1654"/>
    </row>
    <row r="1655" spans="1:21">
      <c r="A1655"/>
      <c r="C1655"/>
      <c r="D1655"/>
      <c r="L1655"/>
      <c r="R1655"/>
      <c r="S1655"/>
      <c r="T1655"/>
      <c r="U1655"/>
    </row>
    <row r="1656" spans="1:21">
      <c r="A1656"/>
      <c r="C1656"/>
      <c r="D1656"/>
      <c r="L1656"/>
      <c r="R1656"/>
      <c r="S1656"/>
      <c r="T1656"/>
      <c r="U1656"/>
    </row>
    <row r="1657" spans="1:21">
      <c r="A1657"/>
      <c r="C1657"/>
      <c r="D1657"/>
      <c r="L1657"/>
      <c r="R1657"/>
      <c r="S1657"/>
      <c r="T1657"/>
      <c r="U1657"/>
    </row>
    <row r="1658" spans="1:21">
      <c r="A1658"/>
      <c r="C1658"/>
      <c r="D1658"/>
      <c r="L1658"/>
      <c r="R1658"/>
      <c r="S1658"/>
      <c r="T1658"/>
      <c r="U1658"/>
    </row>
    <row r="1659" spans="1:21">
      <c r="A1659"/>
      <c r="C1659"/>
      <c r="D1659"/>
      <c r="L1659"/>
      <c r="R1659"/>
      <c r="S1659"/>
      <c r="T1659"/>
      <c r="U1659"/>
    </row>
    <row r="1660" spans="1:21">
      <c r="A1660"/>
      <c r="C1660"/>
      <c r="D1660"/>
      <c r="L1660"/>
      <c r="R1660"/>
      <c r="S1660"/>
      <c r="T1660"/>
      <c r="U1660"/>
    </row>
    <row r="1661" spans="1:21">
      <c r="A1661"/>
      <c r="C1661"/>
      <c r="D1661"/>
      <c r="L1661"/>
      <c r="R1661"/>
      <c r="S1661"/>
      <c r="T1661"/>
      <c r="U1661"/>
    </row>
    <row r="1662" spans="1:21">
      <c r="A1662"/>
      <c r="C1662"/>
      <c r="D1662"/>
      <c r="L1662"/>
      <c r="R1662"/>
      <c r="S1662"/>
      <c r="T1662"/>
      <c r="U1662"/>
    </row>
    <row r="1663" spans="1:21">
      <c r="A1663"/>
      <c r="C1663"/>
      <c r="D1663"/>
      <c r="L1663"/>
      <c r="R1663"/>
      <c r="S1663"/>
      <c r="T1663"/>
      <c r="U1663"/>
    </row>
    <row r="1664" spans="1:21">
      <c r="A1664"/>
      <c r="C1664"/>
      <c r="D1664"/>
      <c r="L1664"/>
      <c r="R1664"/>
      <c r="S1664"/>
      <c r="T1664"/>
      <c r="U1664"/>
    </row>
    <row r="1665" spans="1:21">
      <c r="A1665"/>
      <c r="C1665"/>
      <c r="D1665"/>
      <c r="L1665"/>
      <c r="R1665"/>
      <c r="S1665"/>
      <c r="T1665"/>
      <c r="U1665"/>
    </row>
    <row r="1666" spans="1:21">
      <c r="A1666"/>
      <c r="C1666"/>
      <c r="D1666"/>
      <c r="L1666"/>
      <c r="R1666"/>
      <c r="S1666"/>
      <c r="T1666"/>
      <c r="U1666"/>
    </row>
    <row r="1667" spans="1:21">
      <c r="A1667"/>
      <c r="C1667"/>
      <c r="D1667"/>
      <c r="L1667"/>
      <c r="R1667"/>
      <c r="S1667"/>
      <c r="T1667"/>
      <c r="U1667"/>
    </row>
    <row r="1668" spans="1:21">
      <c r="A1668"/>
      <c r="C1668"/>
      <c r="D1668"/>
      <c r="L1668"/>
      <c r="R1668"/>
      <c r="S1668"/>
      <c r="T1668"/>
      <c r="U1668"/>
    </row>
    <row r="1669" spans="1:21">
      <c r="A1669"/>
      <c r="C1669"/>
      <c r="D1669"/>
      <c r="L1669"/>
      <c r="R1669"/>
      <c r="S1669"/>
      <c r="T1669"/>
      <c r="U1669"/>
    </row>
    <row r="1670" spans="1:21">
      <c r="A1670"/>
      <c r="C1670"/>
      <c r="D1670"/>
      <c r="L1670"/>
      <c r="R1670"/>
      <c r="S1670"/>
      <c r="T1670"/>
      <c r="U1670"/>
    </row>
    <row r="1671" spans="1:21">
      <c r="A1671"/>
      <c r="C1671"/>
      <c r="D1671"/>
      <c r="L1671"/>
      <c r="R1671"/>
      <c r="S1671"/>
      <c r="T1671"/>
      <c r="U1671"/>
    </row>
    <row r="1672" spans="1:21">
      <c r="A1672"/>
      <c r="C1672"/>
      <c r="D1672"/>
      <c r="L1672"/>
      <c r="R1672"/>
      <c r="S1672"/>
      <c r="T1672"/>
      <c r="U1672"/>
    </row>
    <row r="1673" spans="1:21">
      <c r="A1673"/>
      <c r="C1673"/>
      <c r="D1673"/>
      <c r="L1673"/>
      <c r="R1673"/>
      <c r="S1673"/>
      <c r="T1673"/>
      <c r="U1673"/>
    </row>
    <row r="1674" spans="1:21">
      <c r="A1674"/>
      <c r="C1674"/>
      <c r="D1674"/>
      <c r="L1674"/>
      <c r="R1674"/>
      <c r="S1674"/>
      <c r="T1674"/>
      <c r="U1674"/>
    </row>
    <row r="1675" spans="1:21">
      <c r="A1675"/>
      <c r="C1675"/>
      <c r="D1675"/>
      <c r="L1675"/>
      <c r="R1675"/>
      <c r="S1675"/>
      <c r="T1675"/>
      <c r="U1675"/>
    </row>
    <row r="1676" spans="1:21">
      <c r="A1676"/>
      <c r="C1676"/>
      <c r="D1676"/>
      <c r="L1676"/>
      <c r="R1676"/>
      <c r="S1676"/>
      <c r="T1676"/>
      <c r="U1676"/>
    </row>
    <row r="1677" spans="1:21">
      <c r="A1677"/>
      <c r="C1677"/>
      <c r="D1677"/>
      <c r="L1677"/>
      <c r="R1677"/>
      <c r="S1677"/>
      <c r="T1677"/>
      <c r="U1677"/>
    </row>
    <row r="1678" spans="1:21">
      <c r="A1678"/>
      <c r="C1678"/>
      <c r="D1678"/>
      <c r="L1678"/>
      <c r="R1678"/>
      <c r="S1678"/>
      <c r="T1678"/>
      <c r="U1678"/>
    </row>
    <row r="1679" spans="1:21">
      <c r="A1679"/>
      <c r="C1679"/>
      <c r="D1679"/>
      <c r="L1679"/>
      <c r="R1679"/>
      <c r="S1679"/>
      <c r="T1679"/>
      <c r="U1679"/>
    </row>
    <row r="1680" spans="1:21">
      <c r="A1680"/>
      <c r="C1680"/>
      <c r="D1680"/>
      <c r="L1680"/>
      <c r="R1680"/>
      <c r="S1680"/>
      <c r="T1680"/>
      <c r="U1680"/>
    </row>
    <row r="1681" spans="1:21">
      <c r="A1681"/>
      <c r="C1681"/>
      <c r="D1681"/>
      <c r="L1681"/>
      <c r="R1681"/>
      <c r="S1681"/>
      <c r="T1681"/>
      <c r="U1681"/>
    </row>
    <row r="1682" spans="1:21">
      <c r="A1682"/>
      <c r="C1682"/>
      <c r="D1682"/>
      <c r="L1682"/>
      <c r="R1682"/>
      <c r="S1682"/>
      <c r="T1682"/>
      <c r="U1682"/>
    </row>
    <row r="1683" spans="1:21">
      <c r="A1683"/>
      <c r="C1683"/>
      <c r="D1683"/>
      <c r="L1683"/>
      <c r="R1683"/>
      <c r="S1683"/>
      <c r="T1683"/>
      <c r="U1683"/>
    </row>
    <row r="1684" spans="1:21">
      <c r="A1684"/>
      <c r="C1684"/>
      <c r="D1684"/>
      <c r="L1684"/>
      <c r="R1684"/>
      <c r="S1684"/>
      <c r="T1684"/>
      <c r="U1684"/>
    </row>
    <row r="1685" spans="1:21">
      <c r="A1685"/>
      <c r="C1685"/>
      <c r="D1685"/>
      <c r="L1685"/>
      <c r="R1685"/>
      <c r="S1685"/>
      <c r="T1685"/>
      <c r="U1685"/>
    </row>
    <row r="1686" spans="1:21">
      <c r="A1686"/>
      <c r="C1686"/>
      <c r="D1686"/>
      <c r="L1686"/>
      <c r="R1686"/>
      <c r="S1686"/>
      <c r="T1686"/>
      <c r="U1686"/>
    </row>
    <row r="1687" spans="1:21">
      <c r="A1687"/>
      <c r="C1687"/>
      <c r="D1687"/>
      <c r="L1687"/>
      <c r="R1687"/>
      <c r="S1687"/>
      <c r="T1687"/>
      <c r="U1687"/>
    </row>
    <row r="1688" spans="1:21">
      <c r="A1688"/>
      <c r="C1688"/>
      <c r="D1688"/>
      <c r="L1688"/>
      <c r="R1688"/>
      <c r="S1688"/>
      <c r="T1688"/>
      <c r="U1688"/>
    </row>
    <row r="1689" spans="1:21">
      <c r="A1689"/>
      <c r="C1689"/>
      <c r="D1689"/>
      <c r="L1689"/>
      <c r="R1689"/>
      <c r="S1689"/>
      <c r="T1689"/>
      <c r="U1689"/>
    </row>
    <row r="1690" spans="1:21">
      <c r="A1690"/>
      <c r="C1690"/>
      <c r="D1690"/>
      <c r="L1690"/>
      <c r="R1690"/>
      <c r="S1690"/>
      <c r="T1690"/>
      <c r="U1690"/>
    </row>
    <row r="1691" spans="1:21">
      <c r="A1691"/>
      <c r="C1691"/>
      <c r="D1691"/>
      <c r="L1691"/>
      <c r="R1691"/>
      <c r="S1691"/>
      <c r="T1691"/>
      <c r="U1691"/>
    </row>
    <row r="1692" spans="1:21">
      <c r="A1692"/>
      <c r="C1692"/>
      <c r="D1692"/>
      <c r="L1692"/>
      <c r="R1692"/>
      <c r="S1692"/>
      <c r="T1692"/>
      <c r="U1692"/>
    </row>
    <row r="1693" spans="1:21">
      <c r="A1693"/>
      <c r="C1693"/>
      <c r="D1693"/>
      <c r="L1693"/>
      <c r="R1693"/>
      <c r="S1693"/>
      <c r="T1693"/>
      <c r="U1693"/>
    </row>
    <row r="1694" spans="1:21">
      <c r="A1694"/>
      <c r="C1694"/>
      <c r="D1694"/>
      <c r="L1694"/>
      <c r="R1694"/>
      <c r="S1694"/>
      <c r="T1694"/>
      <c r="U1694"/>
    </row>
    <row r="1695" spans="1:21">
      <c r="A1695"/>
      <c r="C1695"/>
      <c r="D1695"/>
      <c r="L1695"/>
      <c r="R1695"/>
      <c r="S1695"/>
      <c r="T1695"/>
      <c r="U1695"/>
    </row>
    <row r="1696" spans="1:21">
      <c r="A1696"/>
      <c r="C1696"/>
      <c r="D1696"/>
      <c r="L1696"/>
      <c r="R1696"/>
      <c r="S1696"/>
      <c r="T1696"/>
      <c r="U1696"/>
    </row>
    <row r="1697" spans="1:21">
      <c r="A1697"/>
      <c r="C1697"/>
      <c r="D1697"/>
      <c r="L1697"/>
      <c r="R1697"/>
      <c r="S1697"/>
      <c r="T1697"/>
      <c r="U1697"/>
    </row>
    <row r="1698" spans="1:21">
      <c r="A1698"/>
      <c r="C1698"/>
      <c r="D1698"/>
      <c r="L1698"/>
      <c r="R1698"/>
      <c r="S1698"/>
      <c r="T1698"/>
      <c r="U1698"/>
    </row>
    <row r="1699" spans="1:21">
      <c r="A1699"/>
      <c r="C1699"/>
      <c r="D1699"/>
      <c r="L1699"/>
      <c r="R1699"/>
      <c r="S1699"/>
      <c r="T1699"/>
      <c r="U1699"/>
    </row>
    <row r="1700" spans="1:21">
      <c r="A1700"/>
      <c r="C1700"/>
      <c r="D1700"/>
      <c r="L1700"/>
      <c r="R1700"/>
      <c r="S1700"/>
      <c r="T1700"/>
      <c r="U1700"/>
    </row>
    <row r="1701" spans="1:21">
      <c r="A1701"/>
      <c r="C1701"/>
      <c r="D1701"/>
      <c r="L1701"/>
      <c r="R1701"/>
      <c r="S1701"/>
      <c r="T1701"/>
      <c r="U1701"/>
    </row>
    <row r="1702" spans="1:21">
      <c r="A1702"/>
      <c r="C1702"/>
      <c r="D1702"/>
      <c r="L1702"/>
      <c r="R1702"/>
      <c r="S1702"/>
      <c r="T1702"/>
      <c r="U1702"/>
    </row>
    <row r="1703" spans="1:21">
      <c r="A1703"/>
      <c r="C1703"/>
      <c r="D1703"/>
      <c r="L1703"/>
      <c r="R1703"/>
      <c r="S1703"/>
      <c r="T1703"/>
      <c r="U1703"/>
    </row>
    <row r="1704" spans="1:21">
      <c r="A1704"/>
      <c r="C1704"/>
      <c r="D1704"/>
      <c r="L1704"/>
      <c r="R1704"/>
      <c r="S1704"/>
      <c r="T1704"/>
      <c r="U1704"/>
    </row>
    <row r="1705" spans="1:21">
      <c r="A1705"/>
      <c r="C1705"/>
      <c r="D1705"/>
      <c r="L1705"/>
      <c r="R1705"/>
      <c r="S1705"/>
      <c r="T1705"/>
      <c r="U1705"/>
    </row>
    <row r="1706" spans="1:21">
      <c r="A1706"/>
      <c r="C1706"/>
      <c r="D1706"/>
      <c r="L1706"/>
      <c r="R1706"/>
      <c r="S1706"/>
      <c r="T1706"/>
      <c r="U1706"/>
    </row>
    <row r="1707" spans="1:21">
      <c r="A1707"/>
      <c r="C1707"/>
      <c r="D1707"/>
      <c r="L1707"/>
      <c r="R1707"/>
      <c r="S1707"/>
      <c r="T1707"/>
      <c r="U1707"/>
    </row>
    <row r="1708" spans="1:21">
      <c r="A1708"/>
      <c r="C1708"/>
      <c r="D1708"/>
      <c r="L1708"/>
      <c r="R1708"/>
      <c r="S1708"/>
      <c r="T1708"/>
      <c r="U1708"/>
    </row>
    <row r="1709" spans="1:21">
      <c r="A1709"/>
      <c r="C1709"/>
      <c r="D1709"/>
      <c r="L1709"/>
      <c r="R1709"/>
      <c r="S1709"/>
      <c r="T1709"/>
      <c r="U1709"/>
    </row>
    <row r="1710" spans="1:21">
      <c r="A1710"/>
      <c r="C1710"/>
      <c r="D1710"/>
      <c r="L1710"/>
      <c r="R1710"/>
      <c r="S1710"/>
      <c r="T1710"/>
      <c r="U1710"/>
    </row>
    <row r="1711" spans="1:21">
      <c r="A1711"/>
      <c r="C1711"/>
      <c r="D1711"/>
      <c r="L1711"/>
      <c r="R1711"/>
      <c r="S1711"/>
      <c r="T1711"/>
      <c r="U1711"/>
    </row>
    <row r="1712" spans="1:21">
      <c r="A1712"/>
      <c r="C1712"/>
      <c r="D1712"/>
      <c r="L1712"/>
      <c r="R1712"/>
      <c r="S1712"/>
      <c r="T1712"/>
      <c r="U1712"/>
    </row>
    <row r="1713" spans="1:21">
      <c r="A1713"/>
      <c r="C1713"/>
      <c r="D1713"/>
      <c r="L1713"/>
      <c r="R1713"/>
      <c r="S1713"/>
      <c r="T1713"/>
      <c r="U1713"/>
    </row>
    <row r="1714" spans="1:21">
      <c r="A1714"/>
      <c r="C1714"/>
      <c r="D1714"/>
      <c r="L1714"/>
      <c r="R1714"/>
      <c r="S1714"/>
      <c r="T1714"/>
      <c r="U1714"/>
    </row>
    <row r="1715" spans="1:21">
      <c r="A1715"/>
      <c r="C1715"/>
      <c r="D1715"/>
      <c r="L1715"/>
      <c r="R1715"/>
      <c r="S1715"/>
      <c r="T1715"/>
      <c r="U1715"/>
    </row>
    <row r="1716" spans="1:21">
      <c r="A1716"/>
      <c r="C1716"/>
      <c r="D1716"/>
      <c r="L1716"/>
      <c r="R1716"/>
      <c r="S1716"/>
      <c r="T1716"/>
      <c r="U1716"/>
    </row>
    <row r="1717" spans="1:21">
      <c r="A1717"/>
      <c r="C1717"/>
      <c r="D1717"/>
      <c r="L1717"/>
      <c r="R1717"/>
      <c r="S1717"/>
      <c r="T1717"/>
      <c r="U1717"/>
    </row>
    <row r="1718" spans="1:21">
      <c r="A1718"/>
      <c r="C1718"/>
      <c r="D1718"/>
      <c r="L1718"/>
      <c r="R1718"/>
      <c r="S1718"/>
      <c r="T1718"/>
      <c r="U1718"/>
    </row>
    <row r="1719" spans="1:21">
      <c r="A1719"/>
      <c r="C1719"/>
      <c r="D1719"/>
      <c r="L1719"/>
      <c r="R1719"/>
      <c r="S1719"/>
      <c r="T1719"/>
      <c r="U1719"/>
    </row>
    <row r="1720" spans="1:21">
      <c r="A1720"/>
      <c r="C1720"/>
      <c r="D1720"/>
      <c r="L1720"/>
      <c r="R1720"/>
      <c r="S1720"/>
      <c r="T1720"/>
      <c r="U1720"/>
    </row>
    <row r="1721" spans="1:21">
      <c r="A1721"/>
      <c r="C1721"/>
      <c r="D1721"/>
      <c r="L1721"/>
      <c r="R1721"/>
      <c r="S1721"/>
      <c r="T1721"/>
      <c r="U1721"/>
    </row>
    <row r="1722" spans="1:21">
      <c r="A1722"/>
      <c r="C1722"/>
      <c r="D1722"/>
      <c r="L1722"/>
      <c r="R1722"/>
      <c r="S1722"/>
      <c r="T1722"/>
      <c r="U1722"/>
    </row>
    <row r="1723" spans="1:21">
      <c r="A1723"/>
      <c r="C1723"/>
      <c r="D1723"/>
      <c r="L1723"/>
      <c r="R1723"/>
      <c r="S1723"/>
      <c r="T1723"/>
      <c r="U1723"/>
    </row>
    <row r="1724" spans="1:21">
      <c r="A1724"/>
      <c r="C1724"/>
      <c r="D1724"/>
      <c r="L1724"/>
      <c r="R1724"/>
      <c r="S1724"/>
      <c r="T1724"/>
      <c r="U1724"/>
    </row>
    <row r="1725" spans="1:21">
      <c r="A1725"/>
      <c r="C1725"/>
      <c r="D1725"/>
      <c r="L1725"/>
      <c r="R1725"/>
      <c r="S1725"/>
      <c r="T1725"/>
      <c r="U1725"/>
    </row>
    <row r="1726" spans="1:21">
      <c r="A1726"/>
      <c r="C1726"/>
      <c r="D1726"/>
      <c r="L1726"/>
      <c r="R1726"/>
      <c r="S1726"/>
      <c r="T1726"/>
      <c r="U1726"/>
    </row>
    <row r="1727" spans="1:21">
      <c r="A1727"/>
      <c r="C1727"/>
      <c r="D1727"/>
      <c r="L1727"/>
      <c r="R1727"/>
      <c r="S1727"/>
      <c r="T1727"/>
      <c r="U1727"/>
    </row>
    <row r="1728" spans="1:21">
      <c r="A1728"/>
      <c r="C1728"/>
      <c r="D1728"/>
      <c r="L1728"/>
      <c r="R1728"/>
      <c r="S1728"/>
      <c r="T1728"/>
      <c r="U1728"/>
    </row>
    <row r="1729" spans="1:21">
      <c r="A1729"/>
      <c r="C1729"/>
      <c r="D1729"/>
      <c r="L1729"/>
      <c r="R1729"/>
      <c r="S1729"/>
      <c r="T1729"/>
      <c r="U1729"/>
    </row>
    <row r="1730" spans="1:21">
      <c r="A1730"/>
      <c r="C1730"/>
      <c r="D1730"/>
      <c r="L1730"/>
      <c r="R1730"/>
      <c r="S1730"/>
      <c r="T1730"/>
      <c r="U1730"/>
    </row>
    <row r="1731" spans="1:21">
      <c r="A1731"/>
      <c r="C1731"/>
      <c r="D1731"/>
      <c r="L1731"/>
      <c r="R1731"/>
      <c r="S1731"/>
      <c r="T1731"/>
      <c r="U1731"/>
    </row>
    <row r="1732" spans="1:21">
      <c r="A1732"/>
      <c r="C1732"/>
      <c r="D1732"/>
      <c r="L1732"/>
      <c r="R1732"/>
      <c r="S1732"/>
      <c r="T1732"/>
      <c r="U1732"/>
    </row>
    <row r="1733" spans="1:21">
      <c r="A1733"/>
      <c r="C1733"/>
      <c r="D1733"/>
      <c r="L1733"/>
      <c r="R1733"/>
      <c r="S1733"/>
      <c r="T1733"/>
      <c r="U1733"/>
    </row>
    <row r="1734" spans="1:21">
      <c r="A1734"/>
      <c r="C1734"/>
      <c r="D1734"/>
      <c r="L1734"/>
      <c r="R1734"/>
      <c r="S1734"/>
      <c r="T1734"/>
      <c r="U1734"/>
    </row>
    <row r="1735" spans="1:21">
      <c r="A1735"/>
      <c r="C1735"/>
      <c r="D1735"/>
      <c r="L1735"/>
      <c r="R1735"/>
      <c r="S1735"/>
      <c r="T1735"/>
      <c r="U1735"/>
    </row>
    <row r="1736" spans="1:21">
      <c r="A1736"/>
      <c r="C1736"/>
      <c r="D1736"/>
      <c r="L1736"/>
      <c r="R1736"/>
      <c r="S1736"/>
      <c r="T1736"/>
      <c r="U1736"/>
    </row>
    <row r="1737" spans="1:21">
      <c r="A1737"/>
      <c r="C1737"/>
      <c r="D1737"/>
      <c r="L1737"/>
      <c r="R1737"/>
      <c r="S1737"/>
      <c r="T1737"/>
      <c r="U1737"/>
    </row>
    <row r="1738" spans="1:21">
      <c r="A1738"/>
      <c r="C1738"/>
      <c r="D1738"/>
      <c r="L1738"/>
      <c r="R1738"/>
      <c r="S1738"/>
      <c r="T1738"/>
      <c r="U1738"/>
    </row>
    <row r="1739" spans="1:21">
      <c r="A1739"/>
      <c r="C1739"/>
      <c r="D1739"/>
      <c r="L1739"/>
      <c r="R1739"/>
      <c r="S1739"/>
      <c r="T1739"/>
      <c r="U1739"/>
    </row>
    <row r="1740" spans="1:21">
      <c r="A1740"/>
      <c r="C1740"/>
      <c r="D1740"/>
      <c r="L1740"/>
      <c r="R1740"/>
      <c r="S1740"/>
      <c r="T1740"/>
      <c r="U1740"/>
    </row>
    <row r="1741" spans="1:21">
      <c r="A1741"/>
      <c r="C1741"/>
      <c r="D1741"/>
      <c r="L1741"/>
      <c r="R1741"/>
      <c r="S1741"/>
      <c r="T1741"/>
      <c r="U1741"/>
    </row>
    <row r="1742" spans="1:21">
      <c r="A1742"/>
      <c r="C1742"/>
      <c r="D1742"/>
      <c r="L1742"/>
      <c r="R1742"/>
      <c r="S1742"/>
      <c r="T1742"/>
      <c r="U1742"/>
    </row>
    <row r="1743" spans="1:21">
      <c r="A1743"/>
      <c r="C1743"/>
      <c r="D1743"/>
      <c r="L1743"/>
      <c r="R1743"/>
      <c r="S1743"/>
      <c r="T1743"/>
      <c r="U1743"/>
    </row>
    <row r="1744" spans="1:21">
      <c r="A1744"/>
      <c r="C1744"/>
      <c r="D1744"/>
      <c r="L1744"/>
      <c r="R1744"/>
      <c r="S1744"/>
      <c r="T1744"/>
      <c r="U1744"/>
    </row>
    <row r="1745" spans="1:21">
      <c r="A1745"/>
      <c r="C1745"/>
      <c r="D1745"/>
      <c r="L1745"/>
      <c r="R1745"/>
      <c r="S1745"/>
      <c r="T1745"/>
      <c r="U1745"/>
    </row>
    <row r="1746" spans="1:21">
      <c r="A1746"/>
      <c r="C1746"/>
      <c r="D1746"/>
      <c r="L1746"/>
      <c r="R1746"/>
      <c r="S1746"/>
      <c r="T1746"/>
      <c r="U1746"/>
    </row>
    <row r="1747" spans="1:21">
      <c r="A1747"/>
      <c r="C1747"/>
      <c r="D1747"/>
      <c r="L1747"/>
      <c r="R1747"/>
      <c r="S1747"/>
      <c r="T1747"/>
      <c r="U1747"/>
    </row>
    <row r="1748" spans="1:21">
      <c r="A1748"/>
      <c r="C1748"/>
      <c r="D1748"/>
      <c r="L1748"/>
      <c r="R1748"/>
      <c r="S1748"/>
      <c r="T1748"/>
      <c r="U1748"/>
    </row>
    <row r="1749" spans="1:21">
      <c r="A1749"/>
      <c r="C1749"/>
      <c r="D1749"/>
      <c r="L1749"/>
      <c r="R1749"/>
      <c r="S1749"/>
      <c r="T1749"/>
      <c r="U1749"/>
    </row>
    <row r="1750" spans="1:21">
      <c r="A1750"/>
      <c r="C1750"/>
      <c r="D1750"/>
      <c r="L1750"/>
      <c r="R1750"/>
      <c r="S1750"/>
      <c r="T1750"/>
      <c r="U1750"/>
    </row>
    <row r="1751" spans="1:21">
      <c r="A1751"/>
      <c r="C1751"/>
      <c r="D1751"/>
      <c r="L1751"/>
      <c r="R1751"/>
      <c r="S1751"/>
      <c r="T1751"/>
      <c r="U1751"/>
    </row>
    <row r="1752" spans="1:21">
      <c r="A1752"/>
      <c r="C1752"/>
      <c r="D1752"/>
      <c r="L1752"/>
      <c r="R1752"/>
      <c r="S1752"/>
      <c r="T1752"/>
      <c r="U1752"/>
    </row>
    <row r="1753" spans="1:21">
      <c r="A1753"/>
      <c r="C1753"/>
      <c r="D1753"/>
      <c r="L1753"/>
      <c r="R1753"/>
      <c r="S1753"/>
      <c r="T1753"/>
      <c r="U1753"/>
    </row>
    <row r="1754" spans="1:21">
      <c r="A1754"/>
      <c r="C1754"/>
      <c r="D1754"/>
      <c r="L1754"/>
      <c r="R1754"/>
      <c r="S1754"/>
      <c r="T1754"/>
      <c r="U1754"/>
    </row>
    <row r="1755" spans="1:21">
      <c r="A1755"/>
      <c r="C1755"/>
      <c r="D1755"/>
      <c r="L1755"/>
      <c r="R1755"/>
      <c r="S1755"/>
      <c r="T1755"/>
      <c r="U1755"/>
    </row>
    <row r="1756" spans="1:21">
      <c r="A1756"/>
      <c r="C1756"/>
      <c r="D1756"/>
      <c r="L1756"/>
      <c r="R1756"/>
      <c r="S1756"/>
      <c r="T1756"/>
      <c r="U1756"/>
    </row>
    <row r="1757" spans="1:21">
      <c r="A1757"/>
      <c r="C1757"/>
      <c r="D1757"/>
      <c r="L1757"/>
      <c r="R1757"/>
      <c r="S1757"/>
      <c r="T1757"/>
      <c r="U1757"/>
    </row>
    <row r="1758" spans="1:21">
      <c r="A1758"/>
      <c r="C1758"/>
      <c r="D1758"/>
      <c r="L1758"/>
      <c r="R1758"/>
      <c r="S1758"/>
      <c r="T1758"/>
      <c r="U1758"/>
    </row>
    <row r="1759" spans="1:21">
      <c r="A1759"/>
      <c r="C1759"/>
      <c r="D1759"/>
      <c r="L1759"/>
      <c r="R1759"/>
      <c r="S1759"/>
      <c r="T1759"/>
      <c r="U1759"/>
    </row>
    <row r="1760" spans="1:21">
      <c r="A1760"/>
      <c r="C1760"/>
      <c r="D1760"/>
      <c r="L1760"/>
      <c r="R1760"/>
      <c r="S1760"/>
      <c r="T1760"/>
      <c r="U1760"/>
    </row>
    <row r="1761" spans="1:21">
      <c r="A1761"/>
      <c r="C1761"/>
      <c r="D1761"/>
      <c r="L1761"/>
      <c r="R1761"/>
      <c r="S1761"/>
      <c r="T1761"/>
      <c r="U1761"/>
    </row>
    <row r="1762" spans="1:21">
      <c r="A1762"/>
      <c r="C1762"/>
      <c r="D1762"/>
      <c r="L1762"/>
      <c r="R1762"/>
      <c r="S1762"/>
      <c r="T1762"/>
      <c r="U1762"/>
    </row>
    <row r="1763" spans="1:21">
      <c r="A1763"/>
      <c r="C1763"/>
      <c r="D1763"/>
      <c r="L1763"/>
      <c r="R1763"/>
      <c r="S1763"/>
      <c r="T1763"/>
      <c r="U1763"/>
    </row>
    <row r="1764" spans="1:21">
      <c r="A1764"/>
      <c r="C1764"/>
      <c r="D1764"/>
      <c r="L1764"/>
      <c r="R1764"/>
      <c r="S1764"/>
      <c r="T1764"/>
      <c r="U1764"/>
    </row>
    <row r="1765" spans="1:21">
      <c r="A1765"/>
      <c r="C1765"/>
      <c r="D1765"/>
      <c r="L1765"/>
      <c r="R1765"/>
      <c r="S1765"/>
      <c r="T1765"/>
      <c r="U1765"/>
    </row>
    <row r="1766" spans="1:21">
      <c r="A1766"/>
      <c r="C1766"/>
      <c r="D1766"/>
      <c r="L1766"/>
      <c r="R1766"/>
      <c r="S1766"/>
      <c r="T1766"/>
      <c r="U1766"/>
    </row>
    <row r="1767" spans="1:21">
      <c r="A1767"/>
      <c r="C1767"/>
      <c r="D1767"/>
      <c r="L1767"/>
      <c r="R1767"/>
      <c r="S1767"/>
      <c r="T1767"/>
      <c r="U1767"/>
    </row>
    <row r="1768" spans="1:21">
      <c r="A1768"/>
      <c r="C1768"/>
      <c r="D1768"/>
      <c r="L1768"/>
      <c r="R1768"/>
      <c r="S1768"/>
      <c r="T1768"/>
      <c r="U1768"/>
    </row>
    <row r="1769" spans="1:21">
      <c r="A1769"/>
      <c r="C1769"/>
      <c r="D1769"/>
      <c r="L1769"/>
      <c r="R1769"/>
      <c r="S1769"/>
      <c r="T1769"/>
      <c r="U1769"/>
    </row>
    <row r="1770" spans="1:21">
      <c r="A1770"/>
      <c r="C1770"/>
      <c r="D1770"/>
      <c r="L1770"/>
      <c r="R1770"/>
      <c r="S1770"/>
      <c r="T1770"/>
      <c r="U1770"/>
    </row>
    <row r="1771" spans="1:21">
      <c r="A1771"/>
      <c r="C1771"/>
      <c r="D1771"/>
      <c r="L1771"/>
      <c r="R1771"/>
      <c r="S1771"/>
      <c r="T1771"/>
      <c r="U1771"/>
    </row>
    <row r="1772" spans="1:21">
      <c r="A1772"/>
      <c r="C1772"/>
      <c r="D1772"/>
      <c r="L1772"/>
      <c r="R1772"/>
      <c r="S1772"/>
      <c r="T1772"/>
      <c r="U1772"/>
    </row>
    <row r="1773" spans="1:21">
      <c r="A1773"/>
      <c r="C1773"/>
      <c r="D1773"/>
      <c r="L1773"/>
      <c r="R1773"/>
      <c r="S1773"/>
      <c r="T1773"/>
      <c r="U1773"/>
    </row>
    <row r="1774" spans="1:21">
      <c r="A1774"/>
      <c r="C1774"/>
      <c r="D1774"/>
      <c r="L1774"/>
      <c r="R1774"/>
      <c r="S1774"/>
      <c r="T1774"/>
      <c r="U1774"/>
    </row>
    <row r="1775" spans="1:21">
      <c r="A1775"/>
      <c r="C1775"/>
      <c r="D1775"/>
      <c r="L1775"/>
      <c r="R1775"/>
      <c r="S1775"/>
      <c r="T1775"/>
      <c r="U1775"/>
    </row>
    <row r="1776" spans="1:21">
      <c r="A1776"/>
      <c r="C1776"/>
      <c r="D1776"/>
      <c r="L1776"/>
      <c r="R1776"/>
      <c r="S1776"/>
      <c r="T1776"/>
      <c r="U1776"/>
    </row>
    <row r="1777" spans="1:21">
      <c r="A1777"/>
      <c r="C1777"/>
      <c r="D1777"/>
      <c r="L1777"/>
      <c r="R1777"/>
      <c r="S1777"/>
      <c r="T1777"/>
      <c r="U1777"/>
    </row>
    <row r="1778" spans="1:21">
      <c r="A1778"/>
      <c r="C1778"/>
      <c r="D1778"/>
      <c r="L1778"/>
      <c r="R1778"/>
      <c r="S1778"/>
      <c r="T1778"/>
      <c r="U1778"/>
    </row>
    <row r="1779" spans="1:21">
      <c r="A1779"/>
      <c r="C1779"/>
      <c r="D1779"/>
      <c r="L1779"/>
      <c r="R1779"/>
      <c r="S1779"/>
      <c r="T1779"/>
      <c r="U1779"/>
    </row>
    <row r="1780" spans="1:21">
      <c r="A1780"/>
      <c r="C1780"/>
      <c r="D1780"/>
      <c r="L1780"/>
      <c r="R1780"/>
      <c r="S1780"/>
      <c r="T1780"/>
      <c r="U1780"/>
    </row>
    <row r="1781" spans="1:21">
      <c r="A1781"/>
      <c r="C1781"/>
      <c r="D1781"/>
      <c r="L1781"/>
      <c r="R1781"/>
      <c r="S1781"/>
      <c r="T1781"/>
      <c r="U1781"/>
    </row>
    <row r="1782" spans="1:21">
      <c r="A1782"/>
      <c r="C1782"/>
      <c r="D1782"/>
      <c r="L1782"/>
      <c r="R1782"/>
      <c r="S1782"/>
      <c r="T1782"/>
      <c r="U1782"/>
    </row>
    <row r="1783" spans="1:21">
      <c r="A1783"/>
      <c r="C1783"/>
      <c r="D1783"/>
      <c r="L1783"/>
      <c r="R1783"/>
      <c r="S1783"/>
      <c r="T1783"/>
      <c r="U1783"/>
    </row>
    <row r="1784" spans="1:21">
      <c r="A1784"/>
      <c r="C1784"/>
      <c r="D1784"/>
      <c r="L1784"/>
      <c r="R1784"/>
      <c r="S1784"/>
      <c r="T1784"/>
      <c r="U1784"/>
    </row>
    <row r="1785" spans="1:21">
      <c r="A1785"/>
      <c r="C1785"/>
      <c r="D1785"/>
      <c r="L1785"/>
      <c r="R1785"/>
      <c r="S1785"/>
      <c r="T1785"/>
      <c r="U1785"/>
    </row>
    <row r="1786" spans="1:21">
      <c r="A1786"/>
      <c r="C1786"/>
      <c r="D1786"/>
      <c r="L1786"/>
      <c r="R1786"/>
      <c r="S1786"/>
      <c r="T1786"/>
      <c r="U1786"/>
    </row>
    <row r="1787" spans="1:21">
      <c r="A1787"/>
      <c r="C1787"/>
      <c r="D1787"/>
      <c r="L1787"/>
      <c r="R1787"/>
      <c r="S1787"/>
      <c r="T1787"/>
      <c r="U1787"/>
    </row>
    <row r="1788" spans="1:21">
      <c r="A1788"/>
      <c r="C1788"/>
      <c r="D1788"/>
      <c r="L1788"/>
      <c r="R1788"/>
      <c r="S1788"/>
      <c r="T1788"/>
      <c r="U1788"/>
    </row>
    <row r="1789" spans="1:21">
      <c r="A1789"/>
      <c r="C1789"/>
      <c r="D1789"/>
      <c r="L1789"/>
      <c r="R1789"/>
      <c r="S1789"/>
      <c r="T1789"/>
      <c r="U1789"/>
    </row>
    <row r="1790" spans="1:21">
      <c r="A1790"/>
      <c r="C1790"/>
      <c r="D1790"/>
      <c r="L1790"/>
      <c r="R1790"/>
      <c r="S1790"/>
      <c r="T1790"/>
      <c r="U1790"/>
    </row>
    <row r="1791" spans="1:21">
      <c r="A1791"/>
      <c r="C1791"/>
      <c r="D1791"/>
      <c r="L1791"/>
      <c r="R1791"/>
      <c r="S1791"/>
      <c r="T1791"/>
      <c r="U1791"/>
    </row>
    <row r="1792" spans="1:21">
      <c r="A1792"/>
      <c r="C1792"/>
      <c r="D1792"/>
      <c r="L1792"/>
      <c r="R1792"/>
      <c r="S1792"/>
      <c r="T1792"/>
      <c r="U1792"/>
    </row>
    <row r="1793" spans="1:21">
      <c r="A1793"/>
      <c r="C1793"/>
      <c r="D1793"/>
      <c r="L1793"/>
      <c r="R1793"/>
      <c r="S1793"/>
      <c r="T1793"/>
      <c r="U1793"/>
    </row>
    <row r="1794" spans="1:21">
      <c r="A1794"/>
      <c r="C1794"/>
      <c r="D1794"/>
      <c r="L1794"/>
      <c r="R1794"/>
      <c r="S1794"/>
      <c r="T1794"/>
      <c r="U1794"/>
    </row>
    <row r="1795" spans="1:21">
      <c r="A1795"/>
      <c r="C1795"/>
      <c r="D1795"/>
      <c r="L1795"/>
      <c r="R1795"/>
      <c r="S1795"/>
      <c r="T1795"/>
      <c r="U1795"/>
    </row>
    <row r="1796" spans="1:21">
      <c r="A1796"/>
      <c r="C1796"/>
      <c r="D1796"/>
      <c r="L1796"/>
      <c r="R1796"/>
      <c r="S1796"/>
      <c r="T1796"/>
      <c r="U1796"/>
    </row>
    <row r="1797" spans="1:21">
      <c r="A1797"/>
      <c r="C1797"/>
      <c r="D1797"/>
      <c r="L1797"/>
      <c r="R1797"/>
      <c r="S1797"/>
      <c r="T1797"/>
      <c r="U1797"/>
    </row>
    <row r="1798" spans="1:21">
      <c r="A1798"/>
      <c r="C1798"/>
      <c r="D1798"/>
      <c r="L1798"/>
      <c r="R1798"/>
      <c r="S1798"/>
      <c r="T1798"/>
      <c r="U1798"/>
    </row>
    <row r="1799" spans="1:21">
      <c r="A1799"/>
      <c r="C1799"/>
      <c r="D1799"/>
      <c r="L1799"/>
      <c r="R1799"/>
      <c r="S1799"/>
      <c r="T1799"/>
      <c r="U1799"/>
    </row>
    <row r="1800" spans="1:21">
      <c r="A1800"/>
      <c r="C1800"/>
      <c r="D1800"/>
      <c r="L1800"/>
      <c r="R1800"/>
      <c r="S1800"/>
      <c r="T1800"/>
      <c r="U1800"/>
    </row>
    <row r="1801" spans="1:21">
      <c r="A1801"/>
      <c r="C1801"/>
      <c r="D1801"/>
      <c r="L1801"/>
      <c r="R1801"/>
      <c r="S1801"/>
      <c r="T1801"/>
      <c r="U1801"/>
    </row>
    <row r="1802" spans="1:21">
      <c r="A1802"/>
      <c r="C1802"/>
      <c r="D1802"/>
      <c r="L1802"/>
      <c r="R1802"/>
      <c r="S1802"/>
      <c r="T1802"/>
      <c r="U1802"/>
    </row>
    <row r="1803" spans="1:21">
      <c r="A1803"/>
      <c r="C1803"/>
      <c r="D1803"/>
      <c r="L1803"/>
      <c r="R1803"/>
      <c r="S1803"/>
      <c r="T1803"/>
      <c r="U1803"/>
    </row>
    <row r="1804" spans="1:21">
      <c r="A1804"/>
      <c r="C1804"/>
      <c r="D1804"/>
      <c r="L1804"/>
      <c r="R1804"/>
      <c r="S1804"/>
      <c r="T1804"/>
      <c r="U1804"/>
    </row>
    <row r="1805" spans="1:21">
      <c r="A1805"/>
      <c r="C1805"/>
      <c r="D1805"/>
      <c r="L1805"/>
      <c r="R1805"/>
      <c r="S1805"/>
      <c r="T1805"/>
      <c r="U1805"/>
    </row>
    <row r="1806" spans="1:21">
      <c r="A1806"/>
      <c r="C1806"/>
      <c r="D1806"/>
      <c r="L1806"/>
      <c r="R1806"/>
      <c r="S1806"/>
      <c r="T1806"/>
      <c r="U1806"/>
    </row>
    <row r="1807" spans="1:21">
      <c r="A1807"/>
      <c r="C1807"/>
      <c r="D1807"/>
      <c r="L1807"/>
      <c r="R1807"/>
      <c r="S1807"/>
      <c r="T1807"/>
      <c r="U1807"/>
    </row>
    <row r="1808" spans="1:21">
      <c r="A1808"/>
      <c r="C1808"/>
      <c r="D1808"/>
      <c r="L1808"/>
      <c r="R1808"/>
      <c r="S1808"/>
      <c r="T1808"/>
      <c r="U1808"/>
    </row>
    <row r="1809" spans="1:21">
      <c r="A1809"/>
      <c r="C1809"/>
      <c r="D1809"/>
      <c r="L1809"/>
      <c r="R1809"/>
      <c r="S1809"/>
      <c r="T1809"/>
      <c r="U1809"/>
    </row>
    <row r="1810" spans="1:21">
      <c r="A1810"/>
      <c r="C1810"/>
      <c r="D1810"/>
      <c r="L1810"/>
      <c r="R1810"/>
      <c r="S1810"/>
      <c r="T1810"/>
      <c r="U1810"/>
    </row>
    <row r="1811" spans="1:21">
      <c r="A1811"/>
      <c r="C1811"/>
      <c r="D1811"/>
      <c r="L1811"/>
      <c r="R1811"/>
      <c r="S1811"/>
      <c r="T1811"/>
      <c r="U1811"/>
    </row>
    <row r="1812" spans="1:21">
      <c r="A1812"/>
      <c r="C1812"/>
      <c r="D1812"/>
      <c r="L1812"/>
      <c r="R1812"/>
      <c r="S1812"/>
      <c r="T1812"/>
      <c r="U1812"/>
    </row>
    <row r="1813" spans="1:21">
      <c r="A1813"/>
      <c r="C1813"/>
      <c r="D1813"/>
      <c r="L1813"/>
      <c r="R1813"/>
      <c r="S1813"/>
      <c r="T1813"/>
      <c r="U1813"/>
    </row>
    <row r="1814" spans="1:21">
      <c r="A1814"/>
      <c r="C1814"/>
      <c r="D1814"/>
      <c r="L1814"/>
      <c r="R1814"/>
      <c r="S1814"/>
      <c r="T1814"/>
      <c r="U1814"/>
    </row>
    <row r="1815" spans="1:21">
      <c r="A1815"/>
      <c r="C1815"/>
      <c r="D1815"/>
      <c r="L1815"/>
      <c r="R1815"/>
      <c r="S1815"/>
      <c r="T1815"/>
      <c r="U1815"/>
    </row>
    <row r="1816" spans="1:21">
      <c r="A1816"/>
      <c r="C1816"/>
      <c r="D1816"/>
      <c r="L1816"/>
      <c r="R1816"/>
      <c r="S1816"/>
      <c r="T1816"/>
      <c r="U1816"/>
    </row>
    <row r="1817" spans="1:21">
      <c r="A1817"/>
      <c r="C1817"/>
      <c r="D1817"/>
      <c r="L1817"/>
      <c r="R1817"/>
      <c r="S1817"/>
      <c r="T1817"/>
      <c r="U1817"/>
    </row>
    <row r="1818" spans="1:21">
      <c r="A1818"/>
      <c r="C1818"/>
      <c r="D1818"/>
      <c r="L1818"/>
      <c r="R1818"/>
      <c r="S1818"/>
      <c r="T1818"/>
      <c r="U1818"/>
    </row>
    <row r="1819" spans="1:21">
      <c r="A1819"/>
      <c r="C1819"/>
      <c r="D1819"/>
      <c r="L1819"/>
      <c r="R1819"/>
      <c r="S1819"/>
      <c r="T1819"/>
      <c r="U1819"/>
    </row>
    <row r="1820" spans="1:21">
      <c r="A1820"/>
      <c r="C1820"/>
      <c r="D1820"/>
      <c r="L1820"/>
      <c r="R1820"/>
      <c r="S1820"/>
      <c r="T1820"/>
      <c r="U1820"/>
    </row>
    <row r="1821" spans="1:21">
      <c r="A1821"/>
      <c r="C1821"/>
      <c r="D1821"/>
      <c r="L1821"/>
      <c r="R1821"/>
      <c r="S1821"/>
      <c r="T1821"/>
      <c r="U1821"/>
    </row>
    <row r="1822" spans="1:21">
      <c r="A1822"/>
      <c r="C1822"/>
      <c r="D1822"/>
      <c r="L1822"/>
      <c r="R1822"/>
      <c r="S1822"/>
      <c r="T1822"/>
      <c r="U1822"/>
    </row>
    <row r="1823" spans="1:21">
      <c r="A1823"/>
      <c r="C1823"/>
      <c r="D1823"/>
      <c r="L1823"/>
      <c r="R1823"/>
      <c r="S1823"/>
      <c r="T1823"/>
      <c r="U1823"/>
    </row>
    <row r="1824" spans="1:21">
      <c r="A1824"/>
      <c r="C1824"/>
      <c r="D1824"/>
      <c r="L1824"/>
      <c r="R1824"/>
      <c r="S1824"/>
      <c r="T1824"/>
      <c r="U1824"/>
    </row>
    <row r="1825" spans="1:21">
      <c r="A1825"/>
      <c r="C1825"/>
      <c r="D1825"/>
      <c r="L1825"/>
      <c r="R1825"/>
      <c r="S1825"/>
      <c r="T1825"/>
      <c r="U1825"/>
    </row>
    <row r="1826" spans="1:21">
      <c r="A1826"/>
      <c r="C1826"/>
      <c r="D1826"/>
      <c r="L1826"/>
      <c r="R1826"/>
      <c r="S1826"/>
      <c r="T1826"/>
      <c r="U1826"/>
    </row>
    <row r="1827" spans="1:21">
      <c r="A1827"/>
      <c r="C1827"/>
      <c r="D1827"/>
      <c r="L1827"/>
      <c r="R1827"/>
      <c r="S1827"/>
      <c r="T1827"/>
      <c r="U1827"/>
    </row>
    <row r="1828" spans="1:21">
      <c r="A1828"/>
      <c r="C1828"/>
      <c r="D1828"/>
      <c r="L1828"/>
      <c r="R1828"/>
      <c r="S1828"/>
      <c r="T1828"/>
      <c r="U1828"/>
    </row>
    <row r="1829" spans="1:21">
      <c r="A1829"/>
      <c r="C1829"/>
      <c r="D1829"/>
      <c r="L1829"/>
      <c r="R1829"/>
      <c r="S1829"/>
      <c r="T1829"/>
      <c r="U1829"/>
    </row>
    <row r="1830" spans="1:21">
      <c r="A1830"/>
      <c r="C1830"/>
      <c r="D1830"/>
      <c r="L1830"/>
      <c r="R1830"/>
      <c r="S1830"/>
      <c r="T1830"/>
      <c r="U1830"/>
    </row>
    <row r="1831" spans="1:21">
      <c r="A1831"/>
      <c r="C1831"/>
      <c r="D1831"/>
      <c r="L1831"/>
      <c r="R1831"/>
      <c r="S1831"/>
      <c r="T1831"/>
      <c r="U1831"/>
    </row>
    <row r="1832" spans="1:21">
      <c r="A1832"/>
      <c r="C1832"/>
      <c r="D1832"/>
      <c r="L1832"/>
      <c r="R1832"/>
      <c r="S1832"/>
      <c r="T1832"/>
      <c r="U1832"/>
    </row>
    <row r="1833" spans="1:21">
      <c r="A1833"/>
      <c r="C1833"/>
      <c r="D1833"/>
      <c r="L1833"/>
      <c r="R1833"/>
      <c r="S1833"/>
      <c r="T1833"/>
      <c r="U1833"/>
    </row>
    <row r="1834" spans="1:21">
      <c r="A1834"/>
      <c r="C1834"/>
      <c r="D1834"/>
      <c r="L1834"/>
      <c r="R1834"/>
      <c r="S1834"/>
      <c r="T1834"/>
      <c r="U1834"/>
    </row>
    <row r="1835" spans="1:21">
      <c r="A1835"/>
      <c r="C1835"/>
      <c r="D1835"/>
      <c r="L1835"/>
      <c r="R1835"/>
      <c r="S1835"/>
      <c r="T1835"/>
      <c r="U1835"/>
    </row>
    <row r="1836" spans="1:21">
      <c r="A1836"/>
      <c r="C1836"/>
      <c r="D1836"/>
      <c r="L1836"/>
      <c r="R1836"/>
      <c r="S1836"/>
      <c r="T1836"/>
      <c r="U1836"/>
    </row>
    <row r="1837" spans="1:21">
      <c r="A1837"/>
      <c r="C1837"/>
      <c r="D1837"/>
      <c r="L1837"/>
      <c r="R1837"/>
      <c r="S1837"/>
      <c r="T1837"/>
      <c r="U1837"/>
    </row>
    <row r="1838" spans="1:21">
      <c r="A1838"/>
      <c r="C1838"/>
      <c r="D1838"/>
      <c r="L1838"/>
      <c r="R1838"/>
      <c r="S1838"/>
      <c r="T1838"/>
      <c r="U1838"/>
    </row>
    <row r="1839" spans="1:21">
      <c r="A1839"/>
      <c r="C1839"/>
      <c r="D1839"/>
      <c r="L1839"/>
      <c r="R1839"/>
      <c r="S1839"/>
      <c r="T1839"/>
      <c r="U1839"/>
    </row>
    <row r="1840" spans="1:21">
      <c r="A1840"/>
      <c r="C1840"/>
      <c r="D1840"/>
      <c r="L1840"/>
      <c r="R1840"/>
      <c r="S1840"/>
      <c r="T1840"/>
      <c r="U1840"/>
    </row>
    <row r="1841" spans="1:21">
      <c r="A1841"/>
      <c r="C1841"/>
      <c r="D1841"/>
      <c r="L1841"/>
      <c r="R1841"/>
      <c r="S1841"/>
      <c r="T1841"/>
      <c r="U1841"/>
    </row>
    <row r="1842" spans="1:21">
      <c r="A1842"/>
      <c r="C1842"/>
      <c r="D1842"/>
      <c r="L1842"/>
      <c r="R1842"/>
      <c r="S1842"/>
      <c r="T1842"/>
      <c r="U1842"/>
    </row>
    <row r="1843" spans="1:21">
      <c r="A1843"/>
      <c r="C1843"/>
      <c r="D1843"/>
      <c r="L1843"/>
      <c r="R1843"/>
      <c r="S1843"/>
      <c r="T1843"/>
      <c r="U1843"/>
    </row>
    <row r="1844" spans="1:21">
      <c r="A1844"/>
      <c r="C1844"/>
      <c r="D1844"/>
      <c r="L1844"/>
      <c r="R1844"/>
      <c r="S1844"/>
      <c r="T1844"/>
      <c r="U1844"/>
    </row>
    <row r="1845" spans="1:21">
      <c r="A1845"/>
      <c r="C1845"/>
      <c r="D1845"/>
      <c r="L1845"/>
      <c r="R1845"/>
      <c r="S1845"/>
      <c r="T1845"/>
      <c r="U1845"/>
    </row>
    <row r="1846" spans="1:21">
      <c r="A1846"/>
      <c r="C1846"/>
      <c r="D1846"/>
      <c r="L1846"/>
      <c r="R1846"/>
      <c r="S1846"/>
      <c r="T1846"/>
      <c r="U1846"/>
    </row>
    <row r="1847" spans="1:21">
      <c r="A1847"/>
      <c r="C1847"/>
      <c r="D1847"/>
      <c r="L1847"/>
      <c r="R1847"/>
      <c r="S1847"/>
      <c r="T1847"/>
      <c r="U1847"/>
    </row>
    <row r="1848" spans="1:21">
      <c r="A1848"/>
      <c r="C1848"/>
      <c r="D1848"/>
      <c r="L1848"/>
      <c r="R1848"/>
      <c r="S1848"/>
      <c r="T1848"/>
      <c r="U1848"/>
    </row>
    <row r="1849" spans="1:21">
      <c r="A1849"/>
      <c r="C1849"/>
      <c r="D1849"/>
      <c r="L1849"/>
      <c r="R1849"/>
      <c r="S1849"/>
      <c r="T1849"/>
      <c r="U1849"/>
    </row>
    <row r="1850" spans="1:21">
      <c r="A1850"/>
      <c r="C1850"/>
      <c r="D1850"/>
      <c r="L1850"/>
      <c r="R1850"/>
      <c r="S1850"/>
      <c r="T1850"/>
      <c r="U1850"/>
    </row>
    <row r="1851" spans="1:21">
      <c r="A1851"/>
      <c r="C1851"/>
      <c r="D1851"/>
      <c r="L1851"/>
      <c r="R1851"/>
      <c r="S1851"/>
      <c r="T1851"/>
      <c r="U1851"/>
    </row>
    <row r="1852" spans="1:21">
      <c r="A1852"/>
      <c r="C1852"/>
      <c r="D1852"/>
      <c r="L1852"/>
      <c r="R1852"/>
      <c r="S1852"/>
      <c r="T1852"/>
      <c r="U1852"/>
    </row>
    <row r="1853" spans="1:21">
      <c r="A1853"/>
      <c r="C1853"/>
      <c r="D1853"/>
      <c r="L1853"/>
      <c r="R1853"/>
      <c r="S1853"/>
      <c r="T1853"/>
      <c r="U1853"/>
    </row>
    <row r="1854" spans="1:21">
      <c r="A1854"/>
      <c r="C1854"/>
      <c r="D1854"/>
      <c r="L1854"/>
      <c r="R1854"/>
      <c r="S1854"/>
      <c r="T1854"/>
      <c r="U1854"/>
    </row>
    <row r="1855" spans="1:21">
      <c r="A1855"/>
      <c r="C1855"/>
      <c r="D1855"/>
      <c r="L1855"/>
      <c r="R1855"/>
      <c r="S1855"/>
      <c r="T1855"/>
      <c r="U1855"/>
    </row>
    <row r="1856" spans="1:21">
      <c r="A1856"/>
      <c r="C1856"/>
      <c r="D1856"/>
      <c r="L1856"/>
      <c r="R1856"/>
      <c r="S1856"/>
      <c r="T1856"/>
      <c r="U1856"/>
    </row>
    <row r="1857" spans="1:21">
      <c r="A1857"/>
      <c r="C1857"/>
      <c r="D1857"/>
      <c r="L1857"/>
      <c r="R1857"/>
      <c r="S1857"/>
      <c r="T1857"/>
      <c r="U1857"/>
    </row>
    <row r="1858" spans="1:21">
      <c r="A1858"/>
      <c r="C1858"/>
      <c r="D1858"/>
      <c r="L1858"/>
      <c r="R1858"/>
      <c r="S1858"/>
      <c r="T1858"/>
      <c r="U1858"/>
    </row>
    <row r="1859" spans="1:21">
      <c r="A1859"/>
      <c r="C1859"/>
      <c r="D1859"/>
      <c r="L1859"/>
      <c r="R1859"/>
      <c r="S1859"/>
      <c r="T1859"/>
      <c r="U1859"/>
    </row>
    <row r="1860" spans="1:21">
      <c r="A1860"/>
      <c r="C1860"/>
      <c r="D1860"/>
      <c r="L1860"/>
      <c r="R1860"/>
      <c r="S1860"/>
      <c r="T1860"/>
      <c r="U1860"/>
    </row>
    <row r="1861" spans="1:21">
      <c r="A1861"/>
      <c r="C1861"/>
      <c r="D1861"/>
      <c r="L1861"/>
      <c r="R1861"/>
      <c r="S1861"/>
      <c r="T1861"/>
      <c r="U1861"/>
    </row>
    <row r="1862" spans="1:21">
      <c r="A1862"/>
      <c r="C1862"/>
      <c r="D1862"/>
      <c r="L1862"/>
      <c r="R1862"/>
      <c r="S1862"/>
      <c r="T1862"/>
      <c r="U1862"/>
    </row>
    <row r="1863" spans="1:21">
      <c r="A1863"/>
      <c r="C1863"/>
      <c r="D1863"/>
      <c r="L1863"/>
      <c r="R1863"/>
      <c r="S1863"/>
      <c r="T1863"/>
      <c r="U1863"/>
    </row>
    <row r="1864" spans="1:21">
      <c r="A1864"/>
      <c r="C1864"/>
      <c r="D1864"/>
      <c r="L1864"/>
      <c r="R1864"/>
      <c r="S1864"/>
      <c r="T1864"/>
      <c r="U1864"/>
    </row>
    <row r="1865" spans="1:21">
      <c r="A1865"/>
      <c r="C1865"/>
      <c r="D1865"/>
      <c r="L1865"/>
      <c r="R1865"/>
      <c r="S1865"/>
      <c r="T1865"/>
      <c r="U1865"/>
    </row>
    <row r="1866" spans="1:21">
      <c r="A1866"/>
      <c r="C1866"/>
      <c r="D1866"/>
      <c r="L1866"/>
      <c r="R1866"/>
      <c r="S1866"/>
      <c r="T1866"/>
      <c r="U1866"/>
    </row>
    <row r="1867" spans="1:21">
      <c r="A1867"/>
      <c r="C1867"/>
      <c r="D1867"/>
      <c r="L1867"/>
      <c r="R1867"/>
      <c r="S1867"/>
      <c r="T1867"/>
      <c r="U1867"/>
    </row>
    <row r="1868" spans="1:21">
      <c r="A1868"/>
      <c r="C1868"/>
      <c r="D1868"/>
      <c r="L1868"/>
      <c r="R1868"/>
      <c r="S1868"/>
      <c r="T1868"/>
      <c r="U1868"/>
    </row>
    <row r="1869" spans="1:21">
      <c r="A1869"/>
      <c r="C1869"/>
      <c r="D1869"/>
      <c r="L1869"/>
      <c r="R1869"/>
      <c r="S1869"/>
      <c r="T1869"/>
      <c r="U1869"/>
    </row>
    <row r="1870" spans="1:21">
      <c r="A1870"/>
      <c r="C1870"/>
      <c r="D1870"/>
      <c r="L1870"/>
      <c r="R1870"/>
      <c r="S1870"/>
      <c r="T1870"/>
      <c r="U1870"/>
    </row>
    <row r="1871" spans="1:21">
      <c r="A1871"/>
      <c r="C1871"/>
      <c r="D1871"/>
      <c r="L1871"/>
      <c r="R1871"/>
      <c r="S1871"/>
      <c r="T1871"/>
      <c r="U1871"/>
    </row>
    <row r="1872" spans="1:21">
      <c r="A1872"/>
      <c r="C1872"/>
      <c r="D1872"/>
      <c r="L1872"/>
      <c r="R1872"/>
      <c r="S1872"/>
      <c r="T1872"/>
      <c r="U1872"/>
    </row>
    <row r="1873" spans="1:21">
      <c r="A1873"/>
      <c r="C1873"/>
      <c r="D1873"/>
      <c r="L1873"/>
      <c r="R1873"/>
      <c r="S1873"/>
      <c r="T1873"/>
      <c r="U1873"/>
    </row>
    <row r="1874" spans="1:21">
      <c r="A1874"/>
      <c r="C1874"/>
      <c r="D1874"/>
      <c r="L1874"/>
      <c r="R1874"/>
      <c r="S1874"/>
      <c r="T1874"/>
      <c r="U1874"/>
    </row>
    <row r="1875" spans="1:21">
      <c r="A1875"/>
      <c r="C1875"/>
      <c r="D1875"/>
      <c r="L1875"/>
      <c r="R1875"/>
      <c r="S1875"/>
      <c r="T1875"/>
      <c r="U1875"/>
    </row>
    <row r="1876" spans="1:21">
      <c r="A1876"/>
      <c r="C1876"/>
      <c r="D1876"/>
      <c r="L1876"/>
      <c r="R1876"/>
      <c r="S1876"/>
      <c r="T1876"/>
      <c r="U1876"/>
    </row>
    <row r="1877" spans="1:21">
      <c r="A1877"/>
      <c r="C1877"/>
      <c r="D1877"/>
      <c r="L1877"/>
      <c r="R1877"/>
      <c r="S1877"/>
      <c r="T1877"/>
      <c r="U1877"/>
    </row>
    <row r="1878" spans="1:21">
      <c r="A1878"/>
      <c r="C1878"/>
      <c r="D1878"/>
      <c r="L1878"/>
      <c r="R1878"/>
      <c r="S1878"/>
      <c r="T1878"/>
      <c r="U1878"/>
    </row>
    <row r="1879" spans="1:21">
      <c r="A1879"/>
      <c r="C1879"/>
      <c r="D1879"/>
      <c r="L1879"/>
      <c r="R1879"/>
      <c r="S1879"/>
      <c r="T1879"/>
      <c r="U1879"/>
    </row>
    <row r="1880" spans="1:21">
      <c r="A1880"/>
      <c r="C1880"/>
      <c r="D1880"/>
      <c r="L1880"/>
      <c r="R1880"/>
      <c r="S1880"/>
      <c r="T1880"/>
      <c r="U1880"/>
    </row>
    <row r="1881" spans="1:21">
      <c r="A1881"/>
      <c r="C1881"/>
      <c r="D1881"/>
      <c r="L1881"/>
      <c r="R1881"/>
      <c r="S1881"/>
      <c r="T1881"/>
      <c r="U1881"/>
    </row>
    <row r="1882" spans="1:21">
      <c r="A1882"/>
      <c r="C1882"/>
      <c r="D1882"/>
      <c r="L1882"/>
      <c r="R1882"/>
      <c r="S1882"/>
      <c r="T1882"/>
      <c r="U1882"/>
    </row>
    <row r="1883" spans="1:21">
      <c r="A1883"/>
      <c r="C1883"/>
      <c r="D1883"/>
      <c r="L1883"/>
      <c r="R1883"/>
      <c r="S1883"/>
      <c r="T1883"/>
      <c r="U1883"/>
    </row>
    <row r="1884" spans="1:21">
      <c r="A1884"/>
      <c r="C1884"/>
      <c r="D1884"/>
      <c r="L1884"/>
      <c r="R1884"/>
      <c r="S1884"/>
      <c r="T1884"/>
      <c r="U1884"/>
    </row>
    <row r="1885" spans="1:21">
      <c r="A1885"/>
      <c r="C1885"/>
      <c r="D1885"/>
      <c r="L1885"/>
      <c r="R1885"/>
      <c r="S1885"/>
      <c r="T1885"/>
      <c r="U1885"/>
    </row>
    <row r="1886" spans="1:21">
      <c r="A1886"/>
      <c r="C1886"/>
      <c r="D1886"/>
      <c r="L1886"/>
      <c r="R1886"/>
      <c r="S1886"/>
      <c r="T1886"/>
      <c r="U1886"/>
    </row>
    <row r="1887" spans="1:21">
      <c r="A1887"/>
      <c r="C1887"/>
      <c r="D1887"/>
      <c r="L1887"/>
      <c r="R1887"/>
      <c r="S1887"/>
      <c r="T1887"/>
      <c r="U1887"/>
    </row>
    <row r="1888" spans="1:21">
      <c r="A1888"/>
      <c r="C1888"/>
      <c r="D1888"/>
      <c r="L1888"/>
      <c r="R1888"/>
      <c r="S1888"/>
      <c r="T1888"/>
      <c r="U1888"/>
    </row>
    <row r="1889" spans="1:21">
      <c r="A1889"/>
      <c r="C1889"/>
      <c r="D1889"/>
      <c r="L1889"/>
      <c r="R1889"/>
      <c r="S1889"/>
      <c r="T1889"/>
      <c r="U1889"/>
    </row>
    <row r="1890" spans="1:21">
      <c r="A1890"/>
      <c r="C1890"/>
      <c r="D1890"/>
      <c r="L1890"/>
      <c r="R1890"/>
      <c r="S1890"/>
      <c r="T1890"/>
      <c r="U1890"/>
    </row>
    <row r="1891" spans="1:21">
      <c r="A1891"/>
      <c r="C1891"/>
      <c r="D1891"/>
      <c r="L1891"/>
      <c r="R1891"/>
      <c r="S1891"/>
      <c r="T1891"/>
      <c r="U1891"/>
    </row>
    <row r="1892" spans="1:21">
      <c r="A1892"/>
      <c r="C1892"/>
      <c r="D1892"/>
      <c r="L1892"/>
      <c r="R1892"/>
      <c r="S1892"/>
      <c r="T1892"/>
      <c r="U1892"/>
    </row>
    <row r="1893" spans="1:21">
      <c r="A1893"/>
      <c r="C1893"/>
      <c r="D1893"/>
      <c r="L1893"/>
      <c r="R1893"/>
      <c r="S1893"/>
      <c r="T1893"/>
      <c r="U1893"/>
    </row>
    <row r="1894" spans="1:21">
      <c r="A1894"/>
      <c r="C1894"/>
      <c r="D1894"/>
      <c r="L1894"/>
      <c r="R1894"/>
      <c r="S1894"/>
      <c r="T1894"/>
      <c r="U1894"/>
    </row>
    <row r="1895" spans="1:21">
      <c r="A1895"/>
      <c r="C1895"/>
      <c r="D1895"/>
      <c r="L1895"/>
      <c r="R1895"/>
      <c r="S1895"/>
      <c r="T1895"/>
      <c r="U1895"/>
    </row>
    <row r="1896" spans="1:21">
      <c r="A1896"/>
      <c r="C1896"/>
      <c r="D1896"/>
      <c r="L1896"/>
      <c r="R1896"/>
      <c r="S1896"/>
      <c r="T1896"/>
      <c r="U1896"/>
    </row>
    <row r="1897" spans="1:21">
      <c r="A1897"/>
      <c r="C1897"/>
      <c r="D1897"/>
      <c r="L1897"/>
      <c r="R1897"/>
      <c r="S1897"/>
      <c r="T1897"/>
      <c r="U1897"/>
    </row>
    <row r="1898" spans="1:21">
      <c r="A1898"/>
      <c r="C1898"/>
      <c r="D1898"/>
      <c r="L1898"/>
      <c r="R1898"/>
      <c r="S1898"/>
      <c r="T1898"/>
      <c r="U1898"/>
    </row>
    <row r="1899" spans="1:21">
      <c r="A1899"/>
      <c r="C1899"/>
      <c r="D1899"/>
      <c r="L1899"/>
      <c r="R1899"/>
      <c r="S1899"/>
      <c r="T1899"/>
      <c r="U1899"/>
    </row>
    <row r="1900" spans="1:21">
      <c r="A1900"/>
      <c r="C1900"/>
      <c r="D1900"/>
      <c r="L1900"/>
      <c r="R1900"/>
      <c r="S1900"/>
      <c r="T1900"/>
      <c r="U1900"/>
    </row>
    <row r="1901" spans="1:21">
      <c r="A1901"/>
      <c r="C1901"/>
      <c r="D1901"/>
      <c r="L1901"/>
      <c r="R1901"/>
      <c r="S1901"/>
      <c r="T1901"/>
      <c r="U1901"/>
    </row>
    <row r="1902" spans="1:21">
      <c r="A1902"/>
      <c r="C1902"/>
      <c r="D1902"/>
      <c r="L1902"/>
      <c r="R1902"/>
      <c r="S1902"/>
      <c r="T1902"/>
      <c r="U1902"/>
    </row>
    <row r="1903" spans="1:21">
      <c r="A1903"/>
      <c r="C1903"/>
      <c r="D1903"/>
      <c r="L1903"/>
      <c r="R1903"/>
      <c r="S1903"/>
      <c r="T1903"/>
      <c r="U1903"/>
    </row>
    <row r="1904" spans="1:21">
      <c r="A1904"/>
      <c r="C1904"/>
      <c r="D1904"/>
      <c r="L1904"/>
      <c r="R1904"/>
      <c r="S1904"/>
      <c r="T1904"/>
      <c r="U1904"/>
    </row>
    <row r="1905" spans="1:21">
      <c r="A1905"/>
      <c r="C1905"/>
      <c r="D1905"/>
      <c r="L1905"/>
      <c r="R1905"/>
      <c r="S1905"/>
      <c r="T1905"/>
      <c r="U1905"/>
    </row>
    <row r="1906" spans="1:21">
      <c r="A1906"/>
      <c r="C1906"/>
      <c r="D1906"/>
      <c r="L1906"/>
      <c r="R1906"/>
      <c r="S1906"/>
      <c r="T1906"/>
      <c r="U1906"/>
    </row>
    <row r="1907" spans="1:21">
      <c r="A1907"/>
      <c r="C1907"/>
      <c r="D1907"/>
      <c r="L1907"/>
      <c r="R1907"/>
      <c r="S1907"/>
      <c r="T1907"/>
      <c r="U1907"/>
    </row>
    <row r="1908" spans="1:21">
      <c r="A1908"/>
      <c r="C1908"/>
      <c r="D1908"/>
      <c r="L1908"/>
      <c r="R1908"/>
      <c r="S1908"/>
      <c r="T1908"/>
      <c r="U1908"/>
    </row>
    <row r="1909" spans="1:21">
      <c r="A1909"/>
      <c r="C1909"/>
      <c r="D1909"/>
      <c r="L1909"/>
      <c r="R1909"/>
      <c r="S1909"/>
      <c r="T1909"/>
      <c r="U1909"/>
    </row>
    <row r="1910" spans="1:21">
      <c r="A1910"/>
      <c r="C1910"/>
      <c r="D1910"/>
      <c r="L1910"/>
      <c r="R1910"/>
      <c r="S1910"/>
      <c r="T1910"/>
      <c r="U1910"/>
    </row>
    <row r="1911" spans="1:21">
      <c r="A1911"/>
      <c r="C1911"/>
      <c r="D1911"/>
      <c r="L1911"/>
      <c r="R1911"/>
      <c r="S1911"/>
      <c r="T1911"/>
      <c r="U1911"/>
    </row>
    <row r="1912" spans="1:21">
      <c r="A1912"/>
      <c r="C1912"/>
      <c r="D1912"/>
      <c r="L1912"/>
      <c r="R1912"/>
      <c r="S1912"/>
      <c r="T1912"/>
      <c r="U1912"/>
    </row>
    <row r="1913" spans="1:21">
      <c r="A1913"/>
      <c r="C1913"/>
      <c r="D1913"/>
      <c r="L1913"/>
      <c r="R1913"/>
      <c r="S1913"/>
      <c r="T1913"/>
      <c r="U1913"/>
    </row>
    <row r="1914" spans="1:21">
      <c r="A1914"/>
      <c r="C1914"/>
      <c r="D1914"/>
      <c r="L1914"/>
      <c r="R1914"/>
      <c r="S1914"/>
      <c r="T1914"/>
      <c r="U1914"/>
    </row>
    <row r="1915" spans="1:21">
      <c r="A1915"/>
      <c r="C1915"/>
      <c r="D1915"/>
      <c r="L1915"/>
      <c r="R1915"/>
      <c r="S1915"/>
      <c r="T1915"/>
      <c r="U1915"/>
    </row>
    <row r="1916" spans="1:21">
      <c r="A1916"/>
      <c r="C1916"/>
      <c r="D1916"/>
      <c r="L1916"/>
      <c r="R1916"/>
      <c r="S1916"/>
      <c r="T1916"/>
      <c r="U1916"/>
    </row>
    <row r="1917" spans="1:21">
      <c r="A1917"/>
      <c r="C1917"/>
      <c r="D1917"/>
      <c r="L1917"/>
      <c r="R1917"/>
      <c r="S1917"/>
      <c r="T1917"/>
      <c r="U1917"/>
    </row>
    <row r="1918" spans="1:21">
      <c r="A1918"/>
      <c r="C1918"/>
      <c r="D1918"/>
      <c r="L1918"/>
      <c r="R1918"/>
      <c r="S1918"/>
      <c r="T1918"/>
      <c r="U1918"/>
    </row>
    <row r="1919" spans="1:21">
      <c r="A1919"/>
      <c r="C1919"/>
      <c r="D1919"/>
      <c r="L1919"/>
      <c r="R1919"/>
      <c r="S1919"/>
      <c r="T1919"/>
      <c r="U1919"/>
    </row>
    <row r="1920" spans="1:21">
      <c r="A1920"/>
      <c r="C1920"/>
      <c r="D1920"/>
      <c r="L1920"/>
      <c r="R1920"/>
      <c r="S1920"/>
      <c r="T1920"/>
      <c r="U1920"/>
    </row>
    <row r="1921" spans="1:21">
      <c r="A1921"/>
      <c r="C1921"/>
      <c r="D1921"/>
      <c r="L1921"/>
      <c r="R1921"/>
      <c r="S1921"/>
      <c r="T1921"/>
      <c r="U1921"/>
    </row>
    <row r="1922" spans="1:21">
      <c r="A1922"/>
      <c r="C1922"/>
      <c r="D1922"/>
      <c r="L1922"/>
      <c r="R1922"/>
      <c r="S1922"/>
      <c r="T1922"/>
      <c r="U1922"/>
    </row>
    <row r="1923" spans="1:21">
      <c r="A1923"/>
      <c r="C1923"/>
      <c r="D1923"/>
      <c r="L1923"/>
      <c r="R1923"/>
      <c r="S1923"/>
      <c r="T1923"/>
      <c r="U1923"/>
    </row>
    <row r="1924" spans="1:21">
      <c r="A1924"/>
      <c r="C1924"/>
      <c r="D1924"/>
      <c r="L1924"/>
      <c r="R1924"/>
      <c r="S1924"/>
      <c r="T1924"/>
      <c r="U1924"/>
    </row>
    <row r="1925" spans="1:21">
      <c r="A1925"/>
      <c r="C1925"/>
      <c r="D1925"/>
      <c r="L1925"/>
      <c r="R1925"/>
      <c r="S1925"/>
      <c r="T1925"/>
      <c r="U1925"/>
    </row>
    <row r="1926" spans="1:21">
      <c r="A1926"/>
      <c r="C1926"/>
      <c r="D1926"/>
      <c r="L1926"/>
      <c r="R1926"/>
      <c r="S1926"/>
      <c r="T1926"/>
      <c r="U1926"/>
    </row>
    <row r="1927" spans="1:21">
      <c r="A1927"/>
      <c r="C1927"/>
      <c r="D1927"/>
      <c r="L1927"/>
      <c r="R1927"/>
      <c r="S1927"/>
      <c r="T1927"/>
      <c r="U1927"/>
    </row>
    <row r="1928" spans="1:21">
      <c r="A1928"/>
      <c r="C1928"/>
      <c r="D1928"/>
      <c r="L1928"/>
      <c r="R1928"/>
      <c r="S1928"/>
      <c r="T1928"/>
      <c r="U1928"/>
    </row>
    <row r="1929" spans="1:21">
      <c r="A1929"/>
      <c r="C1929"/>
      <c r="D1929"/>
      <c r="L1929"/>
      <c r="R1929"/>
      <c r="S1929"/>
      <c r="T1929"/>
      <c r="U1929"/>
    </row>
    <row r="1930" spans="1:21">
      <c r="A1930"/>
      <c r="C1930"/>
      <c r="D1930"/>
      <c r="L1930"/>
      <c r="R1930"/>
      <c r="S1930"/>
      <c r="T1930"/>
      <c r="U1930"/>
    </row>
    <row r="1931" spans="1:21">
      <c r="A1931"/>
      <c r="C1931"/>
      <c r="D1931"/>
      <c r="L1931"/>
      <c r="R1931"/>
      <c r="S1931"/>
      <c r="T1931"/>
      <c r="U1931"/>
    </row>
    <row r="1932" spans="1:21">
      <c r="A1932"/>
      <c r="C1932"/>
      <c r="D1932"/>
      <c r="L1932"/>
      <c r="R1932"/>
      <c r="S1932"/>
      <c r="T1932"/>
      <c r="U1932"/>
    </row>
    <row r="1933" spans="1:21">
      <c r="A1933"/>
      <c r="C1933"/>
      <c r="D1933"/>
      <c r="L1933"/>
      <c r="R1933"/>
      <c r="S1933"/>
      <c r="T1933"/>
      <c r="U1933"/>
    </row>
    <row r="1934" spans="1:21">
      <c r="A1934"/>
      <c r="C1934"/>
      <c r="D1934"/>
      <c r="L1934"/>
      <c r="R1934"/>
      <c r="S1934"/>
      <c r="T1934"/>
      <c r="U1934"/>
    </row>
    <row r="1935" spans="1:21">
      <c r="A1935"/>
      <c r="C1935"/>
      <c r="D1935"/>
      <c r="L1935"/>
      <c r="R1935"/>
      <c r="S1935"/>
      <c r="T1935"/>
      <c r="U1935"/>
    </row>
    <row r="1936" spans="1:21">
      <c r="A1936"/>
      <c r="C1936"/>
      <c r="D1936"/>
      <c r="L1936"/>
      <c r="R1936"/>
      <c r="S1936"/>
      <c r="T1936"/>
      <c r="U1936"/>
    </row>
    <row r="1937" spans="1:21">
      <c r="A1937"/>
      <c r="C1937"/>
      <c r="D1937"/>
      <c r="L1937"/>
      <c r="R1937"/>
      <c r="S1937"/>
      <c r="T1937"/>
      <c r="U1937"/>
    </row>
    <row r="1938" spans="1:21">
      <c r="A1938"/>
      <c r="C1938"/>
      <c r="D1938"/>
      <c r="L1938"/>
      <c r="R1938"/>
      <c r="S1938"/>
      <c r="T1938"/>
      <c r="U1938"/>
    </row>
    <row r="1939" spans="1:21">
      <c r="A1939"/>
      <c r="C1939"/>
      <c r="D1939"/>
      <c r="L1939"/>
      <c r="R1939"/>
      <c r="S1939"/>
      <c r="T1939"/>
      <c r="U1939"/>
    </row>
    <row r="1940" spans="1:21">
      <c r="A1940"/>
      <c r="C1940"/>
      <c r="D1940"/>
      <c r="L1940"/>
      <c r="R1940"/>
      <c r="S1940"/>
      <c r="T1940"/>
      <c r="U1940"/>
    </row>
    <row r="1941" spans="1:21">
      <c r="A1941"/>
      <c r="C1941"/>
      <c r="D1941"/>
      <c r="L1941"/>
      <c r="R1941"/>
      <c r="S1941"/>
      <c r="T1941"/>
      <c r="U1941"/>
    </row>
    <row r="1942" spans="1:21">
      <c r="A1942"/>
      <c r="C1942"/>
      <c r="D1942"/>
      <c r="L1942"/>
      <c r="R1942"/>
      <c r="S1942"/>
      <c r="T1942"/>
      <c r="U1942"/>
    </row>
    <row r="1943" spans="1:21">
      <c r="A1943"/>
      <c r="C1943"/>
      <c r="D1943"/>
      <c r="L1943"/>
      <c r="R1943"/>
      <c r="S1943"/>
      <c r="T1943"/>
      <c r="U1943"/>
    </row>
    <row r="1944" spans="1:21">
      <c r="A1944"/>
      <c r="C1944"/>
      <c r="D1944"/>
      <c r="L1944"/>
      <c r="R1944"/>
      <c r="S1944"/>
      <c r="T1944"/>
      <c r="U1944"/>
    </row>
    <row r="1945" spans="1:21">
      <c r="A1945"/>
      <c r="C1945"/>
      <c r="D1945"/>
      <c r="L1945"/>
      <c r="R1945"/>
      <c r="S1945"/>
      <c r="T1945"/>
      <c r="U1945"/>
    </row>
    <row r="1946" spans="1:21">
      <c r="A1946"/>
      <c r="C1946"/>
      <c r="D1946"/>
      <c r="L1946"/>
      <c r="R1946"/>
      <c r="S1946"/>
      <c r="T1946"/>
      <c r="U1946"/>
    </row>
    <row r="1947" spans="1:21">
      <c r="A1947"/>
      <c r="C1947"/>
      <c r="D1947"/>
      <c r="L1947"/>
      <c r="R1947"/>
      <c r="S1947"/>
      <c r="T1947"/>
      <c r="U1947"/>
    </row>
    <row r="1948" spans="1:21">
      <c r="A1948"/>
      <c r="C1948"/>
      <c r="D1948"/>
      <c r="L1948"/>
      <c r="R1948"/>
      <c r="S1948"/>
      <c r="T1948"/>
      <c r="U1948"/>
    </row>
    <row r="1949" spans="1:21">
      <c r="A1949"/>
      <c r="C1949"/>
      <c r="D1949"/>
      <c r="L1949"/>
      <c r="R1949"/>
      <c r="S1949"/>
      <c r="T1949"/>
      <c r="U1949"/>
    </row>
    <row r="1950" spans="1:21">
      <c r="A1950"/>
      <c r="C1950"/>
      <c r="D1950"/>
      <c r="L1950"/>
      <c r="R1950"/>
      <c r="S1950"/>
      <c r="T1950"/>
      <c r="U1950"/>
    </row>
    <row r="1951" spans="1:21">
      <c r="A1951"/>
      <c r="C1951"/>
      <c r="D1951"/>
      <c r="L1951"/>
      <c r="R1951"/>
      <c r="S1951"/>
      <c r="T1951"/>
      <c r="U1951"/>
    </row>
    <row r="1952" spans="1:21">
      <c r="A1952"/>
      <c r="C1952"/>
      <c r="D1952"/>
      <c r="L1952"/>
      <c r="R1952"/>
      <c r="S1952"/>
      <c r="T1952"/>
      <c r="U1952"/>
    </row>
    <row r="1953" spans="1:21">
      <c r="A1953"/>
      <c r="C1953"/>
      <c r="D1953"/>
      <c r="L1953"/>
      <c r="R1953"/>
      <c r="S1953"/>
      <c r="T1953"/>
      <c r="U1953"/>
    </row>
    <row r="1954" spans="1:21">
      <c r="A1954"/>
      <c r="C1954"/>
      <c r="D1954"/>
      <c r="L1954"/>
      <c r="R1954"/>
      <c r="S1954"/>
      <c r="T1954"/>
      <c r="U1954"/>
    </row>
    <row r="1955" spans="1:21">
      <c r="A1955"/>
      <c r="C1955"/>
      <c r="D1955"/>
      <c r="L1955"/>
      <c r="R1955"/>
      <c r="S1955"/>
      <c r="T1955"/>
      <c r="U1955"/>
    </row>
    <row r="1956" spans="1:21">
      <c r="A1956"/>
      <c r="C1956"/>
      <c r="D1956"/>
      <c r="L1956"/>
      <c r="R1956"/>
      <c r="S1956"/>
      <c r="T1956"/>
      <c r="U1956"/>
    </row>
    <row r="1957" spans="1:21">
      <c r="A1957"/>
      <c r="C1957"/>
      <c r="D1957"/>
      <c r="L1957"/>
      <c r="R1957"/>
      <c r="S1957"/>
      <c r="T1957"/>
      <c r="U1957"/>
    </row>
    <row r="1958" spans="1:21">
      <c r="A1958"/>
      <c r="C1958"/>
      <c r="D1958"/>
      <c r="L1958"/>
      <c r="R1958"/>
      <c r="S1958"/>
      <c r="T1958"/>
      <c r="U1958"/>
    </row>
    <row r="1959" spans="1:21">
      <c r="A1959"/>
      <c r="C1959"/>
      <c r="D1959"/>
      <c r="L1959"/>
      <c r="R1959"/>
      <c r="S1959"/>
      <c r="T1959"/>
      <c r="U1959"/>
    </row>
    <row r="1960" spans="1:21">
      <c r="A1960"/>
      <c r="C1960"/>
      <c r="D1960"/>
      <c r="L1960"/>
      <c r="R1960"/>
      <c r="S1960"/>
      <c r="T1960"/>
      <c r="U1960"/>
    </row>
    <row r="1961" spans="1:21">
      <c r="A1961"/>
      <c r="C1961"/>
      <c r="D1961"/>
      <c r="L1961"/>
      <c r="R1961"/>
      <c r="S1961"/>
      <c r="T1961"/>
      <c r="U1961"/>
    </row>
    <row r="1962" spans="1:21">
      <c r="A1962"/>
      <c r="C1962"/>
      <c r="D1962"/>
      <c r="L1962"/>
      <c r="R1962"/>
      <c r="S1962"/>
      <c r="T1962"/>
      <c r="U1962"/>
    </row>
    <row r="1963" spans="1:21">
      <c r="A1963"/>
      <c r="C1963"/>
      <c r="D1963"/>
      <c r="L1963"/>
      <c r="R1963"/>
      <c r="S1963"/>
      <c r="T1963"/>
      <c r="U1963"/>
    </row>
    <row r="1964" spans="1:21">
      <c r="A1964"/>
      <c r="C1964"/>
      <c r="D1964"/>
      <c r="L1964"/>
      <c r="R1964"/>
      <c r="S1964"/>
      <c r="T1964"/>
      <c r="U1964"/>
    </row>
    <row r="1965" spans="1:21">
      <c r="A1965"/>
      <c r="C1965"/>
      <c r="D1965"/>
      <c r="L1965"/>
      <c r="R1965"/>
      <c r="S1965"/>
      <c r="T1965"/>
      <c r="U1965"/>
    </row>
    <row r="1966" spans="1:21">
      <c r="A1966"/>
      <c r="C1966"/>
      <c r="D1966"/>
      <c r="L1966"/>
      <c r="R1966"/>
      <c r="S1966"/>
      <c r="T1966"/>
      <c r="U1966"/>
    </row>
    <row r="1967" spans="1:21">
      <c r="A1967"/>
      <c r="C1967"/>
      <c r="D1967"/>
      <c r="L1967"/>
      <c r="R1967"/>
      <c r="S1967"/>
      <c r="T1967"/>
      <c r="U1967"/>
    </row>
    <row r="1968" spans="1:21">
      <c r="A1968"/>
      <c r="C1968"/>
      <c r="D1968"/>
      <c r="L1968"/>
      <c r="R1968"/>
      <c r="S1968"/>
      <c r="T1968"/>
      <c r="U1968"/>
    </row>
    <row r="1969" spans="1:21">
      <c r="A1969"/>
      <c r="C1969"/>
      <c r="D1969"/>
      <c r="L1969"/>
      <c r="R1969"/>
      <c r="S1969"/>
      <c r="T1969"/>
      <c r="U1969"/>
    </row>
    <row r="1970" spans="1:21">
      <c r="A1970"/>
      <c r="C1970"/>
      <c r="D1970"/>
      <c r="L1970"/>
      <c r="R1970"/>
      <c r="S1970"/>
      <c r="T1970"/>
      <c r="U1970"/>
    </row>
    <row r="1971" spans="1:21">
      <c r="A1971"/>
      <c r="C1971"/>
      <c r="D1971"/>
      <c r="L1971"/>
      <c r="R1971"/>
      <c r="S1971"/>
      <c r="T1971"/>
      <c r="U1971"/>
    </row>
    <row r="1972" spans="1:21">
      <c r="A1972"/>
      <c r="C1972"/>
      <c r="D1972"/>
      <c r="L1972"/>
      <c r="R1972"/>
      <c r="S1972"/>
      <c r="T1972"/>
      <c r="U1972"/>
    </row>
    <row r="1973" spans="1:21">
      <c r="A1973"/>
      <c r="C1973"/>
      <c r="D1973"/>
      <c r="L1973"/>
      <c r="R1973"/>
      <c r="S1973"/>
      <c r="T1973"/>
      <c r="U1973"/>
    </row>
    <row r="1974" spans="1:21">
      <c r="A1974"/>
      <c r="C1974"/>
      <c r="D1974"/>
      <c r="L1974"/>
      <c r="R1974"/>
      <c r="S1974"/>
      <c r="T1974"/>
      <c r="U1974"/>
    </row>
    <row r="1975" spans="1:21">
      <c r="A1975"/>
      <c r="C1975"/>
      <c r="D1975"/>
      <c r="L1975"/>
      <c r="R1975"/>
      <c r="S1975"/>
      <c r="T1975"/>
      <c r="U1975"/>
    </row>
    <row r="1976" spans="1:21">
      <c r="A1976"/>
      <c r="C1976"/>
      <c r="D1976"/>
      <c r="L1976"/>
      <c r="R1976"/>
      <c r="S1976"/>
      <c r="T1976"/>
      <c r="U1976"/>
    </row>
    <row r="1977" spans="1:21">
      <c r="A1977"/>
      <c r="C1977"/>
      <c r="D1977"/>
      <c r="L1977"/>
      <c r="R1977"/>
      <c r="S1977"/>
      <c r="T1977"/>
      <c r="U1977"/>
    </row>
    <row r="1978" spans="1:21">
      <c r="A1978"/>
      <c r="C1978"/>
      <c r="D1978"/>
      <c r="L1978"/>
      <c r="R1978"/>
      <c r="S1978"/>
      <c r="T1978"/>
      <c r="U1978"/>
    </row>
    <row r="1979" spans="1:21">
      <c r="A1979"/>
      <c r="C1979"/>
      <c r="D1979"/>
      <c r="L1979"/>
      <c r="R1979"/>
      <c r="S1979"/>
      <c r="T1979"/>
      <c r="U1979"/>
    </row>
    <row r="1980" spans="1:21">
      <c r="A1980"/>
      <c r="C1980"/>
      <c r="D1980"/>
      <c r="L1980"/>
      <c r="R1980"/>
      <c r="S1980"/>
      <c r="T1980"/>
      <c r="U1980"/>
    </row>
    <row r="1981" spans="1:21">
      <c r="A1981"/>
      <c r="C1981"/>
      <c r="D1981"/>
      <c r="L1981"/>
      <c r="R1981"/>
      <c r="S1981"/>
      <c r="T1981"/>
      <c r="U1981"/>
    </row>
    <row r="1982" spans="1:21">
      <c r="A1982"/>
      <c r="C1982"/>
      <c r="D1982"/>
      <c r="L1982"/>
      <c r="R1982"/>
      <c r="S1982"/>
      <c r="T1982"/>
      <c r="U1982"/>
    </row>
    <row r="1983" spans="1:21">
      <c r="A1983"/>
      <c r="C1983"/>
      <c r="D1983"/>
      <c r="L1983"/>
      <c r="R1983"/>
      <c r="S1983"/>
      <c r="T1983"/>
      <c r="U1983"/>
    </row>
    <row r="1984" spans="1:21">
      <c r="A1984"/>
      <c r="C1984"/>
      <c r="D1984"/>
      <c r="L1984"/>
      <c r="R1984"/>
      <c r="S1984"/>
      <c r="T1984"/>
      <c r="U1984"/>
    </row>
    <row r="1985" spans="1:21">
      <c r="A1985"/>
      <c r="C1985"/>
      <c r="D1985"/>
      <c r="L1985"/>
      <c r="R1985"/>
      <c r="S1985"/>
      <c r="T1985"/>
      <c r="U1985"/>
    </row>
    <row r="1986" spans="1:21">
      <c r="A1986"/>
      <c r="C1986"/>
      <c r="D1986"/>
      <c r="L1986"/>
      <c r="R1986"/>
      <c r="S1986"/>
      <c r="T1986"/>
      <c r="U1986"/>
    </row>
    <row r="1987" spans="1:21">
      <c r="A1987"/>
      <c r="C1987"/>
      <c r="D1987"/>
      <c r="L1987"/>
      <c r="R1987"/>
      <c r="S1987"/>
      <c r="T1987"/>
      <c r="U1987"/>
    </row>
    <row r="1988" spans="1:21">
      <c r="A1988"/>
      <c r="C1988"/>
      <c r="D1988"/>
      <c r="L1988"/>
      <c r="R1988"/>
      <c r="S1988"/>
      <c r="T1988"/>
      <c r="U1988"/>
    </row>
    <row r="1989" spans="1:21">
      <c r="A1989"/>
      <c r="C1989"/>
      <c r="D1989"/>
      <c r="L1989"/>
      <c r="R1989"/>
      <c r="S1989"/>
      <c r="T1989"/>
      <c r="U1989"/>
    </row>
    <row r="1990" spans="1:21">
      <c r="A1990"/>
      <c r="C1990"/>
      <c r="D1990"/>
      <c r="L1990"/>
      <c r="R1990"/>
      <c r="S1990"/>
      <c r="T1990"/>
      <c r="U1990"/>
    </row>
    <row r="1991" spans="1:21">
      <c r="A1991"/>
      <c r="C1991"/>
      <c r="D1991"/>
      <c r="L1991"/>
      <c r="R1991"/>
      <c r="S1991"/>
      <c r="T1991"/>
      <c r="U1991"/>
    </row>
    <row r="1992" spans="1:21">
      <c r="A1992"/>
      <c r="C1992"/>
      <c r="D1992"/>
      <c r="L1992"/>
      <c r="R1992"/>
      <c r="S1992"/>
      <c r="T1992"/>
      <c r="U1992"/>
    </row>
    <row r="1993" spans="1:21">
      <c r="A1993"/>
      <c r="C1993"/>
      <c r="D1993"/>
      <c r="L1993"/>
      <c r="R1993"/>
      <c r="S1993"/>
      <c r="T1993"/>
      <c r="U1993"/>
    </row>
    <row r="1994" spans="1:21">
      <c r="A1994"/>
      <c r="C1994"/>
      <c r="D1994"/>
      <c r="L1994"/>
      <c r="R1994"/>
      <c r="S1994"/>
      <c r="T1994"/>
      <c r="U1994"/>
    </row>
    <row r="1995" spans="1:21">
      <c r="A1995"/>
      <c r="C1995"/>
      <c r="D1995"/>
      <c r="L1995"/>
      <c r="R1995"/>
      <c r="S1995"/>
      <c r="T1995"/>
      <c r="U1995"/>
    </row>
    <row r="1996" spans="1:21">
      <c r="A1996"/>
      <c r="C1996"/>
      <c r="D1996"/>
      <c r="L1996"/>
      <c r="R1996"/>
      <c r="S1996"/>
      <c r="T1996"/>
      <c r="U1996"/>
    </row>
    <row r="1997" spans="1:21">
      <c r="A1997"/>
      <c r="C1997"/>
      <c r="D1997"/>
      <c r="L1997"/>
      <c r="R1997"/>
      <c r="S1997"/>
      <c r="T1997"/>
      <c r="U1997"/>
    </row>
    <row r="1998" spans="1:21">
      <c r="A1998"/>
      <c r="C1998"/>
      <c r="D1998"/>
      <c r="L1998"/>
      <c r="R1998"/>
      <c r="S1998"/>
      <c r="T1998"/>
      <c r="U1998"/>
    </row>
    <row r="1999" spans="1:21">
      <c r="A1999"/>
      <c r="C1999"/>
      <c r="D1999"/>
      <c r="L1999"/>
      <c r="R1999"/>
      <c r="S1999"/>
      <c r="T1999"/>
      <c r="U1999"/>
    </row>
    <row r="2000" spans="1:21">
      <c r="A2000"/>
      <c r="C2000"/>
      <c r="D2000"/>
      <c r="L2000"/>
      <c r="R2000"/>
      <c r="S2000"/>
      <c r="T2000"/>
      <c r="U2000"/>
    </row>
    <row r="2001" spans="1:21">
      <c r="A2001"/>
      <c r="C2001"/>
      <c r="D2001"/>
      <c r="L2001"/>
      <c r="R2001"/>
      <c r="S2001"/>
      <c r="T2001"/>
      <c r="U2001"/>
    </row>
    <row r="2002" spans="1:21">
      <c r="A2002"/>
      <c r="C2002"/>
      <c r="D2002"/>
      <c r="L2002"/>
      <c r="R2002"/>
      <c r="S2002"/>
      <c r="T2002"/>
      <c r="U2002"/>
    </row>
    <row r="2003" spans="1:21">
      <c r="A2003"/>
      <c r="C2003"/>
      <c r="D2003"/>
      <c r="L2003"/>
      <c r="R2003"/>
      <c r="S2003"/>
      <c r="T2003"/>
      <c r="U2003"/>
    </row>
    <row r="2004" spans="1:21">
      <c r="A2004"/>
      <c r="C2004"/>
      <c r="D2004"/>
      <c r="L2004"/>
      <c r="R2004"/>
      <c r="S2004"/>
      <c r="T2004"/>
      <c r="U2004"/>
    </row>
    <row r="2005" spans="1:21">
      <c r="A2005"/>
      <c r="C2005"/>
      <c r="D2005"/>
      <c r="L2005"/>
      <c r="R2005"/>
      <c r="S2005"/>
      <c r="T2005"/>
      <c r="U2005"/>
    </row>
    <row r="2006" spans="1:21">
      <c r="A2006"/>
      <c r="C2006"/>
      <c r="D2006"/>
      <c r="L2006"/>
      <c r="R2006"/>
      <c r="S2006"/>
      <c r="T2006"/>
      <c r="U2006"/>
    </row>
    <row r="2007" spans="1:21">
      <c r="A2007"/>
      <c r="C2007"/>
      <c r="D2007"/>
      <c r="L2007"/>
      <c r="R2007"/>
      <c r="S2007"/>
      <c r="T2007"/>
      <c r="U2007"/>
    </row>
    <row r="2008" spans="1:21">
      <c r="A2008"/>
      <c r="C2008"/>
      <c r="D2008"/>
      <c r="L2008"/>
      <c r="R2008"/>
      <c r="S2008"/>
      <c r="T2008"/>
      <c r="U2008"/>
    </row>
    <row r="2009" spans="1:21">
      <c r="A2009"/>
      <c r="C2009"/>
      <c r="D2009"/>
      <c r="L2009"/>
      <c r="R2009"/>
      <c r="S2009"/>
      <c r="T2009"/>
      <c r="U2009"/>
    </row>
    <row r="2010" spans="1:21">
      <c r="A2010"/>
      <c r="C2010"/>
      <c r="D2010"/>
      <c r="L2010"/>
      <c r="R2010"/>
      <c r="S2010"/>
      <c r="T2010"/>
      <c r="U2010"/>
    </row>
    <row r="2011" spans="1:21">
      <c r="A2011"/>
      <c r="C2011"/>
      <c r="D2011"/>
      <c r="L2011"/>
      <c r="R2011"/>
      <c r="S2011"/>
      <c r="T2011"/>
      <c r="U2011"/>
    </row>
    <row r="2012" spans="1:21">
      <c r="A2012"/>
      <c r="C2012"/>
      <c r="D2012"/>
      <c r="L2012"/>
      <c r="R2012"/>
      <c r="S2012"/>
      <c r="T2012"/>
      <c r="U2012"/>
    </row>
    <row r="2013" spans="1:21">
      <c r="A2013"/>
      <c r="C2013"/>
      <c r="D2013"/>
      <c r="L2013"/>
      <c r="R2013"/>
      <c r="S2013"/>
      <c r="T2013"/>
      <c r="U2013"/>
    </row>
    <row r="2014" spans="1:21">
      <c r="A2014"/>
      <c r="C2014"/>
      <c r="D2014"/>
      <c r="L2014"/>
      <c r="R2014"/>
      <c r="S2014"/>
      <c r="T2014"/>
      <c r="U2014"/>
    </row>
    <row r="2015" spans="1:21">
      <c r="A2015"/>
      <c r="C2015"/>
      <c r="D2015"/>
      <c r="L2015"/>
      <c r="R2015"/>
      <c r="S2015"/>
      <c r="T2015"/>
      <c r="U2015"/>
    </row>
    <row r="2016" spans="1:21">
      <c r="A2016"/>
      <c r="C2016"/>
      <c r="D2016"/>
      <c r="L2016"/>
      <c r="R2016"/>
      <c r="S2016"/>
      <c r="T2016"/>
      <c r="U2016"/>
    </row>
    <row r="2017" spans="1:21">
      <c r="A2017"/>
      <c r="C2017"/>
      <c r="D2017"/>
      <c r="L2017"/>
      <c r="R2017"/>
      <c r="S2017"/>
      <c r="T2017"/>
      <c r="U2017"/>
    </row>
    <row r="2018" spans="1:21">
      <c r="A2018"/>
      <c r="C2018"/>
      <c r="D2018"/>
      <c r="L2018"/>
      <c r="R2018"/>
      <c r="S2018"/>
      <c r="T2018"/>
      <c r="U2018"/>
    </row>
    <row r="2019" spans="1:21">
      <c r="A2019"/>
      <c r="C2019"/>
      <c r="D2019"/>
      <c r="L2019"/>
      <c r="R2019"/>
      <c r="S2019"/>
      <c r="T2019"/>
      <c r="U2019"/>
    </row>
    <row r="2020" spans="1:21">
      <c r="A2020"/>
      <c r="C2020"/>
      <c r="D2020"/>
      <c r="L2020"/>
      <c r="R2020"/>
      <c r="S2020"/>
      <c r="T2020"/>
      <c r="U2020"/>
    </row>
    <row r="2021" spans="1:21">
      <c r="A2021"/>
      <c r="C2021"/>
      <c r="D2021"/>
      <c r="L2021"/>
      <c r="R2021"/>
      <c r="S2021"/>
      <c r="T2021"/>
      <c r="U2021"/>
    </row>
    <row r="2022" spans="1:21">
      <c r="A2022"/>
      <c r="C2022"/>
      <c r="D2022"/>
      <c r="L2022"/>
      <c r="R2022"/>
      <c r="S2022"/>
      <c r="T2022"/>
      <c r="U2022"/>
    </row>
    <row r="2023" spans="1:21">
      <c r="A2023"/>
      <c r="C2023"/>
      <c r="D2023"/>
      <c r="L2023"/>
      <c r="R2023"/>
      <c r="S2023"/>
      <c r="T2023"/>
      <c r="U2023"/>
    </row>
    <row r="2024" spans="1:21">
      <c r="A2024"/>
      <c r="C2024"/>
      <c r="D2024"/>
      <c r="L2024"/>
      <c r="R2024"/>
      <c r="S2024"/>
      <c r="T2024"/>
      <c r="U2024"/>
    </row>
    <row r="2025" spans="1:21">
      <c r="A2025"/>
      <c r="C2025"/>
      <c r="D2025"/>
      <c r="L2025"/>
      <c r="R2025"/>
      <c r="S2025"/>
      <c r="T2025"/>
      <c r="U2025"/>
    </row>
    <row r="2026" spans="1:21">
      <c r="A2026"/>
      <c r="C2026"/>
      <c r="D2026"/>
      <c r="L2026"/>
      <c r="R2026"/>
      <c r="S2026"/>
      <c r="T2026"/>
      <c r="U2026"/>
    </row>
    <row r="2027" spans="1:21">
      <c r="A2027"/>
      <c r="C2027"/>
      <c r="D2027"/>
      <c r="L2027"/>
      <c r="R2027"/>
      <c r="S2027"/>
      <c r="T2027"/>
      <c r="U2027"/>
    </row>
    <row r="2028" spans="1:21">
      <c r="A2028"/>
      <c r="C2028"/>
      <c r="D2028"/>
      <c r="L2028"/>
      <c r="R2028"/>
      <c r="S2028"/>
      <c r="T2028"/>
      <c r="U2028"/>
    </row>
    <row r="2029" spans="1:21">
      <c r="A2029"/>
      <c r="C2029"/>
      <c r="D2029"/>
      <c r="L2029"/>
      <c r="R2029"/>
      <c r="S2029"/>
      <c r="T2029"/>
      <c r="U2029"/>
    </row>
    <row r="2030" spans="1:21">
      <c r="A2030"/>
      <c r="C2030"/>
      <c r="D2030"/>
      <c r="L2030"/>
      <c r="R2030"/>
      <c r="S2030"/>
      <c r="T2030"/>
      <c r="U2030"/>
    </row>
    <row r="2031" spans="1:21">
      <c r="A2031"/>
      <c r="C2031"/>
      <c r="D2031"/>
      <c r="L2031"/>
      <c r="R2031"/>
      <c r="S2031"/>
      <c r="T2031"/>
      <c r="U2031"/>
    </row>
    <row r="2032" spans="1:21">
      <c r="A2032"/>
      <c r="C2032"/>
      <c r="D2032"/>
      <c r="L2032"/>
      <c r="R2032"/>
      <c r="S2032"/>
      <c r="T2032"/>
      <c r="U2032"/>
    </row>
    <row r="2033" spans="1:21">
      <c r="A2033"/>
      <c r="C2033"/>
      <c r="D2033"/>
      <c r="L2033"/>
      <c r="R2033"/>
      <c r="S2033"/>
      <c r="T2033"/>
      <c r="U2033"/>
    </row>
    <row r="2034" spans="1:21">
      <c r="A2034"/>
      <c r="C2034"/>
      <c r="D2034"/>
      <c r="L2034"/>
      <c r="R2034"/>
      <c r="S2034"/>
      <c r="T2034"/>
      <c r="U2034"/>
    </row>
    <row r="2035" spans="1:21">
      <c r="A2035"/>
      <c r="C2035"/>
      <c r="D2035"/>
      <c r="L2035"/>
      <c r="R2035"/>
      <c r="S2035"/>
      <c r="T2035"/>
      <c r="U2035"/>
    </row>
    <row r="2036" spans="1:21">
      <c r="A2036"/>
      <c r="C2036"/>
      <c r="D2036"/>
      <c r="L2036"/>
      <c r="R2036"/>
      <c r="S2036"/>
      <c r="T2036"/>
      <c r="U2036"/>
    </row>
    <row r="2037" spans="1:21">
      <c r="A2037"/>
      <c r="C2037"/>
      <c r="D2037"/>
      <c r="L2037"/>
      <c r="R2037"/>
      <c r="S2037"/>
      <c r="T2037"/>
      <c r="U2037"/>
    </row>
    <row r="2038" spans="1:21">
      <c r="A2038"/>
      <c r="C2038"/>
      <c r="D2038"/>
      <c r="L2038"/>
      <c r="R2038"/>
      <c r="S2038"/>
      <c r="T2038"/>
      <c r="U2038"/>
    </row>
    <row r="2039" spans="1:21">
      <c r="A2039"/>
      <c r="C2039"/>
      <c r="D2039"/>
      <c r="L2039"/>
      <c r="R2039"/>
      <c r="S2039"/>
      <c r="T2039"/>
      <c r="U2039"/>
    </row>
    <row r="2040" spans="1:21">
      <c r="A2040"/>
      <c r="C2040"/>
      <c r="D2040"/>
      <c r="L2040"/>
      <c r="R2040"/>
      <c r="S2040"/>
      <c r="T2040"/>
      <c r="U2040"/>
    </row>
    <row r="2041" spans="1:21">
      <c r="A2041"/>
      <c r="C2041"/>
      <c r="D2041"/>
      <c r="L2041"/>
      <c r="R2041"/>
      <c r="S2041"/>
      <c r="T2041"/>
      <c r="U2041"/>
    </row>
    <row r="2042" spans="1:21">
      <c r="A2042"/>
      <c r="C2042"/>
      <c r="D2042"/>
      <c r="L2042"/>
      <c r="R2042"/>
      <c r="S2042"/>
      <c r="T2042"/>
      <c r="U2042"/>
    </row>
    <row r="2043" spans="1:21">
      <c r="A2043"/>
      <c r="C2043"/>
      <c r="D2043"/>
      <c r="L2043"/>
      <c r="R2043"/>
      <c r="S2043"/>
      <c r="T2043"/>
      <c r="U2043"/>
    </row>
    <row r="2044" spans="1:21">
      <c r="A2044"/>
      <c r="C2044"/>
      <c r="D2044"/>
      <c r="L2044"/>
      <c r="R2044"/>
      <c r="S2044"/>
      <c r="T2044"/>
      <c r="U2044"/>
    </row>
    <row r="2045" spans="1:21">
      <c r="A2045"/>
      <c r="C2045"/>
      <c r="D2045"/>
      <c r="L2045"/>
      <c r="R2045"/>
      <c r="S2045"/>
      <c r="T2045"/>
      <c r="U2045"/>
    </row>
    <row r="2046" spans="1:21">
      <c r="A2046"/>
      <c r="C2046"/>
      <c r="D2046"/>
      <c r="L2046"/>
      <c r="R2046"/>
      <c r="S2046"/>
      <c r="T2046"/>
      <c r="U2046"/>
    </row>
    <row r="2047" spans="1:21">
      <c r="A2047"/>
      <c r="C2047"/>
      <c r="D2047"/>
      <c r="L2047"/>
      <c r="R2047"/>
      <c r="S2047"/>
      <c r="T2047"/>
      <c r="U2047"/>
    </row>
    <row r="2048" spans="1:21">
      <c r="A2048"/>
      <c r="C2048"/>
      <c r="D2048"/>
      <c r="L2048"/>
      <c r="R2048"/>
      <c r="S2048"/>
      <c r="T2048"/>
      <c r="U2048"/>
    </row>
    <row r="2049" spans="1:21">
      <c r="A2049"/>
      <c r="C2049"/>
      <c r="D2049"/>
      <c r="L2049"/>
      <c r="R2049"/>
      <c r="S2049"/>
      <c r="T2049"/>
      <c r="U2049"/>
    </row>
    <row r="2050" spans="1:21">
      <c r="A2050"/>
      <c r="C2050"/>
      <c r="D2050"/>
      <c r="L2050"/>
      <c r="R2050"/>
      <c r="S2050"/>
      <c r="T2050"/>
      <c r="U2050"/>
    </row>
    <row r="2051" spans="1:21">
      <c r="A2051"/>
      <c r="C2051"/>
      <c r="D2051"/>
      <c r="L2051"/>
      <c r="R2051"/>
      <c r="S2051"/>
      <c r="T2051"/>
      <c r="U2051"/>
    </row>
    <row r="2052" spans="1:21">
      <c r="A2052"/>
      <c r="C2052"/>
      <c r="D2052"/>
      <c r="L2052"/>
      <c r="R2052"/>
      <c r="S2052"/>
      <c r="T2052"/>
      <c r="U2052"/>
    </row>
    <row r="2053" spans="1:21">
      <c r="A2053"/>
      <c r="C2053"/>
      <c r="D2053"/>
      <c r="L2053"/>
      <c r="R2053"/>
      <c r="S2053"/>
      <c r="T2053"/>
      <c r="U2053"/>
    </row>
    <row r="2054" spans="1:21">
      <c r="A2054"/>
      <c r="C2054"/>
      <c r="D2054"/>
      <c r="L2054"/>
      <c r="R2054"/>
      <c r="S2054"/>
      <c r="T2054"/>
      <c r="U2054"/>
    </row>
    <row r="2055" spans="1:21">
      <c r="A2055"/>
      <c r="C2055"/>
      <c r="D2055"/>
      <c r="L2055"/>
      <c r="R2055"/>
      <c r="S2055"/>
      <c r="T2055"/>
      <c r="U2055"/>
    </row>
    <row r="2056" spans="1:21">
      <c r="A2056"/>
      <c r="C2056"/>
      <c r="D2056"/>
      <c r="L2056"/>
      <c r="R2056"/>
      <c r="S2056"/>
      <c r="T2056"/>
      <c r="U2056"/>
    </row>
    <row r="2057" spans="1:21">
      <c r="A2057"/>
      <c r="C2057"/>
      <c r="D2057"/>
      <c r="L2057"/>
      <c r="R2057"/>
      <c r="S2057"/>
      <c r="T2057"/>
      <c r="U2057"/>
    </row>
    <row r="2058" spans="1:21">
      <c r="A2058"/>
      <c r="C2058"/>
      <c r="D2058"/>
      <c r="L2058"/>
      <c r="R2058"/>
      <c r="S2058"/>
      <c r="T2058"/>
      <c r="U2058"/>
    </row>
    <row r="2059" spans="1:21">
      <c r="A2059"/>
      <c r="C2059"/>
      <c r="D2059"/>
      <c r="L2059"/>
      <c r="R2059"/>
      <c r="S2059"/>
      <c r="T2059"/>
      <c r="U2059"/>
    </row>
    <row r="2060" spans="1:21">
      <c r="A2060"/>
      <c r="C2060"/>
      <c r="D2060"/>
      <c r="L2060"/>
      <c r="R2060"/>
      <c r="S2060"/>
      <c r="T2060"/>
      <c r="U2060"/>
    </row>
    <row r="2061" spans="1:21">
      <c r="A2061"/>
      <c r="C2061"/>
      <c r="D2061"/>
      <c r="L2061"/>
      <c r="R2061"/>
      <c r="S2061"/>
      <c r="T2061"/>
      <c r="U2061"/>
    </row>
    <row r="2062" spans="1:21">
      <c r="A2062"/>
      <c r="C2062"/>
      <c r="D2062"/>
      <c r="L2062"/>
      <c r="R2062"/>
      <c r="S2062"/>
      <c r="T2062"/>
      <c r="U2062"/>
    </row>
    <row r="2063" spans="1:21">
      <c r="A2063"/>
      <c r="C2063"/>
      <c r="D2063"/>
      <c r="L2063"/>
      <c r="R2063"/>
      <c r="S2063"/>
      <c r="T2063"/>
      <c r="U2063"/>
    </row>
    <row r="2064" spans="1:21">
      <c r="A2064"/>
      <c r="C2064"/>
      <c r="D2064"/>
      <c r="L2064"/>
      <c r="R2064"/>
      <c r="S2064"/>
      <c r="T2064"/>
      <c r="U2064"/>
    </row>
    <row r="2065" spans="1:21">
      <c r="A2065"/>
      <c r="C2065"/>
      <c r="D2065"/>
      <c r="L2065"/>
      <c r="R2065"/>
      <c r="S2065"/>
      <c r="T2065"/>
      <c r="U2065"/>
    </row>
    <row r="2066" spans="1:21">
      <c r="A2066"/>
      <c r="C2066"/>
      <c r="D2066"/>
      <c r="L2066"/>
      <c r="R2066"/>
      <c r="S2066"/>
      <c r="T2066"/>
      <c r="U2066"/>
    </row>
    <row r="2067" spans="1:21">
      <c r="A2067"/>
      <c r="C2067"/>
      <c r="D2067"/>
      <c r="L2067"/>
      <c r="R2067"/>
      <c r="S2067"/>
      <c r="T2067"/>
      <c r="U2067"/>
    </row>
    <row r="2068" spans="1:21">
      <c r="A2068"/>
      <c r="C2068"/>
      <c r="D2068"/>
      <c r="L2068"/>
      <c r="R2068"/>
      <c r="S2068"/>
      <c r="T2068"/>
      <c r="U2068"/>
    </row>
    <row r="2069" spans="1:21">
      <c r="A2069"/>
      <c r="C2069"/>
      <c r="D2069"/>
      <c r="L2069"/>
      <c r="R2069"/>
      <c r="S2069"/>
      <c r="T2069"/>
      <c r="U2069"/>
    </row>
    <row r="2070" spans="1:21">
      <c r="A2070"/>
      <c r="C2070"/>
      <c r="D2070"/>
      <c r="L2070"/>
      <c r="R2070"/>
      <c r="S2070"/>
      <c r="T2070"/>
      <c r="U2070"/>
    </row>
    <row r="2071" spans="1:21">
      <c r="A2071"/>
      <c r="C2071"/>
      <c r="D2071"/>
      <c r="L2071"/>
      <c r="R2071"/>
      <c r="S2071"/>
      <c r="T2071"/>
      <c r="U2071"/>
    </row>
    <row r="2072" spans="1:21">
      <c r="A2072"/>
      <c r="C2072"/>
      <c r="D2072"/>
      <c r="L2072"/>
      <c r="R2072"/>
      <c r="S2072"/>
      <c r="T2072"/>
      <c r="U2072"/>
    </row>
    <row r="2073" spans="1:21">
      <c r="A2073"/>
      <c r="C2073"/>
      <c r="D2073"/>
      <c r="L2073"/>
      <c r="R2073"/>
      <c r="S2073"/>
      <c r="T2073"/>
      <c r="U2073"/>
    </row>
    <row r="2074" spans="1:21">
      <c r="A2074"/>
      <c r="C2074"/>
      <c r="D2074"/>
      <c r="L2074"/>
      <c r="R2074"/>
      <c r="S2074"/>
      <c r="T2074"/>
      <c r="U2074"/>
    </row>
    <row r="2075" spans="1:21">
      <c r="A2075"/>
      <c r="C2075"/>
      <c r="D2075"/>
      <c r="L2075"/>
      <c r="R2075"/>
      <c r="S2075"/>
      <c r="T2075"/>
      <c r="U2075"/>
    </row>
    <row r="2076" spans="1:21">
      <c r="A2076"/>
      <c r="C2076"/>
      <c r="D2076"/>
      <c r="L2076"/>
      <c r="R2076"/>
      <c r="S2076"/>
      <c r="T2076"/>
      <c r="U2076"/>
    </row>
    <row r="2077" spans="1:21">
      <c r="A2077"/>
      <c r="C2077"/>
      <c r="D2077"/>
      <c r="L2077"/>
      <c r="R2077"/>
      <c r="S2077"/>
      <c r="T2077"/>
      <c r="U2077"/>
    </row>
    <row r="2078" spans="1:21">
      <c r="A2078"/>
      <c r="C2078"/>
      <c r="D2078"/>
      <c r="L2078"/>
      <c r="R2078"/>
      <c r="S2078"/>
      <c r="T2078"/>
      <c r="U2078"/>
    </row>
    <row r="2079" spans="1:21">
      <c r="A2079"/>
      <c r="C2079"/>
      <c r="D2079"/>
      <c r="L2079"/>
      <c r="R2079"/>
      <c r="S2079"/>
      <c r="T2079"/>
      <c r="U2079"/>
    </row>
    <row r="2080" spans="1:21">
      <c r="A2080"/>
      <c r="C2080"/>
      <c r="D2080"/>
      <c r="L2080"/>
      <c r="R2080"/>
      <c r="S2080"/>
      <c r="T2080"/>
      <c r="U2080"/>
    </row>
    <row r="2081" spans="1:21">
      <c r="A2081"/>
      <c r="C2081"/>
      <c r="D2081"/>
      <c r="L2081"/>
      <c r="R2081"/>
      <c r="S2081"/>
      <c r="T2081"/>
      <c r="U2081"/>
    </row>
    <row r="2082" spans="1:21">
      <c r="A2082"/>
      <c r="C2082"/>
      <c r="D2082"/>
      <c r="L2082"/>
      <c r="R2082"/>
      <c r="S2082"/>
      <c r="T2082"/>
      <c r="U2082"/>
    </row>
    <row r="2083" spans="1:21">
      <c r="A2083"/>
      <c r="C2083"/>
      <c r="D2083"/>
      <c r="L2083"/>
      <c r="R2083"/>
      <c r="S2083"/>
      <c r="T2083"/>
      <c r="U2083"/>
    </row>
    <row r="2084" spans="1:21">
      <c r="A2084"/>
      <c r="C2084"/>
      <c r="D2084"/>
      <c r="L2084"/>
      <c r="R2084"/>
      <c r="S2084"/>
      <c r="T2084"/>
      <c r="U2084"/>
    </row>
    <row r="2085" spans="1:21">
      <c r="A2085"/>
      <c r="C2085"/>
      <c r="D2085"/>
      <c r="L2085"/>
      <c r="R2085"/>
      <c r="S2085"/>
      <c r="T2085"/>
      <c r="U2085"/>
    </row>
    <row r="2086" spans="1:21">
      <c r="A2086"/>
      <c r="C2086"/>
      <c r="D2086"/>
      <c r="L2086"/>
      <c r="R2086"/>
      <c r="S2086"/>
      <c r="T2086"/>
      <c r="U2086"/>
    </row>
    <row r="2087" spans="1:21">
      <c r="A2087"/>
      <c r="C2087"/>
      <c r="D2087"/>
      <c r="L2087"/>
      <c r="R2087"/>
      <c r="S2087"/>
      <c r="T2087"/>
      <c r="U2087"/>
    </row>
    <row r="2088" spans="1:21">
      <c r="A2088"/>
      <c r="C2088"/>
      <c r="D2088"/>
      <c r="L2088"/>
      <c r="R2088"/>
      <c r="S2088"/>
      <c r="T2088"/>
      <c r="U2088"/>
    </row>
    <row r="2089" spans="1:21">
      <c r="A2089"/>
      <c r="C2089"/>
      <c r="D2089"/>
      <c r="L2089"/>
      <c r="R2089"/>
      <c r="S2089"/>
      <c r="T2089"/>
      <c r="U2089"/>
    </row>
    <row r="2090" spans="1:21">
      <c r="A2090"/>
      <c r="C2090"/>
      <c r="D2090"/>
      <c r="L2090"/>
      <c r="R2090"/>
      <c r="S2090"/>
      <c r="T2090"/>
      <c r="U2090"/>
    </row>
    <row r="2091" spans="1:21">
      <c r="A2091"/>
      <c r="C2091"/>
      <c r="D2091"/>
      <c r="L2091"/>
      <c r="R2091"/>
      <c r="S2091"/>
      <c r="T2091"/>
      <c r="U2091"/>
    </row>
    <row r="2092" spans="1:21">
      <c r="A2092"/>
      <c r="C2092"/>
      <c r="D2092"/>
      <c r="L2092"/>
      <c r="R2092"/>
      <c r="S2092"/>
      <c r="T2092"/>
      <c r="U2092"/>
    </row>
    <row r="2093" spans="1:21">
      <c r="A2093"/>
      <c r="C2093"/>
      <c r="D2093"/>
      <c r="L2093"/>
      <c r="R2093"/>
      <c r="S2093"/>
      <c r="T2093"/>
      <c r="U2093"/>
    </row>
    <row r="2094" spans="1:21">
      <c r="A2094"/>
      <c r="C2094"/>
      <c r="D2094"/>
      <c r="L2094"/>
      <c r="R2094"/>
      <c r="S2094"/>
      <c r="T2094"/>
      <c r="U2094"/>
    </row>
    <row r="2095" spans="1:21">
      <c r="A2095"/>
      <c r="C2095"/>
      <c r="D2095"/>
      <c r="L2095"/>
      <c r="R2095"/>
      <c r="S2095"/>
      <c r="T2095"/>
      <c r="U2095"/>
    </row>
    <row r="2096" spans="1:21">
      <c r="A2096"/>
      <c r="C2096"/>
      <c r="D2096"/>
      <c r="L2096"/>
      <c r="R2096"/>
      <c r="S2096"/>
      <c r="T2096"/>
      <c r="U2096"/>
    </row>
    <row r="2097" spans="1:21">
      <c r="A2097"/>
      <c r="C2097"/>
      <c r="D2097"/>
      <c r="L2097"/>
      <c r="R2097"/>
      <c r="S2097"/>
      <c r="T2097"/>
      <c r="U2097"/>
    </row>
    <row r="2098" spans="1:21">
      <c r="A2098"/>
      <c r="C2098"/>
      <c r="D2098"/>
      <c r="L2098"/>
      <c r="R2098"/>
      <c r="S2098"/>
      <c r="T2098"/>
      <c r="U2098"/>
    </row>
    <row r="2099" spans="1:21">
      <c r="A2099"/>
      <c r="C2099"/>
      <c r="D2099"/>
      <c r="L2099"/>
      <c r="R2099"/>
      <c r="S2099"/>
      <c r="T2099"/>
      <c r="U2099"/>
    </row>
    <row r="2100" spans="1:21">
      <c r="A2100"/>
      <c r="C2100"/>
      <c r="D2100"/>
      <c r="L2100"/>
      <c r="R2100"/>
      <c r="S2100"/>
      <c r="T2100"/>
      <c r="U2100"/>
    </row>
    <row r="2101" spans="1:21">
      <c r="A2101"/>
      <c r="C2101"/>
      <c r="D2101"/>
      <c r="L2101"/>
      <c r="R2101"/>
      <c r="S2101"/>
      <c r="T2101"/>
      <c r="U2101"/>
    </row>
    <row r="2102" spans="1:21">
      <c r="A2102"/>
      <c r="C2102"/>
      <c r="D2102"/>
      <c r="L2102"/>
      <c r="R2102"/>
      <c r="S2102"/>
      <c r="T2102"/>
      <c r="U2102"/>
    </row>
    <row r="2103" spans="1:21">
      <c r="A2103"/>
      <c r="C2103"/>
      <c r="D2103"/>
      <c r="L2103"/>
      <c r="R2103"/>
      <c r="S2103"/>
      <c r="T2103"/>
      <c r="U2103"/>
    </row>
    <row r="2104" spans="1:21">
      <c r="A2104"/>
      <c r="C2104"/>
      <c r="D2104"/>
      <c r="L2104"/>
      <c r="R2104"/>
      <c r="S2104"/>
      <c r="T2104"/>
      <c r="U2104"/>
    </row>
    <row r="2105" spans="1:21">
      <c r="A2105"/>
      <c r="C2105"/>
      <c r="D2105"/>
      <c r="L2105"/>
      <c r="R2105"/>
      <c r="S2105"/>
      <c r="T2105"/>
      <c r="U2105"/>
    </row>
    <row r="2106" spans="1:21">
      <c r="A2106"/>
      <c r="C2106"/>
      <c r="D2106"/>
      <c r="L2106"/>
      <c r="R2106"/>
      <c r="S2106"/>
      <c r="T2106"/>
      <c r="U2106"/>
    </row>
    <row r="2107" spans="1:21">
      <c r="A2107"/>
      <c r="C2107"/>
      <c r="D2107"/>
      <c r="L2107"/>
      <c r="R2107"/>
      <c r="S2107"/>
      <c r="T2107"/>
      <c r="U2107"/>
    </row>
    <row r="2108" spans="1:21">
      <c r="A2108"/>
      <c r="C2108"/>
      <c r="D2108"/>
      <c r="L2108"/>
      <c r="R2108"/>
      <c r="S2108"/>
      <c r="T2108"/>
      <c r="U2108"/>
    </row>
    <row r="2109" spans="1:21">
      <c r="A2109"/>
      <c r="C2109"/>
      <c r="D2109"/>
      <c r="L2109"/>
      <c r="R2109"/>
      <c r="S2109"/>
      <c r="T2109"/>
      <c r="U2109"/>
    </row>
    <row r="2110" spans="1:21">
      <c r="A2110"/>
      <c r="C2110"/>
      <c r="D2110"/>
      <c r="L2110"/>
      <c r="R2110"/>
      <c r="S2110"/>
      <c r="T2110"/>
      <c r="U2110"/>
    </row>
    <row r="2111" spans="1:21">
      <c r="A2111"/>
      <c r="C2111"/>
      <c r="D2111"/>
      <c r="L2111"/>
      <c r="R2111"/>
      <c r="S2111"/>
      <c r="T2111"/>
      <c r="U2111"/>
    </row>
    <row r="2112" spans="1:21">
      <c r="A2112"/>
      <c r="C2112"/>
      <c r="D2112"/>
      <c r="L2112"/>
      <c r="R2112"/>
      <c r="S2112"/>
      <c r="T2112"/>
      <c r="U2112"/>
    </row>
    <row r="2113" spans="1:21">
      <c r="A2113"/>
      <c r="C2113"/>
      <c r="D2113"/>
      <c r="L2113"/>
      <c r="R2113"/>
      <c r="S2113"/>
      <c r="T2113"/>
      <c r="U2113"/>
    </row>
    <row r="2114" spans="1:21">
      <c r="A2114"/>
      <c r="C2114"/>
      <c r="D2114"/>
      <c r="L2114"/>
      <c r="R2114"/>
      <c r="S2114"/>
      <c r="T2114"/>
      <c r="U2114"/>
    </row>
    <row r="2115" spans="1:21">
      <c r="A2115"/>
      <c r="C2115"/>
      <c r="D2115"/>
      <c r="L2115"/>
      <c r="R2115"/>
      <c r="S2115"/>
      <c r="T2115"/>
      <c r="U2115"/>
    </row>
    <row r="2116" spans="1:21">
      <c r="A2116"/>
      <c r="C2116"/>
      <c r="D2116"/>
      <c r="L2116"/>
      <c r="R2116"/>
      <c r="S2116"/>
      <c r="T2116"/>
      <c r="U2116"/>
    </row>
    <row r="2117" spans="1:21">
      <c r="A2117"/>
      <c r="C2117"/>
      <c r="D2117"/>
      <c r="L2117"/>
      <c r="R2117"/>
      <c r="S2117"/>
      <c r="T2117"/>
      <c r="U2117"/>
    </row>
    <row r="2118" spans="1:21">
      <c r="A2118"/>
      <c r="C2118"/>
      <c r="D2118"/>
      <c r="L2118"/>
      <c r="R2118"/>
      <c r="S2118"/>
      <c r="T2118"/>
      <c r="U2118"/>
    </row>
    <row r="2119" spans="1:21">
      <c r="A2119"/>
      <c r="C2119"/>
      <c r="D2119"/>
      <c r="L2119"/>
      <c r="R2119"/>
      <c r="S2119"/>
      <c r="T2119"/>
      <c r="U2119"/>
    </row>
    <row r="2120" spans="1:21">
      <c r="A2120"/>
      <c r="C2120"/>
      <c r="D2120"/>
      <c r="L2120"/>
      <c r="R2120"/>
      <c r="S2120"/>
      <c r="T2120"/>
      <c r="U2120"/>
    </row>
    <row r="2121" spans="1:21">
      <c r="A2121"/>
      <c r="C2121"/>
      <c r="D2121"/>
      <c r="L2121"/>
      <c r="R2121"/>
      <c r="S2121"/>
      <c r="T2121"/>
      <c r="U2121"/>
    </row>
    <row r="2122" spans="1:21">
      <c r="A2122"/>
      <c r="C2122"/>
      <c r="D2122"/>
      <c r="L2122"/>
      <c r="R2122"/>
      <c r="S2122"/>
      <c r="T2122"/>
      <c r="U2122"/>
    </row>
    <row r="2123" spans="1:21">
      <c r="A2123"/>
      <c r="C2123"/>
      <c r="D2123"/>
      <c r="L2123"/>
      <c r="R2123"/>
      <c r="S2123"/>
      <c r="T2123"/>
      <c r="U2123"/>
    </row>
    <row r="2124" spans="1:21">
      <c r="A2124"/>
      <c r="C2124"/>
      <c r="D2124"/>
      <c r="L2124"/>
      <c r="R2124"/>
      <c r="S2124"/>
      <c r="T2124"/>
      <c r="U2124"/>
    </row>
    <row r="2125" spans="1:21">
      <c r="A2125"/>
      <c r="C2125"/>
      <c r="D2125"/>
      <c r="L2125"/>
      <c r="R2125"/>
      <c r="S2125"/>
      <c r="T2125"/>
      <c r="U2125"/>
    </row>
    <row r="2126" spans="1:21">
      <c r="A2126"/>
      <c r="C2126"/>
      <c r="D2126"/>
      <c r="L2126"/>
      <c r="R2126"/>
      <c r="S2126"/>
      <c r="T2126"/>
      <c r="U2126"/>
    </row>
    <row r="2127" spans="1:21">
      <c r="A2127"/>
      <c r="C2127"/>
      <c r="D2127"/>
      <c r="L2127"/>
      <c r="R2127"/>
      <c r="S2127"/>
      <c r="T2127"/>
      <c r="U2127"/>
    </row>
    <row r="2128" spans="1:21">
      <c r="A2128"/>
      <c r="C2128"/>
      <c r="D2128"/>
      <c r="L2128"/>
      <c r="R2128"/>
      <c r="S2128"/>
      <c r="T2128"/>
      <c r="U2128"/>
    </row>
    <row r="2129" spans="1:21">
      <c r="A2129"/>
      <c r="C2129"/>
      <c r="D2129"/>
      <c r="L2129"/>
      <c r="R2129"/>
      <c r="S2129"/>
      <c r="T2129"/>
      <c r="U2129"/>
    </row>
    <row r="2130" spans="1:21">
      <c r="A2130"/>
      <c r="C2130"/>
      <c r="D2130"/>
      <c r="L2130"/>
      <c r="R2130"/>
      <c r="S2130"/>
      <c r="T2130"/>
      <c r="U2130"/>
    </row>
    <row r="2131" spans="1:21">
      <c r="A2131"/>
      <c r="C2131"/>
      <c r="D2131"/>
      <c r="L2131"/>
      <c r="R2131"/>
      <c r="S2131"/>
      <c r="T2131"/>
      <c r="U2131"/>
    </row>
    <row r="2132" spans="1:21">
      <c r="A2132"/>
      <c r="C2132"/>
      <c r="D2132"/>
      <c r="L2132"/>
      <c r="R2132"/>
      <c r="S2132"/>
      <c r="T2132"/>
      <c r="U2132"/>
    </row>
    <row r="2133" spans="1:21">
      <c r="A2133"/>
      <c r="C2133"/>
      <c r="D2133"/>
      <c r="L2133"/>
      <c r="R2133"/>
      <c r="S2133"/>
      <c r="T2133"/>
      <c r="U2133"/>
    </row>
    <row r="2134" spans="1:21">
      <c r="A2134"/>
      <c r="C2134"/>
      <c r="D2134"/>
      <c r="L2134"/>
      <c r="R2134"/>
      <c r="S2134"/>
      <c r="T2134"/>
      <c r="U2134"/>
    </row>
    <row r="2135" spans="1:21">
      <c r="A2135"/>
      <c r="C2135"/>
      <c r="D2135"/>
      <c r="L2135"/>
      <c r="R2135"/>
      <c r="S2135"/>
      <c r="T2135"/>
      <c r="U2135"/>
    </row>
    <row r="2136" spans="1:21">
      <c r="A2136"/>
      <c r="C2136"/>
      <c r="D2136"/>
      <c r="L2136"/>
      <c r="R2136"/>
      <c r="S2136"/>
      <c r="T2136"/>
      <c r="U2136"/>
    </row>
    <row r="2137" spans="1:21">
      <c r="A2137"/>
      <c r="C2137"/>
      <c r="D2137"/>
      <c r="L2137"/>
      <c r="R2137"/>
      <c r="S2137"/>
      <c r="T2137"/>
      <c r="U2137"/>
    </row>
    <row r="2138" spans="1:21">
      <c r="A2138"/>
      <c r="C2138"/>
      <c r="D2138"/>
      <c r="L2138"/>
      <c r="R2138"/>
      <c r="S2138"/>
      <c r="T2138"/>
      <c r="U2138"/>
    </row>
    <row r="2139" spans="1:21">
      <c r="A2139"/>
      <c r="C2139"/>
      <c r="D2139"/>
      <c r="L2139"/>
      <c r="R2139"/>
      <c r="S2139"/>
      <c r="T2139"/>
      <c r="U2139"/>
    </row>
    <row r="2140" spans="1:21">
      <c r="A2140"/>
      <c r="C2140"/>
      <c r="D2140"/>
      <c r="L2140"/>
      <c r="R2140"/>
      <c r="S2140"/>
      <c r="T2140"/>
      <c r="U2140"/>
    </row>
    <row r="2141" spans="1:21">
      <c r="A2141"/>
      <c r="C2141"/>
      <c r="D2141"/>
      <c r="L2141"/>
      <c r="R2141"/>
      <c r="S2141"/>
      <c r="T2141"/>
      <c r="U2141"/>
    </row>
    <row r="2142" spans="1:21">
      <c r="A2142"/>
      <c r="C2142"/>
      <c r="D2142"/>
      <c r="L2142"/>
      <c r="R2142"/>
      <c r="S2142"/>
      <c r="T2142"/>
      <c r="U2142"/>
    </row>
    <row r="2143" spans="1:21">
      <c r="A2143"/>
      <c r="C2143"/>
      <c r="D2143"/>
      <c r="L2143"/>
      <c r="R2143"/>
      <c r="S2143"/>
      <c r="T2143"/>
      <c r="U2143"/>
    </row>
    <row r="2144" spans="1:21">
      <c r="A2144"/>
      <c r="C2144"/>
      <c r="D2144"/>
      <c r="L2144"/>
      <c r="R2144"/>
      <c r="S2144"/>
      <c r="T2144"/>
      <c r="U2144"/>
    </row>
    <row r="2145" spans="1:21">
      <c r="A2145"/>
      <c r="C2145"/>
      <c r="D2145"/>
      <c r="L2145"/>
      <c r="R2145"/>
      <c r="S2145"/>
      <c r="T2145"/>
      <c r="U2145"/>
    </row>
    <row r="2146" spans="1:21">
      <c r="A2146"/>
      <c r="C2146"/>
      <c r="D2146"/>
      <c r="L2146"/>
      <c r="R2146"/>
      <c r="S2146"/>
      <c r="T2146"/>
      <c r="U2146"/>
    </row>
    <row r="2147" spans="1:21">
      <c r="A2147"/>
      <c r="C2147"/>
      <c r="D2147"/>
      <c r="L2147"/>
      <c r="R2147"/>
      <c r="S2147"/>
      <c r="T2147"/>
      <c r="U2147"/>
    </row>
    <row r="2148" spans="1:21">
      <c r="A2148"/>
      <c r="C2148"/>
      <c r="D2148"/>
      <c r="L2148"/>
      <c r="R2148"/>
      <c r="S2148"/>
      <c r="T2148"/>
      <c r="U2148"/>
    </row>
    <row r="2149" spans="1:21">
      <c r="A2149"/>
      <c r="C2149"/>
      <c r="D2149"/>
      <c r="L2149"/>
      <c r="R2149"/>
      <c r="S2149"/>
      <c r="T2149"/>
      <c r="U2149"/>
    </row>
    <row r="2150" spans="1:21">
      <c r="A2150"/>
      <c r="C2150"/>
      <c r="D2150"/>
      <c r="L2150"/>
      <c r="R2150"/>
      <c r="S2150"/>
      <c r="T2150"/>
      <c r="U2150"/>
    </row>
    <row r="2151" spans="1:21">
      <c r="A2151"/>
      <c r="C2151"/>
      <c r="D2151"/>
      <c r="L2151"/>
      <c r="R2151"/>
      <c r="S2151"/>
      <c r="T2151"/>
      <c r="U2151"/>
    </row>
    <row r="2152" spans="1:21">
      <c r="A2152"/>
      <c r="C2152"/>
      <c r="D2152"/>
      <c r="L2152"/>
      <c r="R2152"/>
      <c r="S2152"/>
      <c r="T2152"/>
      <c r="U2152"/>
    </row>
    <row r="2153" spans="1:21">
      <c r="A2153"/>
      <c r="C2153"/>
      <c r="D2153"/>
      <c r="L2153"/>
      <c r="R2153"/>
      <c r="S2153"/>
      <c r="T2153"/>
      <c r="U2153"/>
    </row>
    <row r="2154" spans="1:21">
      <c r="A2154"/>
      <c r="C2154"/>
      <c r="D2154"/>
      <c r="L2154"/>
      <c r="R2154"/>
      <c r="S2154"/>
      <c r="T2154"/>
      <c r="U2154"/>
    </row>
    <row r="2155" spans="1:21">
      <c r="A2155"/>
      <c r="C2155"/>
      <c r="D2155"/>
      <c r="L2155"/>
      <c r="R2155"/>
      <c r="S2155"/>
      <c r="T2155"/>
      <c r="U2155"/>
    </row>
    <row r="2156" spans="1:21">
      <c r="A2156"/>
      <c r="C2156"/>
      <c r="D2156"/>
      <c r="L2156"/>
      <c r="R2156"/>
      <c r="S2156"/>
      <c r="T2156"/>
      <c r="U2156"/>
    </row>
    <row r="2157" spans="1:21">
      <c r="A2157"/>
      <c r="C2157"/>
      <c r="D2157"/>
      <c r="L2157"/>
      <c r="R2157"/>
      <c r="S2157"/>
      <c r="T2157"/>
      <c r="U2157"/>
    </row>
    <row r="2158" spans="1:21">
      <c r="A2158"/>
      <c r="C2158"/>
      <c r="D2158"/>
      <c r="L2158"/>
      <c r="R2158"/>
      <c r="S2158"/>
      <c r="T2158"/>
      <c r="U2158"/>
    </row>
    <row r="2159" spans="1:21">
      <c r="A2159"/>
      <c r="C2159"/>
      <c r="D2159"/>
      <c r="L2159"/>
      <c r="R2159"/>
      <c r="S2159"/>
      <c r="T2159"/>
      <c r="U2159"/>
    </row>
    <row r="2160" spans="1:21">
      <c r="A2160"/>
      <c r="C2160"/>
      <c r="D2160"/>
      <c r="L2160"/>
      <c r="R2160"/>
      <c r="S2160"/>
      <c r="T2160"/>
      <c r="U2160"/>
    </row>
    <row r="2161" spans="1:21">
      <c r="A2161"/>
      <c r="C2161"/>
      <c r="D2161"/>
      <c r="L2161"/>
      <c r="R2161"/>
      <c r="S2161"/>
      <c r="T2161"/>
      <c r="U2161"/>
    </row>
    <row r="2162" spans="1:21">
      <c r="A2162"/>
      <c r="C2162"/>
      <c r="D2162"/>
      <c r="L2162"/>
      <c r="R2162"/>
      <c r="S2162"/>
      <c r="T2162"/>
      <c r="U2162"/>
    </row>
    <row r="2163" spans="1:21">
      <c r="A2163"/>
      <c r="C2163"/>
      <c r="D2163"/>
      <c r="L2163"/>
      <c r="R2163"/>
      <c r="S2163"/>
      <c r="T2163"/>
      <c r="U2163"/>
    </row>
    <row r="2164" spans="1:21">
      <c r="A2164"/>
      <c r="C2164"/>
      <c r="D2164"/>
      <c r="L2164"/>
      <c r="R2164"/>
      <c r="S2164"/>
      <c r="T2164"/>
      <c r="U2164"/>
    </row>
    <row r="2165" spans="1:21">
      <c r="A2165"/>
      <c r="C2165"/>
      <c r="D2165"/>
      <c r="L2165"/>
      <c r="R2165"/>
      <c r="S2165"/>
      <c r="T2165"/>
      <c r="U2165"/>
    </row>
    <row r="2166" spans="1:21">
      <c r="A2166"/>
      <c r="C2166"/>
      <c r="D2166"/>
      <c r="L2166"/>
      <c r="R2166"/>
      <c r="S2166"/>
      <c r="T2166"/>
      <c r="U2166"/>
    </row>
    <row r="2167" spans="1:21">
      <c r="A2167"/>
      <c r="C2167"/>
      <c r="D2167"/>
      <c r="L2167"/>
      <c r="R2167"/>
      <c r="S2167"/>
      <c r="T2167"/>
      <c r="U2167"/>
    </row>
    <row r="2168" spans="1:21">
      <c r="A2168"/>
      <c r="C2168"/>
      <c r="D2168"/>
      <c r="L2168"/>
      <c r="R2168"/>
      <c r="S2168"/>
      <c r="T2168"/>
      <c r="U2168"/>
    </row>
    <row r="2169" spans="1:21">
      <c r="A2169"/>
      <c r="C2169"/>
      <c r="D2169"/>
      <c r="L2169"/>
      <c r="R2169"/>
      <c r="S2169"/>
      <c r="T2169"/>
      <c r="U2169"/>
    </row>
    <row r="2170" spans="1:21">
      <c r="A2170"/>
      <c r="C2170"/>
      <c r="D2170"/>
      <c r="L2170"/>
      <c r="R2170"/>
      <c r="S2170"/>
      <c r="T2170"/>
      <c r="U2170"/>
    </row>
    <row r="2171" spans="1:21">
      <c r="A2171"/>
      <c r="C2171"/>
      <c r="D2171"/>
      <c r="L2171"/>
      <c r="R2171"/>
      <c r="S2171"/>
      <c r="T2171"/>
      <c r="U2171"/>
    </row>
    <row r="2172" spans="1:21">
      <c r="A2172"/>
      <c r="C2172"/>
      <c r="D2172"/>
      <c r="L2172"/>
      <c r="R2172"/>
      <c r="S2172"/>
      <c r="T2172"/>
      <c r="U2172"/>
    </row>
    <row r="2173" spans="1:21">
      <c r="A2173"/>
      <c r="C2173"/>
      <c r="D2173"/>
      <c r="L2173"/>
      <c r="R2173"/>
      <c r="S2173"/>
      <c r="T2173"/>
      <c r="U2173"/>
    </row>
    <row r="2174" spans="1:21">
      <c r="A2174"/>
      <c r="C2174"/>
      <c r="D2174"/>
      <c r="L2174"/>
      <c r="R2174"/>
      <c r="S2174"/>
      <c r="T2174"/>
      <c r="U2174"/>
    </row>
    <row r="2175" spans="1:21">
      <c r="A2175"/>
      <c r="C2175"/>
      <c r="D2175"/>
      <c r="L2175"/>
      <c r="R2175"/>
      <c r="S2175"/>
      <c r="T2175"/>
      <c r="U2175"/>
    </row>
    <row r="2176" spans="1:21">
      <c r="A2176"/>
      <c r="C2176"/>
      <c r="D2176"/>
      <c r="L2176"/>
      <c r="R2176"/>
      <c r="S2176"/>
      <c r="T2176"/>
      <c r="U2176"/>
    </row>
    <row r="2177" spans="1:21">
      <c r="A2177"/>
      <c r="C2177"/>
      <c r="D2177"/>
      <c r="L2177"/>
      <c r="R2177"/>
      <c r="S2177"/>
      <c r="T2177"/>
      <c r="U2177"/>
    </row>
    <row r="2178" spans="1:21">
      <c r="A2178"/>
      <c r="C2178"/>
      <c r="D2178"/>
      <c r="L2178"/>
      <c r="R2178"/>
      <c r="S2178"/>
      <c r="T2178"/>
      <c r="U2178"/>
    </row>
    <row r="2179" spans="1:21">
      <c r="A2179"/>
      <c r="C2179"/>
      <c r="D2179"/>
      <c r="L2179"/>
      <c r="R2179"/>
      <c r="S2179"/>
      <c r="T2179"/>
      <c r="U2179"/>
    </row>
    <row r="2180" spans="1:21">
      <c r="A2180"/>
      <c r="C2180"/>
      <c r="D2180"/>
      <c r="L2180"/>
      <c r="R2180"/>
      <c r="S2180"/>
      <c r="T2180"/>
      <c r="U2180"/>
    </row>
    <row r="2181" spans="1:21">
      <c r="A2181"/>
      <c r="C2181"/>
      <c r="D2181"/>
      <c r="L2181"/>
      <c r="R2181"/>
      <c r="S2181"/>
      <c r="T2181"/>
      <c r="U2181"/>
    </row>
    <row r="2182" spans="1:21">
      <c r="A2182"/>
      <c r="C2182"/>
      <c r="D2182"/>
      <c r="L2182"/>
      <c r="R2182"/>
      <c r="S2182"/>
      <c r="T2182"/>
      <c r="U2182"/>
    </row>
    <row r="2183" spans="1:21">
      <c r="A2183"/>
      <c r="C2183"/>
      <c r="D2183"/>
      <c r="L2183"/>
      <c r="R2183"/>
      <c r="S2183"/>
      <c r="T2183"/>
      <c r="U2183"/>
    </row>
    <row r="2184" spans="1:21">
      <c r="A2184"/>
      <c r="C2184"/>
      <c r="D2184"/>
      <c r="L2184"/>
      <c r="R2184"/>
      <c r="S2184"/>
      <c r="T2184"/>
      <c r="U2184"/>
    </row>
    <row r="2185" spans="1:21">
      <c r="A2185"/>
      <c r="C2185"/>
      <c r="D2185"/>
      <c r="L2185"/>
      <c r="R2185"/>
      <c r="S2185"/>
      <c r="T2185"/>
      <c r="U2185"/>
    </row>
    <row r="2186" spans="1:21">
      <c r="A2186"/>
      <c r="C2186"/>
      <c r="D2186"/>
      <c r="L2186"/>
      <c r="R2186"/>
      <c r="S2186"/>
      <c r="T2186"/>
      <c r="U2186"/>
    </row>
    <row r="2187" spans="1:21">
      <c r="A2187"/>
      <c r="C2187"/>
      <c r="D2187"/>
      <c r="L2187"/>
      <c r="R2187"/>
      <c r="S2187"/>
      <c r="T2187"/>
      <c r="U2187"/>
    </row>
    <row r="2188" spans="1:21">
      <c r="A2188"/>
      <c r="C2188"/>
      <c r="D2188"/>
      <c r="L2188"/>
      <c r="R2188"/>
      <c r="S2188"/>
      <c r="T2188"/>
      <c r="U2188"/>
    </row>
    <row r="2189" spans="1:21">
      <c r="A2189"/>
      <c r="C2189"/>
      <c r="D2189"/>
      <c r="L2189"/>
      <c r="R2189"/>
      <c r="S2189"/>
      <c r="T2189"/>
      <c r="U2189"/>
    </row>
    <row r="2190" spans="1:21">
      <c r="A2190"/>
      <c r="C2190"/>
      <c r="D2190"/>
      <c r="L2190"/>
      <c r="R2190"/>
      <c r="S2190"/>
      <c r="T2190"/>
      <c r="U2190"/>
    </row>
    <row r="2191" spans="1:21">
      <c r="A2191"/>
      <c r="C2191"/>
      <c r="D2191"/>
      <c r="L2191"/>
      <c r="R2191"/>
      <c r="S2191"/>
      <c r="T2191"/>
      <c r="U2191"/>
    </row>
    <row r="2192" spans="1:21">
      <c r="A2192"/>
      <c r="C2192"/>
      <c r="D2192"/>
      <c r="L2192"/>
      <c r="R2192"/>
      <c r="S2192"/>
      <c r="T2192"/>
      <c r="U2192"/>
    </row>
    <row r="2193" spans="1:21">
      <c r="A2193"/>
      <c r="C2193"/>
      <c r="D2193"/>
      <c r="L2193"/>
      <c r="R2193"/>
      <c r="S2193"/>
      <c r="T2193"/>
      <c r="U2193"/>
    </row>
    <row r="2194" spans="1:21">
      <c r="A2194"/>
      <c r="C2194"/>
      <c r="D2194"/>
      <c r="L2194"/>
      <c r="R2194"/>
      <c r="S2194"/>
      <c r="T2194"/>
      <c r="U2194"/>
    </row>
    <row r="2195" spans="1:21">
      <c r="A2195"/>
      <c r="C2195"/>
      <c r="D2195"/>
      <c r="L2195"/>
      <c r="R2195"/>
      <c r="S2195"/>
      <c r="T2195"/>
      <c r="U2195"/>
    </row>
    <row r="2196" spans="1:21">
      <c r="A2196"/>
      <c r="C2196"/>
      <c r="D2196"/>
      <c r="L2196"/>
      <c r="R2196"/>
      <c r="S2196"/>
      <c r="T2196"/>
      <c r="U2196"/>
    </row>
    <row r="2197" spans="1:21">
      <c r="A2197"/>
      <c r="C2197"/>
      <c r="D2197"/>
      <c r="L2197"/>
      <c r="R2197"/>
      <c r="S2197"/>
      <c r="T2197"/>
      <c r="U2197"/>
    </row>
    <row r="2198" spans="1:21">
      <c r="A2198"/>
      <c r="C2198"/>
      <c r="D2198"/>
      <c r="L2198"/>
      <c r="R2198"/>
      <c r="S2198"/>
      <c r="T2198"/>
      <c r="U2198"/>
    </row>
    <row r="2199" spans="1:21">
      <c r="A2199"/>
      <c r="C2199"/>
      <c r="D2199"/>
      <c r="L2199"/>
      <c r="R2199"/>
      <c r="S2199"/>
      <c r="T2199"/>
      <c r="U2199"/>
    </row>
    <row r="2200" spans="1:21">
      <c r="A2200"/>
      <c r="C2200"/>
      <c r="D2200"/>
      <c r="L2200"/>
      <c r="R2200"/>
      <c r="S2200"/>
      <c r="T2200"/>
      <c r="U2200"/>
    </row>
    <row r="2201" spans="1:21">
      <c r="A2201"/>
      <c r="C2201"/>
      <c r="D2201"/>
      <c r="L2201"/>
      <c r="R2201"/>
      <c r="S2201"/>
      <c r="T2201"/>
      <c r="U2201"/>
    </row>
    <row r="2202" spans="1:21">
      <c r="A2202"/>
      <c r="C2202"/>
      <c r="D2202"/>
      <c r="L2202"/>
      <c r="R2202"/>
      <c r="S2202"/>
      <c r="T2202"/>
      <c r="U2202"/>
    </row>
    <row r="2203" spans="1:21">
      <c r="A2203"/>
      <c r="C2203"/>
      <c r="D2203"/>
      <c r="L2203"/>
      <c r="R2203"/>
      <c r="S2203"/>
      <c r="T2203"/>
      <c r="U2203"/>
    </row>
    <row r="2204" spans="1:21">
      <c r="A2204"/>
      <c r="C2204"/>
      <c r="D2204"/>
      <c r="L2204"/>
      <c r="R2204"/>
      <c r="S2204"/>
      <c r="T2204"/>
      <c r="U2204"/>
    </row>
    <row r="2205" spans="1:21">
      <c r="A2205"/>
      <c r="C2205"/>
      <c r="D2205"/>
      <c r="L2205"/>
      <c r="R2205"/>
      <c r="S2205"/>
      <c r="T2205"/>
      <c r="U2205"/>
    </row>
    <row r="2206" spans="1:21">
      <c r="A2206"/>
      <c r="C2206"/>
      <c r="D2206"/>
      <c r="L2206"/>
      <c r="R2206"/>
      <c r="S2206"/>
      <c r="T2206"/>
      <c r="U2206"/>
    </row>
    <row r="2207" spans="1:21">
      <c r="A2207"/>
      <c r="C2207"/>
      <c r="D2207"/>
      <c r="L2207"/>
      <c r="R2207"/>
      <c r="S2207"/>
      <c r="T2207"/>
      <c r="U2207"/>
    </row>
    <row r="2208" spans="1:21">
      <c r="A2208"/>
      <c r="C2208"/>
      <c r="D2208"/>
      <c r="L2208"/>
      <c r="R2208"/>
      <c r="S2208"/>
      <c r="T2208"/>
      <c r="U2208"/>
    </row>
    <row r="2209" spans="1:21">
      <c r="A2209"/>
      <c r="C2209"/>
      <c r="D2209"/>
      <c r="L2209"/>
      <c r="R2209"/>
      <c r="S2209"/>
      <c r="T2209"/>
      <c r="U2209"/>
    </row>
    <row r="2210" spans="1:21">
      <c r="A2210"/>
      <c r="C2210"/>
      <c r="D2210"/>
      <c r="L2210"/>
      <c r="R2210"/>
      <c r="S2210"/>
      <c r="T2210"/>
      <c r="U2210"/>
    </row>
    <row r="2211" spans="1:21">
      <c r="A2211"/>
      <c r="C2211"/>
      <c r="D2211"/>
      <c r="L2211"/>
      <c r="R2211"/>
      <c r="S2211"/>
      <c r="T2211"/>
      <c r="U2211"/>
    </row>
    <row r="2212" spans="1:21">
      <c r="A2212"/>
      <c r="C2212"/>
      <c r="D2212"/>
      <c r="L2212"/>
      <c r="R2212"/>
      <c r="S2212"/>
      <c r="T2212"/>
      <c r="U2212"/>
    </row>
    <row r="2213" spans="1:21">
      <c r="A2213"/>
      <c r="C2213"/>
      <c r="D2213"/>
      <c r="L2213"/>
      <c r="R2213"/>
      <c r="S2213"/>
      <c r="T2213"/>
      <c r="U2213"/>
    </row>
    <row r="2214" spans="1:21">
      <c r="A2214"/>
      <c r="C2214"/>
      <c r="D2214"/>
      <c r="L2214"/>
      <c r="R2214"/>
      <c r="S2214"/>
      <c r="T2214"/>
      <c r="U2214"/>
    </row>
    <row r="2215" spans="1:21">
      <c r="A2215"/>
      <c r="C2215"/>
      <c r="D2215"/>
      <c r="L2215"/>
      <c r="R2215"/>
      <c r="S2215"/>
      <c r="T2215"/>
      <c r="U2215"/>
    </row>
    <row r="2216" spans="1:21">
      <c r="A2216"/>
      <c r="C2216"/>
      <c r="D2216"/>
      <c r="L2216"/>
      <c r="R2216"/>
      <c r="S2216"/>
      <c r="T2216"/>
      <c r="U2216"/>
    </row>
    <row r="2217" spans="1:21">
      <c r="A2217"/>
      <c r="C2217"/>
      <c r="D2217"/>
      <c r="L2217"/>
      <c r="R2217"/>
      <c r="S2217"/>
      <c r="T2217"/>
      <c r="U2217"/>
    </row>
    <row r="2218" spans="1:21">
      <c r="A2218"/>
      <c r="C2218"/>
      <c r="D2218"/>
      <c r="L2218"/>
      <c r="R2218"/>
      <c r="S2218"/>
      <c r="T2218"/>
      <c r="U2218"/>
    </row>
    <row r="2219" spans="1:21">
      <c r="A2219"/>
      <c r="C2219"/>
      <c r="D2219"/>
      <c r="L2219"/>
      <c r="R2219"/>
      <c r="S2219"/>
      <c r="T2219"/>
      <c r="U2219"/>
    </row>
    <row r="2220" spans="1:21">
      <c r="A2220"/>
      <c r="C2220"/>
      <c r="D2220"/>
      <c r="L2220"/>
      <c r="R2220"/>
      <c r="S2220"/>
      <c r="T2220"/>
      <c r="U2220"/>
    </row>
    <row r="2221" spans="1:21">
      <c r="A2221"/>
      <c r="C2221"/>
      <c r="D2221"/>
      <c r="L2221"/>
      <c r="R2221"/>
      <c r="S2221"/>
      <c r="T2221"/>
      <c r="U2221"/>
    </row>
    <row r="2222" spans="1:21">
      <c r="A2222"/>
      <c r="C2222"/>
      <c r="D2222"/>
      <c r="L2222"/>
      <c r="R2222"/>
      <c r="S2222"/>
      <c r="T2222"/>
      <c r="U2222"/>
    </row>
    <row r="2223" spans="1:21">
      <c r="A2223"/>
      <c r="C2223"/>
      <c r="D2223"/>
      <c r="L2223"/>
      <c r="R2223"/>
      <c r="S2223"/>
      <c r="T2223"/>
      <c r="U2223"/>
    </row>
    <row r="2224" spans="1:21">
      <c r="A2224"/>
      <c r="C2224"/>
      <c r="D2224"/>
      <c r="L2224"/>
      <c r="R2224"/>
      <c r="S2224"/>
      <c r="T2224"/>
      <c r="U2224"/>
    </row>
    <row r="2225" spans="1:21">
      <c r="A2225"/>
      <c r="C2225"/>
      <c r="D2225"/>
      <c r="L2225"/>
      <c r="R2225"/>
      <c r="S2225"/>
      <c r="T2225"/>
      <c r="U2225"/>
    </row>
    <row r="2226" spans="1:21">
      <c r="A2226"/>
      <c r="C2226"/>
      <c r="D2226"/>
      <c r="L2226"/>
      <c r="R2226"/>
      <c r="S2226"/>
      <c r="T2226"/>
      <c r="U2226"/>
    </row>
    <row r="2227" spans="1:21">
      <c r="A2227"/>
      <c r="C2227"/>
      <c r="D2227"/>
      <c r="L2227"/>
      <c r="R2227"/>
      <c r="S2227"/>
      <c r="T2227"/>
      <c r="U2227"/>
    </row>
    <row r="2228" spans="1:21">
      <c r="A2228"/>
      <c r="C2228"/>
      <c r="D2228"/>
      <c r="L2228"/>
      <c r="R2228"/>
      <c r="S2228"/>
      <c r="T2228"/>
      <c r="U2228"/>
    </row>
    <row r="2229" spans="1:21">
      <c r="A2229"/>
      <c r="C2229"/>
      <c r="D2229"/>
      <c r="L2229"/>
      <c r="R2229"/>
      <c r="S2229"/>
      <c r="T2229"/>
      <c r="U2229"/>
    </row>
    <row r="2230" spans="1:21">
      <c r="A2230"/>
      <c r="C2230"/>
      <c r="D2230"/>
      <c r="L2230"/>
      <c r="R2230"/>
      <c r="S2230"/>
      <c r="T2230"/>
      <c r="U2230"/>
    </row>
    <row r="2231" spans="1:21">
      <c r="A2231"/>
      <c r="C2231"/>
      <c r="D2231"/>
      <c r="L2231"/>
      <c r="R2231"/>
      <c r="S2231"/>
      <c r="T2231"/>
      <c r="U2231"/>
    </row>
    <row r="2232" spans="1:21">
      <c r="A2232"/>
      <c r="C2232"/>
      <c r="D2232"/>
      <c r="L2232"/>
      <c r="R2232"/>
      <c r="S2232"/>
      <c r="T2232"/>
      <c r="U2232"/>
    </row>
    <row r="2233" spans="1:21">
      <c r="A2233"/>
      <c r="C2233"/>
      <c r="D2233"/>
      <c r="L2233"/>
      <c r="R2233"/>
      <c r="S2233"/>
      <c r="T2233"/>
      <c r="U2233"/>
    </row>
    <row r="2234" spans="1:21">
      <c r="A2234"/>
      <c r="C2234"/>
      <c r="D2234"/>
      <c r="L2234"/>
      <c r="R2234"/>
      <c r="S2234"/>
      <c r="T2234"/>
      <c r="U2234"/>
    </row>
    <row r="2235" spans="1:21">
      <c r="A2235"/>
      <c r="C2235"/>
      <c r="D2235"/>
      <c r="L2235"/>
      <c r="R2235"/>
      <c r="S2235"/>
      <c r="T2235"/>
      <c r="U2235"/>
    </row>
    <row r="2236" spans="1:21">
      <c r="A2236"/>
      <c r="C2236"/>
      <c r="D2236"/>
      <c r="L2236"/>
      <c r="R2236"/>
      <c r="S2236"/>
      <c r="T2236"/>
      <c r="U2236"/>
    </row>
    <row r="2237" spans="1:21">
      <c r="A2237"/>
      <c r="C2237"/>
      <c r="D2237"/>
      <c r="L2237"/>
      <c r="R2237"/>
      <c r="S2237"/>
      <c r="T2237"/>
      <c r="U2237"/>
    </row>
    <row r="2238" spans="1:21">
      <c r="A2238"/>
      <c r="C2238"/>
      <c r="D2238"/>
      <c r="L2238"/>
      <c r="R2238"/>
      <c r="S2238"/>
      <c r="T2238"/>
      <c r="U2238"/>
    </row>
    <row r="2239" spans="1:21">
      <c r="A2239"/>
      <c r="C2239"/>
      <c r="D2239"/>
      <c r="L2239"/>
      <c r="R2239"/>
      <c r="S2239"/>
      <c r="T2239"/>
      <c r="U2239"/>
    </row>
    <row r="2240" spans="1:21">
      <c r="A2240"/>
      <c r="C2240"/>
      <c r="D2240"/>
      <c r="L2240"/>
      <c r="R2240"/>
      <c r="S2240"/>
      <c r="T2240"/>
      <c r="U2240"/>
    </row>
    <row r="2241" spans="1:21">
      <c r="A2241"/>
      <c r="C2241"/>
      <c r="D2241"/>
      <c r="L2241"/>
      <c r="R2241"/>
      <c r="S2241"/>
      <c r="T2241"/>
      <c r="U2241"/>
    </row>
    <row r="2242" spans="1:21">
      <c r="A2242"/>
      <c r="C2242"/>
      <c r="D2242"/>
      <c r="L2242"/>
      <c r="R2242"/>
      <c r="S2242"/>
      <c r="T2242"/>
      <c r="U2242"/>
    </row>
    <row r="2243" spans="1:21">
      <c r="A2243"/>
      <c r="C2243"/>
      <c r="D2243"/>
      <c r="L2243"/>
      <c r="R2243"/>
      <c r="S2243"/>
      <c r="T2243"/>
      <c r="U2243"/>
    </row>
    <row r="2244" spans="1:21">
      <c r="A2244"/>
      <c r="C2244"/>
      <c r="D2244"/>
      <c r="L2244"/>
      <c r="R2244"/>
      <c r="S2244"/>
      <c r="T2244"/>
      <c r="U2244"/>
    </row>
    <row r="2245" spans="1:21">
      <c r="A2245"/>
      <c r="C2245"/>
      <c r="D2245"/>
      <c r="L2245"/>
      <c r="R2245"/>
      <c r="S2245"/>
      <c r="T2245"/>
      <c r="U2245"/>
    </row>
    <row r="2246" spans="1:21">
      <c r="A2246"/>
      <c r="C2246"/>
      <c r="D2246"/>
      <c r="L2246"/>
      <c r="R2246"/>
      <c r="S2246"/>
      <c r="T2246"/>
      <c r="U2246"/>
    </row>
    <row r="2247" spans="1:21">
      <c r="A2247"/>
      <c r="C2247"/>
      <c r="D2247"/>
      <c r="L2247"/>
      <c r="R2247"/>
      <c r="S2247"/>
      <c r="T2247"/>
      <c r="U2247"/>
    </row>
    <row r="2248" spans="1:21">
      <c r="A2248"/>
      <c r="C2248"/>
      <c r="D2248"/>
      <c r="L2248"/>
      <c r="R2248"/>
      <c r="S2248"/>
      <c r="T2248"/>
      <c r="U2248"/>
    </row>
    <row r="2249" spans="1:21">
      <c r="A2249"/>
      <c r="C2249"/>
      <c r="D2249"/>
      <c r="L2249"/>
      <c r="R2249"/>
      <c r="S2249"/>
      <c r="T2249"/>
      <c r="U2249"/>
    </row>
    <row r="2250" spans="1:21">
      <c r="A2250"/>
      <c r="C2250"/>
      <c r="D2250"/>
      <c r="L2250"/>
      <c r="R2250"/>
      <c r="S2250"/>
      <c r="T2250"/>
      <c r="U2250"/>
    </row>
    <row r="2251" spans="1:21">
      <c r="A2251"/>
      <c r="C2251"/>
      <c r="D2251"/>
      <c r="L2251"/>
      <c r="R2251"/>
      <c r="S2251"/>
      <c r="T2251"/>
      <c r="U2251"/>
    </row>
    <row r="2252" spans="1:21">
      <c r="A2252"/>
      <c r="C2252"/>
      <c r="D2252"/>
      <c r="L2252"/>
      <c r="R2252"/>
      <c r="S2252"/>
      <c r="T2252"/>
      <c r="U2252"/>
    </row>
    <row r="2253" spans="1:21">
      <c r="A2253"/>
      <c r="C2253"/>
      <c r="D2253"/>
      <c r="L2253"/>
      <c r="R2253"/>
      <c r="S2253"/>
      <c r="T2253"/>
      <c r="U2253"/>
    </row>
    <row r="2254" spans="1:21">
      <c r="A2254"/>
      <c r="C2254"/>
      <c r="D2254"/>
      <c r="L2254"/>
      <c r="R2254"/>
      <c r="S2254"/>
      <c r="T2254"/>
      <c r="U2254"/>
    </row>
    <row r="2255" spans="1:21">
      <c r="A2255"/>
      <c r="C2255"/>
      <c r="D2255"/>
      <c r="L2255"/>
      <c r="R2255"/>
      <c r="S2255"/>
      <c r="T2255"/>
      <c r="U2255"/>
    </row>
    <row r="2256" spans="1:21">
      <c r="A2256"/>
      <c r="C2256"/>
      <c r="D2256"/>
      <c r="L2256"/>
      <c r="R2256"/>
      <c r="S2256"/>
      <c r="T2256"/>
      <c r="U2256"/>
    </row>
    <row r="2257" spans="1:21">
      <c r="A2257"/>
      <c r="C2257"/>
      <c r="D2257"/>
      <c r="L2257"/>
      <c r="R2257"/>
      <c r="S2257"/>
      <c r="T2257"/>
      <c r="U2257"/>
    </row>
    <row r="2258" spans="1:21">
      <c r="A2258"/>
      <c r="C2258"/>
      <c r="D2258"/>
      <c r="L2258"/>
      <c r="R2258"/>
      <c r="S2258"/>
      <c r="T2258"/>
      <c r="U2258"/>
    </row>
    <row r="2259" spans="1:21">
      <c r="A2259"/>
      <c r="C2259"/>
      <c r="D2259"/>
      <c r="L2259"/>
      <c r="R2259"/>
      <c r="S2259"/>
      <c r="T2259"/>
      <c r="U2259"/>
    </row>
    <row r="2260" spans="1:21">
      <c r="A2260"/>
      <c r="C2260"/>
      <c r="D2260"/>
      <c r="L2260"/>
      <c r="R2260"/>
      <c r="S2260"/>
      <c r="T2260"/>
      <c r="U2260"/>
    </row>
    <row r="2261" spans="1:21">
      <c r="A2261"/>
      <c r="C2261"/>
      <c r="D2261"/>
      <c r="L2261"/>
      <c r="R2261"/>
      <c r="S2261"/>
      <c r="T2261"/>
      <c r="U2261"/>
    </row>
    <row r="2262" spans="1:21">
      <c r="A2262"/>
      <c r="C2262"/>
      <c r="D2262"/>
      <c r="L2262"/>
      <c r="R2262"/>
      <c r="S2262"/>
      <c r="T2262"/>
      <c r="U2262"/>
    </row>
    <row r="2263" spans="1:21">
      <c r="A2263"/>
      <c r="C2263"/>
      <c r="D2263"/>
      <c r="L2263"/>
      <c r="R2263"/>
      <c r="S2263"/>
      <c r="T2263"/>
      <c r="U2263"/>
    </row>
    <row r="2264" spans="1:21">
      <c r="A2264"/>
      <c r="C2264"/>
      <c r="D2264"/>
      <c r="L2264"/>
      <c r="R2264"/>
      <c r="S2264"/>
      <c r="T2264"/>
      <c r="U2264"/>
    </row>
    <row r="2265" spans="1:21">
      <c r="A2265"/>
      <c r="C2265"/>
      <c r="D2265"/>
      <c r="L2265"/>
      <c r="R2265"/>
      <c r="S2265"/>
      <c r="T2265"/>
      <c r="U2265"/>
    </row>
    <row r="2266" spans="1:21">
      <c r="A2266"/>
      <c r="C2266"/>
      <c r="D2266"/>
      <c r="L2266"/>
      <c r="R2266"/>
      <c r="S2266"/>
      <c r="T2266"/>
      <c r="U2266"/>
    </row>
    <row r="2267" spans="1:21">
      <c r="A2267"/>
      <c r="C2267"/>
      <c r="D2267"/>
      <c r="L2267"/>
      <c r="R2267"/>
      <c r="S2267"/>
      <c r="T2267"/>
      <c r="U2267"/>
    </row>
    <row r="2268" spans="1:21">
      <c r="A2268"/>
      <c r="C2268"/>
      <c r="D2268"/>
      <c r="L2268"/>
      <c r="R2268"/>
      <c r="S2268"/>
      <c r="T2268"/>
      <c r="U2268"/>
    </row>
    <row r="2269" spans="1:21">
      <c r="A2269"/>
      <c r="C2269"/>
      <c r="D2269"/>
      <c r="L2269"/>
      <c r="R2269"/>
      <c r="S2269"/>
      <c r="T2269"/>
      <c r="U2269"/>
    </row>
    <row r="2270" spans="1:21">
      <c r="A2270"/>
      <c r="C2270"/>
      <c r="D2270"/>
      <c r="L2270"/>
      <c r="R2270"/>
      <c r="S2270"/>
      <c r="T2270"/>
      <c r="U2270"/>
    </row>
    <row r="2271" spans="1:21">
      <c r="A2271"/>
      <c r="C2271"/>
      <c r="D2271"/>
      <c r="L2271"/>
      <c r="R2271"/>
      <c r="S2271"/>
      <c r="T2271"/>
      <c r="U2271"/>
    </row>
    <row r="2272" spans="1:21">
      <c r="A2272"/>
      <c r="C2272"/>
      <c r="D2272"/>
      <c r="L2272"/>
      <c r="R2272"/>
      <c r="S2272"/>
      <c r="T2272"/>
      <c r="U2272"/>
    </row>
    <row r="2273" spans="1:21">
      <c r="A2273"/>
      <c r="C2273"/>
      <c r="D2273"/>
      <c r="L2273"/>
      <c r="R2273"/>
      <c r="S2273"/>
      <c r="T2273"/>
      <c r="U2273"/>
    </row>
    <row r="2274" spans="1:21">
      <c r="A2274"/>
      <c r="C2274"/>
      <c r="D2274"/>
      <c r="L2274"/>
      <c r="R2274"/>
      <c r="S2274"/>
      <c r="T2274"/>
      <c r="U2274"/>
    </row>
    <row r="2275" spans="1:21">
      <c r="A2275"/>
      <c r="C2275"/>
      <c r="D2275"/>
      <c r="L2275"/>
      <c r="R2275"/>
      <c r="S2275"/>
      <c r="T2275"/>
      <c r="U2275"/>
    </row>
    <row r="2276" spans="1:21">
      <c r="A2276"/>
      <c r="C2276"/>
      <c r="D2276"/>
      <c r="L2276"/>
      <c r="R2276"/>
      <c r="S2276"/>
      <c r="T2276"/>
      <c r="U2276"/>
    </row>
    <row r="2277" spans="1:21">
      <c r="A2277"/>
      <c r="C2277"/>
      <c r="D2277"/>
      <c r="L2277"/>
      <c r="R2277"/>
      <c r="S2277"/>
      <c r="T2277"/>
      <c r="U2277"/>
    </row>
    <row r="2278" spans="1:21">
      <c r="A2278"/>
      <c r="C2278"/>
      <c r="D2278"/>
      <c r="L2278"/>
      <c r="R2278"/>
      <c r="S2278"/>
      <c r="T2278"/>
      <c r="U2278"/>
    </row>
    <row r="2279" spans="1:21">
      <c r="A2279"/>
      <c r="C2279"/>
      <c r="D2279"/>
      <c r="L2279"/>
      <c r="R2279"/>
      <c r="S2279"/>
      <c r="T2279"/>
      <c r="U2279"/>
    </row>
    <row r="2280" spans="1:21">
      <c r="A2280"/>
      <c r="C2280"/>
      <c r="D2280"/>
      <c r="L2280"/>
      <c r="R2280"/>
      <c r="S2280"/>
      <c r="T2280"/>
      <c r="U2280"/>
    </row>
    <row r="2281" spans="1:21">
      <c r="A2281"/>
      <c r="C2281"/>
      <c r="D2281"/>
      <c r="L2281"/>
      <c r="R2281"/>
      <c r="S2281"/>
      <c r="T2281"/>
      <c r="U2281"/>
    </row>
    <row r="2282" spans="1:21">
      <c r="A2282"/>
      <c r="C2282"/>
      <c r="D2282"/>
      <c r="L2282"/>
      <c r="R2282"/>
      <c r="S2282"/>
      <c r="T2282"/>
      <c r="U2282"/>
    </row>
    <row r="2283" spans="1:21">
      <c r="A2283"/>
      <c r="C2283"/>
      <c r="D2283"/>
      <c r="L2283"/>
      <c r="R2283"/>
      <c r="S2283"/>
      <c r="T2283"/>
      <c r="U2283"/>
    </row>
    <row r="2284" spans="1:21">
      <c r="A2284"/>
      <c r="C2284"/>
      <c r="D2284"/>
      <c r="L2284"/>
      <c r="R2284"/>
      <c r="S2284"/>
      <c r="T2284"/>
      <c r="U2284"/>
    </row>
    <row r="2285" spans="1:21">
      <c r="A2285"/>
      <c r="C2285"/>
      <c r="D2285"/>
      <c r="L2285"/>
      <c r="R2285"/>
      <c r="S2285"/>
      <c r="T2285"/>
      <c r="U2285"/>
    </row>
    <row r="2286" spans="1:21">
      <c r="A2286"/>
      <c r="C2286"/>
      <c r="D2286"/>
      <c r="L2286"/>
      <c r="R2286"/>
      <c r="S2286"/>
      <c r="T2286"/>
      <c r="U2286"/>
    </row>
    <row r="2287" spans="1:21">
      <c r="A2287"/>
      <c r="C2287"/>
      <c r="D2287"/>
      <c r="L2287"/>
      <c r="R2287"/>
      <c r="S2287"/>
      <c r="T2287"/>
      <c r="U2287"/>
    </row>
    <row r="2288" spans="1:21">
      <c r="A2288"/>
      <c r="C2288"/>
      <c r="D2288"/>
      <c r="L2288"/>
      <c r="R2288"/>
      <c r="S2288"/>
      <c r="T2288"/>
      <c r="U2288"/>
    </row>
    <row r="2289" spans="1:21">
      <c r="A2289"/>
      <c r="C2289"/>
      <c r="D2289"/>
      <c r="L2289"/>
      <c r="R2289"/>
      <c r="S2289"/>
      <c r="T2289"/>
      <c r="U2289"/>
    </row>
    <row r="2290" spans="1:21">
      <c r="A2290"/>
      <c r="C2290"/>
      <c r="D2290"/>
      <c r="L2290"/>
      <c r="R2290"/>
      <c r="S2290"/>
      <c r="T2290"/>
      <c r="U2290"/>
    </row>
    <row r="2291" spans="1:21">
      <c r="A2291"/>
      <c r="C2291"/>
      <c r="D2291"/>
      <c r="L2291"/>
      <c r="R2291"/>
      <c r="S2291"/>
      <c r="T2291"/>
      <c r="U2291"/>
    </row>
    <row r="2292" spans="1:21">
      <c r="A2292"/>
      <c r="C2292"/>
      <c r="D2292"/>
      <c r="L2292"/>
      <c r="R2292"/>
      <c r="S2292"/>
      <c r="T2292"/>
      <c r="U2292"/>
    </row>
    <row r="2293" spans="1:21">
      <c r="A2293"/>
      <c r="C2293"/>
      <c r="D2293"/>
      <c r="L2293"/>
      <c r="R2293"/>
      <c r="S2293"/>
      <c r="T2293"/>
      <c r="U2293"/>
    </row>
    <row r="2294" spans="1:21">
      <c r="A2294"/>
      <c r="C2294"/>
      <c r="D2294"/>
      <c r="L2294"/>
      <c r="R2294"/>
      <c r="S2294"/>
      <c r="T2294"/>
      <c r="U2294"/>
    </row>
    <row r="2295" spans="1:21">
      <c r="A2295"/>
      <c r="C2295"/>
      <c r="D2295"/>
      <c r="L2295"/>
      <c r="R2295"/>
      <c r="S2295"/>
      <c r="T2295"/>
      <c r="U2295"/>
    </row>
    <row r="2296" spans="1:21">
      <c r="A2296"/>
      <c r="C2296"/>
      <c r="D2296"/>
      <c r="L2296"/>
      <c r="R2296"/>
      <c r="S2296"/>
      <c r="T2296"/>
      <c r="U2296"/>
    </row>
    <row r="2297" spans="1:21">
      <c r="A2297"/>
      <c r="C2297"/>
      <c r="D2297"/>
      <c r="L2297"/>
      <c r="R2297"/>
      <c r="S2297"/>
      <c r="T2297"/>
      <c r="U2297"/>
    </row>
    <row r="2298" spans="1:21">
      <c r="A2298"/>
      <c r="C2298"/>
      <c r="D2298"/>
      <c r="L2298"/>
      <c r="R2298"/>
      <c r="S2298"/>
      <c r="T2298"/>
      <c r="U2298"/>
    </row>
    <row r="2299" spans="1:21">
      <c r="A2299"/>
      <c r="C2299"/>
      <c r="D2299"/>
      <c r="L2299"/>
      <c r="R2299"/>
      <c r="S2299"/>
      <c r="T2299"/>
      <c r="U2299"/>
    </row>
    <row r="2300" spans="1:21">
      <c r="A2300"/>
      <c r="C2300"/>
      <c r="D2300"/>
      <c r="L2300"/>
      <c r="R2300"/>
      <c r="S2300"/>
      <c r="T2300"/>
      <c r="U2300"/>
    </row>
    <row r="2301" spans="1:21">
      <c r="A2301"/>
      <c r="C2301"/>
      <c r="D2301"/>
      <c r="L2301"/>
      <c r="R2301"/>
      <c r="S2301"/>
      <c r="T2301"/>
      <c r="U2301"/>
    </row>
    <row r="2302" spans="1:21">
      <c r="A2302"/>
      <c r="C2302"/>
      <c r="D2302"/>
      <c r="L2302"/>
      <c r="R2302"/>
      <c r="S2302"/>
      <c r="T2302"/>
      <c r="U2302"/>
    </row>
    <row r="2303" spans="1:21">
      <c r="A2303"/>
      <c r="C2303"/>
      <c r="D2303"/>
      <c r="L2303"/>
      <c r="R2303"/>
      <c r="S2303"/>
      <c r="T2303"/>
      <c r="U2303"/>
    </row>
    <row r="2304" spans="1:21">
      <c r="A2304"/>
      <c r="C2304"/>
      <c r="D2304"/>
      <c r="L2304"/>
      <c r="R2304"/>
      <c r="S2304"/>
      <c r="T2304"/>
      <c r="U2304"/>
    </row>
    <row r="2305" spans="1:21">
      <c r="A2305"/>
      <c r="C2305"/>
      <c r="D2305"/>
      <c r="L2305"/>
      <c r="R2305"/>
      <c r="S2305"/>
      <c r="T2305"/>
      <c r="U2305"/>
    </row>
    <row r="2306" spans="1:21">
      <c r="A2306"/>
      <c r="C2306"/>
      <c r="D2306"/>
      <c r="L2306"/>
      <c r="R2306"/>
      <c r="S2306"/>
      <c r="T2306"/>
      <c r="U2306"/>
    </row>
    <row r="2307" spans="1:21">
      <c r="A2307"/>
      <c r="C2307"/>
      <c r="D2307"/>
      <c r="L2307"/>
      <c r="R2307"/>
      <c r="S2307"/>
      <c r="T2307"/>
      <c r="U2307"/>
    </row>
    <row r="2308" spans="1:21">
      <c r="A2308"/>
      <c r="C2308"/>
      <c r="D2308"/>
      <c r="L2308"/>
      <c r="R2308"/>
      <c r="S2308"/>
      <c r="T2308"/>
      <c r="U2308"/>
    </row>
    <row r="2309" spans="1:21">
      <c r="A2309"/>
      <c r="C2309"/>
      <c r="D2309"/>
      <c r="L2309"/>
      <c r="R2309"/>
      <c r="S2309"/>
      <c r="T2309"/>
      <c r="U2309"/>
    </row>
    <row r="2310" spans="1:21">
      <c r="A2310"/>
      <c r="C2310"/>
      <c r="D2310"/>
      <c r="L2310"/>
      <c r="R2310"/>
      <c r="S2310"/>
      <c r="T2310"/>
      <c r="U2310"/>
    </row>
    <row r="2311" spans="1:21">
      <c r="A2311"/>
      <c r="C2311"/>
      <c r="D2311"/>
      <c r="L2311"/>
      <c r="R2311"/>
      <c r="S2311"/>
      <c r="T2311"/>
      <c r="U2311"/>
    </row>
    <row r="2312" spans="1:21">
      <c r="A2312"/>
      <c r="C2312"/>
      <c r="D2312"/>
      <c r="L2312"/>
      <c r="R2312"/>
      <c r="S2312"/>
      <c r="T2312"/>
      <c r="U2312"/>
    </row>
    <row r="2313" spans="1:21">
      <c r="A2313"/>
      <c r="C2313"/>
      <c r="D2313"/>
      <c r="L2313"/>
      <c r="R2313"/>
      <c r="S2313"/>
      <c r="T2313"/>
      <c r="U2313"/>
    </row>
    <row r="2314" spans="1:21">
      <c r="A2314"/>
      <c r="C2314"/>
      <c r="D2314"/>
      <c r="L2314"/>
      <c r="R2314"/>
      <c r="S2314"/>
      <c r="T2314"/>
      <c r="U2314"/>
    </row>
    <row r="2315" spans="1:21">
      <c r="A2315"/>
      <c r="C2315"/>
      <c r="D2315"/>
      <c r="L2315"/>
      <c r="R2315"/>
      <c r="S2315"/>
      <c r="T2315"/>
      <c r="U2315"/>
    </row>
    <row r="2316" spans="1:21">
      <c r="A2316"/>
      <c r="C2316"/>
      <c r="D2316"/>
      <c r="L2316"/>
      <c r="R2316"/>
      <c r="S2316"/>
      <c r="T2316"/>
      <c r="U2316"/>
    </row>
    <row r="2317" spans="1:21">
      <c r="A2317"/>
      <c r="C2317"/>
      <c r="D2317"/>
      <c r="L2317"/>
      <c r="R2317"/>
      <c r="S2317"/>
      <c r="T2317"/>
      <c r="U2317"/>
    </row>
    <row r="2318" spans="1:21">
      <c r="A2318"/>
      <c r="C2318"/>
      <c r="D2318"/>
      <c r="L2318"/>
      <c r="R2318"/>
      <c r="S2318"/>
      <c r="T2318"/>
      <c r="U2318"/>
    </row>
    <row r="2319" spans="1:21">
      <c r="A2319"/>
      <c r="C2319"/>
      <c r="D2319"/>
      <c r="L2319"/>
      <c r="R2319"/>
      <c r="S2319"/>
      <c r="T2319"/>
      <c r="U2319"/>
    </row>
    <row r="2320" spans="1:21">
      <c r="A2320"/>
      <c r="C2320"/>
      <c r="D2320"/>
      <c r="L2320"/>
      <c r="R2320"/>
      <c r="S2320"/>
      <c r="T2320"/>
      <c r="U2320"/>
    </row>
    <row r="2321" spans="1:21">
      <c r="A2321"/>
      <c r="C2321"/>
      <c r="D2321"/>
      <c r="L2321"/>
      <c r="R2321"/>
      <c r="S2321"/>
      <c r="T2321"/>
      <c r="U2321"/>
    </row>
    <row r="2322" spans="1:21">
      <c r="A2322"/>
      <c r="C2322"/>
      <c r="D2322"/>
      <c r="L2322"/>
      <c r="R2322"/>
      <c r="S2322"/>
      <c r="T2322"/>
      <c r="U2322"/>
    </row>
    <row r="2323" spans="1:21">
      <c r="A2323"/>
      <c r="C2323"/>
      <c r="D2323"/>
      <c r="L2323"/>
      <c r="R2323"/>
      <c r="S2323"/>
      <c r="T2323"/>
      <c r="U2323"/>
    </row>
    <row r="2324" spans="1:21">
      <c r="A2324"/>
      <c r="C2324"/>
      <c r="D2324"/>
      <c r="L2324"/>
      <c r="R2324"/>
      <c r="S2324"/>
      <c r="T2324"/>
      <c r="U2324"/>
    </row>
    <row r="2325" spans="1:21">
      <c r="A2325"/>
      <c r="C2325"/>
      <c r="D2325"/>
      <c r="L2325"/>
      <c r="R2325"/>
      <c r="S2325"/>
      <c r="T2325"/>
      <c r="U2325"/>
    </row>
    <row r="2326" spans="1:21">
      <c r="A2326"/>
      <c r="C2326"/>
      <c r="D2326"/>
      <c r="L2326"/>
      <c r="R2326"/>
      <c r="S2326"/>
      <c r="T2326"/>
      <c r="U2326"/>
    </row>
    <row r="2327" spans="1:21">
      <c r="A2327"/>
      <c r="C2327"/>
      <c r="D2327"/>
      <c r="L2327"/>
      <c r="R2327"/>
      <c r="S2327"/>
      <c r="T2327"/>
      <c r="U2327"/>
    </row>
    <row r="2328" spans="1:21">
      <c r="A2328"/>
      <c r="C2328"/>
      <c r="D2328"/>
      <c r="L2328"/>
      <c r="R2328"/>
      <c r="S2328"/>
      <c r="T2328"/>
      <c r="U2328"/>
    </row>
    <row r="2329" spans="1:21">
      <c r="A2329"/>
      <c r="C2329"/>
      <c r="D2329"/>
      <c r="L2329"/>
      <c r="R2329"/>
      <c r="S2329"/>
      <c r="T2329"/>
      <c r="U2329"/>
    </row>
    <row r="2330" spans="1:21">
      <c r="A2330"/>
      <c r="C2330"/>
      <c r="D2330"/>
      <c r="L2330"/>
      <c r="R2330"/>
      <c r="S2330"/>
      <c r="T2330"/>
      <c r="U2330"/>
    </row>
    <row r="2331" spans="1:21">
      <c r="A2331"/>
      <c r="C2331"/>
      <c r="D2331"/>
      <c r="L2331"/>
      <c r="R2331"/>
      <c r="S2331"/>
      <c r="T2331"/>
      <c r="U2331"/>
    </row>
    <row r="2332" spans="1:21">
      <c r="A2332"/>
      <c r="C2332"/>
      <c r="D2332"/>
      <c r="L2332"/>
      <c r="R2332"/>
      <c r="S2332"/>
      <c r="T2332"/>
      <c r="U2332"/>
    </row>
    <row r="2333" spans="1:21">
      <c r="A2333"/>
      <c r="C2333"/>
      <c r="D2333"/>
      <c r="L2333"/>
      <c r="R2333"/>
      <c r="S2333"/>
      <c r="T2333"/>
      <c r="U2333"/>
    </row>
    <row r="2334" spans="1:21">
      <c r="A2334"/>
      <c r="C2334"/>
      <c r="D2334"/>
      <c r="L2334"/>
      <c r="R2334"/>
      <c r="S2334"/>
      <c r="T2334"/>
      <c r="U2334"/>
    </row>
    <row r="2335" spans="1:21">
      <c r="A2335"/>
      <c r="C2335"/>
      <c r="D2335"/>
      <c r="L2335"/>
      <c r="R2335"/>
      <c r="S2335"/>
      <c r="T2335"/>
      <c r="U2335"/>
    </row>
    <row r="2336" spans="1:21">
      <c r="A2336"/>
      <c r="C2336"/>
      <c r="D2336"/>
      <c r="L2336"/>
      <c r="R2336"/>
      <c r="S2336"/>
      <c r="T2336"/>
      <c r="U2336"/>
    </row>
    <row r="2337" spans="1:21">
      <c r="A2337"/>
      <c r="C2337"/>
      <c r="D2337"/>
      <c r="L2337"/>
      <c r="R2337"/>
      <c r="S2337"/>
      <c r="T2337"/>
      <c r="U2337"/>
    </row>
    <row r="2338" spans="1:21">
      <c r="A2338"/>
      <c r="C2338"/>
      <c r="D2338"/>
      <c r="L2338"/>
      <c r="R2338"/>
      <c r="S2338"/>
      <c r="T2338"/>
      <c r="U2338"/>
    </row>
    <row r="2339" spans="1:21">
      <c r="A2339"/>
      <c r="C2339"/>
      <c r="D2339"/>
      <c r="L2339"/>
      <c r="R2339"/>
      <c r="S2339"/>
      <c r="T2339"/>
      <c r="U2339"/>
    </row>
    <row r="2340" spans="1:21">
      <c r="A2340"/>
      <c r="C2340"/>
      <c r="D2340"/>
      <c r="L2340"/>
      <c r="R2340"/>
      <c r="S2340"/>
      <c r="T2340"/>
      <c r="U2340"/>
    </row>
    <row r="2341" spans="1:21">
      <c r="A2341"/>
      <c r="C2341"/>
      <c r="D2341"/>
      <c r="L2341"/>
      <c r="R2341"/>
      <c r="S2341"/>
      <c r="T2341"/>
      <c r="U2341"/>
    </row>
    <row r="2342" spans="1:21">
      <c r="A2342"/>
      <c r="C2342"/>
      <c r="D2342"/>
      <c r="L2342"/>
      <c r="R2342"/>
      <c r="S2342"/>
      <c r="T2342"/>
      <c r="U2342"/>
    </row>
    <row r="2343" spans="1:21">
      <c r="A2343"/>
      <c r="C2343"/>
      <c r="D2343"/>
      <c r="L2343"/>
      <c r="R2343"/>
      <c r="S2343"/>
      <c r="T2343"/>
      <c r="U2343"/>
    </row>
    <row r="2344" spans="1:21">
      <c r="A2344"/>
      <c r="C2344"/>
      <c r="D2344"/>
      <c r="L2344"/>
      <c r="R2344"/>
      <c r="S2344"/>
      <c r="T2344"/>
      <c r="U2344"/>
    </row>
    <row r="2345" spans="1:21">
      <c r="A2345"/>
      <c r="C2345"/>
      <c r="D2345"/>
      <c r="L2345"/>
      <c r="R2345"/>
      <c r="S2345"/>
      <c r="T2345"/>
      <c r="U2345"/>
    </row>
    <row r="2346" spans="1:21">
      <c r="A2346"/>
      <c r="C2346"/>
      <c r="D2346"/>
      <c r="L2346"/>
      <c r="R2346"/>
      <c r="S2346"/>
      <c r="T2346"/>
      <c r="U2346"/>
    </row>
    <row r="2347" spans="1:21">
      <c r="A2347"/>
      <c r="C2347"/>
      <c r="D2347"/>
      <c r="L2347"/>
      <c r="R2347"/>
      <c r="S2347"/>
      <c r="T2347"/>
      <c r="U2347"/>
    </row>
    <row r="2348" spans="1:21">
      <c r="A2348"/>
      <c r="C2348"/>
      <c r="D2348"/>
      <c r="L2348"/>
      <c r="R2348"/>
      <c r="S2348"/>
      <c r="T2348"/>
      <c r="U2348"/>
    </row>
    <row r="2349" spans="1:21">
      <c r="A2349"/>
      <c r="C2349"/>
      <c r="D2349"/>
      <c r="L2349"/>
      <c r="R2349"/>
      <c r="S2349"/>
      <c r="T2349"/>
      <c r="U2349"/>
    </row>
    <row r="2350" spans="1:21">
      <c r="A2350"/>
      <c r="C2350"/>
      <c r="D2350"/>
      <c r="L2350"/>
      <c r="R2350"/>
      <c r="S2350"/>
      <c r="T2350"/>
      <c r="U2350"/>
    </row>
    <row r="2351" spans="1:21">
      <c r="A2351"/>
      <c r="C2351"/>
      <c r="D2351"/>
      <c r="L2351"/>
      <c r="R2351"/>
      <c r="S2351"/>
      <c r="T2351"/>
      <c r="U2351"/>
    </row>
    <row r="2352" spans="1:21">
      <c r="A2352"/>
      <c r="C2352"/>
      <c r="D2352"/>
      <c r="L2352"/>
      <c r="R2352"/>
      <c r="S2352"/>
      <c r="T2352"/>
      <c r="U2352"/>
    </row>
    <row r="2353" spans="1:21">
      <c r="A2353"/>
      <c r="C2353"/>
      <c r="D2353"/>
      <c r="L2353"/>
      <c r="R2353"/>
      <c r="S2353"/>
      <c r="T2353"/>
      <c r="U2353"/>
    </row>
    <row r="2354" spans="1:21">
      <c r="A2354"/>
      <c r="C2354"/>
      <c r="D2354"/>
      <c r="L2354"/>
      <c r="R2354"/>
      <c r="S2354"/>
      <c r="T2354"/>
      <c r="U2354"/>
    </row>
    <row r="2355" spans="1:21">
      <c r="A2355"/>
      <c r="C2355"/>
      <c r="D2355"/>
      <c r="L2355"/>
      <c r="R2355"/>
      <c r="S2355"/>
      <c r="T2355"/>
      <c r="U2355"/>
    </row>
    <row r="2356" spans="1:21">
      <c r="A2356"/>
      <c r="C2356"/>
      <c r="D2356"/>
      <c r="L2356"/>
      <c r="R2356"/>
      <c r="S2356"/>
      <c r="T2356"/>
      <c r="U2356"/>
    </row>
    <row r="2357" spans="1:21">
      <c r="A2357"/>
      <c r="C2357"/>
      <c r="D2357"/>
      <c r="L2357"/>
      <c r="R2357"/>
      <c r="S2357"/>
      <c r="T2357"/>
      <c r="U2357"/>
    </row>
    <row r="2358" spans="1:21">
      <c r="A2358"/>
      <c r="C2358"/>
      <c r="D2358"/>
      <c r="L2358"/>
      <c r="R2358"/>
      <c r="S2358"/>
      <c r="T2358"/>
      <c r="U2358"/>
    </row>
    <row r="2359" spans="1:21">
      <c r="A2359"/>
      <c r="C2359"/>
      <c r="D2359"/>
      <c r="L2359"/>
      <c r="R2359"/>
      <c r="S2359"/>
      <c r="T2359"/>
      <c r="U2359"/>
    </row>
    <row r="2360" spans="1:21">
      <c r="A2360"/>
      <c r="C2360"/>
      <c r="D2360"/>
      <c r="L2360"/>
      <c r="R2360"/>
      <c r="S2360"/>
      <c r="T2360"/>
      <c r="U2360"/>
    </row>
    <row r="2361" spans="1:21">
      <c r="A2361"/>
      <c r="C2361"/>
      <c r="D2361"/>
      <c r="L2361"/>
      <c r="R2361"/>
      <c r="S2361"/>
      <c r="T2361"/>
      <c r="U2361"/>
    </row>
    <row r="2362" spans="1:21">
      <c r="A2362"/>
      <c r="C2362"/>
      <c r="D2362"/>
      <c r="L2362"/>
      <c r="R2362"/>
      <c r="S2362"/>
      <c r="T2362"/>
      <c r="U2362"/>
    </row>
    <row r="2363" spans="1:21">
      <c r="A2363"/>
      <c r="C2363"/>
      <c r="D2363"/>
      <c r="L2363"/>
      <c r="R2363"/>
      <c r="S2363"/>
      <c r="T2363"/>
      <c r="U2363"/>
    </row>
    <row r="2364" spans="1:21">
      <c r="A2364"/>
      <c r="C2364"/>
      <c r="D2364"/>
      <c r="L2364"/>
      <c r="R2364"/>
      <c r="S2364"/>
      <c r="T2364"/>
      <c r="U2364"/>
    </row>
    <row r="2365" spans="1:21">
      <c r="A2365"/>
      <c r="C2365"/>
      <c r="D2365"/>
      <c r="L2365"/>
      <c r="R2365"/>
      <c r="S2365"/>
      <c r="T2365"/>
      <c r="U2365"/>
    </row>
    <row r="2366" spans="1:21">
      <c r="A2366"/>
      <c r="C2366"/>
      <c r="D2366"/>
      <c r="L2366"/>
      <c r="R2366"/>
      <c r="S2366"/>
      <c r="T2366"/>
      <c r="U2366"/>
    </row>
    <row r="2367" spans="1:21">
      <c r="A2367"/>
      <c r="C2367"/>
      <c r="D2367"/>
      <c r="L2367"/>
      <c r="R2367"/>
      <c r="S2367"/>
      <c r="T2367"/>
      <c r="U2367"/>
    </row>
    <row r="2368" spans="1:21">
      <c r="A2368"/>
      <c r="C2368"/>
      <c r="D2368"/>
      <c r="L2368"/>
      <c r="R2368"/>
      <c r="S2368"/>
      <c r="T2368"/>
      <c r="U2368"/>
    </row>
    <row r="2369" spans="1:21">
      <c r="A2369"/>
      <c r="C2369"/>
      <c r="D2369"/>
      <c r="L2369"/>
      <c r="R2369"/>
      <c r="S2369"/>
      <c r="T2369"/>
      <c r="U2369"/>
    </row>
    <row r="2370" spans="1:21">
      <c r="A2370"/>
      <c r="C2370"/>
      <c r="D2370"/>
      <c r="L2370"/>
      <c r="R2370"/>
      <c r="S2370"/>
      <c r="T2370"/>
      <c r="U2370"/>
    </row>
    <row r="2371" spans="1:21">
      <c r="A2371"/>
      <c r="C2371"/>
      <c r="D2371"/>
      <c r="L2371"/>
      <c r="R2371"/>
      <c r="S2371"/>
      <c r="T2371"/>
      <c r="U2371"/>
    </row>
    <row r="2372" spans="1:21">
      <c r="A2372"/>
      <c r="C2372"/>
      <c r="D2372"/>
      <c r="L2372"/>
      <c r="R2372"/>
      <c r="S2372"/>
      <c r="T2372"/>
      <c r="U2372"/>
    </row>
    <row r="2373" spans="1:21">
      <c r="A2373"/>
      <c r="C2373"/>
      <c r="D2373"/>
      <c r="L2373"/>
      <c r="R2373"/>
      <c r="S2373"/>
      <c r="T2373"/>
      <c r="U2373"/>
    </row>
    <row r="2374" spans="1:21">
      <c r="A2374"/>
      <c r="C2374"/>
      <c r="D2374"/>
      <c r="L2374"/>
      <c r="R2374"/>
      <c r="S2374"/>
      <c r="T2374"/>
      <c r="U2374"/>
    </row>
    <row r="2375" spans="1:21">
      <c r="A2375"/>
      <c r="C2375"/>
      <c r="D2375"/>
      <c r="L2375"/>
      <c r="R2375"/>
      <c r="S2375"/>
      <c r="T2375"/>
      <c r="U2375"/>
    </row>
    <row r="2376" spans="1:21">
      <c r="A2376"/>
      <c r="C2376"/>
      <c r="D2376"/>
      <c r="L2376"/>
      <c r="R2376"/>
      <c r="S2376"/>
      <c r="T2376"/>
      <c r="U2376"/>
    </row>
    <row r="2377" spans="1:21">
      <c r="A2377"/>
      <c r="C2377"/>
      <c r="D2377"/>
      <c r="L2377"/>
      <c r="R2377"/>
      <c r="S2377"/>
      <c r="T2377"/>
      <c r="U2377"/>
    </row>
    <row r="2378" spans="1:21">
      <c r="A2378"/>
      <c r="C2378"/>
      <c r="D2378"/>
      <c r="L2378"/>
      <c r="R2378"/>
      <c r="S2378"/>
      <c r="T2378"/>
      <c r="U2378"/>
    </row>
    <row r="2379" spans="1:21">
      <c r="A2379"/>
      <c r="C2379"/>
      <c r="D2379"/>
      <c r="L2379"/>
      <c r="R2379"/>
      <c r="S2379"/>
      <c r="T2379"/>
      <c r="U2379"/>
    </row>
    <row r="2380" spans="1:21">
      <c r="A2380"/>
      <c r="C2380"/>
      <c r="D2380"/>
      <c r="L2380"/>
      <c r="R2380"/>
      <c r="S2380"/>
      <c r="T2380"/>
      <c r="U2380"/>
    </row>
    <row r="2381" spans="1:21">
      <c r="A2381"/>
      <c r="C2381"/>
      <c r="D2381"/>
      <c r="L2381"/>
      <c r="R2381"/>
      <c r="S2381"/>
      <c r="T2381"/>
      <c r="U2381"/>
    </row>
    <row r="2382" spans="1:21">
      <c r="A2382"/>
      <c r="C2382"/>
      <c r="D2382"/>
      <c r="L2382"/>
      <c r="R2382"/>
      <c r="S2382"/>
      <c r="T2382"/>
      <c r="U2382"/>
    </row>
    <row r="2383" spans="1:21">
      <c r="A2383"/>
      <c r="C2383"/>
      <c r="D2383"/>
      <c r="L2383"/>
      <c r="R2383"/>
      <c r="S2383"/>
      <c r="T2383"/>
      <c r="U2383"/>
    </row>
    <row r="2384" spans="1:21">
      <c r="A2384"/>
      <c r="C2384"/>
      <c r="D2384"/>
      <c r="L2384"/>
      <c r="R2384"/>
      <c r="S2384"/>
      <c r="T2384"/>
      <c r="U2384"/>
    </row>
    <row r="2385" spans="1:21">
      <c r="A2385"/>
      <c r="C2385"/>
      <c r="D2385"/>
      <c r="L2385"/>
      <c r="R2385"/>
      <c r="S2385"/>
      <c r="T2385"/>
      <c r="U2385"/>
    </row>
    <row r="2386" spans="1:21">
      <c r="A2386"/>
      <c r="C2386"/>
      <c r="D2386"/>
      <c r="L2386"/>
      <c r="R2386"/>
      <c r="S2386"/>
      <c r="T2386"/>
      <c r="U2386"/>
    </row>
    <row r="2387" spans="1:21">
      <c r="A2387"/>
      <c r="C2387"/>
      <c r="D2387"/>
      <c r="L2387"/>
      <c r="R2387"/>
      <c r="S2387"/>
      <c r="T2387"/>
      <c r="U2387"/>
    </row>
    <row r="2388" spans="1:21">
      <c r="A2388"/>
      <c r="C2388"/>
      <c r="D2388"/>
      <c r="L2388"/>
      <c r="R2388"/>
      <c r="S2388"/>
      <c r="T2388"/>
      <c r="U2388"/>
    </row>
    <row r="2389" spans="1:21">
      <c r="A2389"/>
      <c r="C2389"/>
      <c r="D2389"/>
      <c r="L2389"/>
      <c r="R2389"/>
      <c r="S2389"/>
      <c r="T2389"/>
      <c r="U2389"/>
    </row>
    <row r="2390" spans="1:21">
      <c r="A2390"/>
      <c r="C2390"/>
      <c r="D2390"/>
      <c r="L2390"/>
      <c r="R2390"/>
      <c r="S2390"/>
      <c r="T2390"/>
      <c r="U2390"/>
    </row>
    <row r="2391" spans="1:21">
      <c r="A2391"/>
      <c r="C2391"/>
      <c r="D2391"/>
      <c r="L2391"/>
      <c r="R2391"/>
      <c r="S2391"/>
      <c r="T2391"/>
      <c r="U2391"/>
    </row>
    <row r="2392" spans="1:21">
      <c r="A2392"/>
      <c r="C2392"/>
      <c r="D2392"/>
      <c r="L2392"/>
      <c r="R2392"/>
      <c r="S2392"/>
      <c r="T2392"/>
      <c r="U2392"/>
    </row>
    <row r="2393" spans="1:21">
      <c r="A2393"/>
      <c r="C2393"/>
      <c r="D2393"/>
      <c r="L2393"/>
      <c r="R2393"/>
      <c r="S2393"/>
      <c r="T2393"/>
      <c r="U2393"/>
    </row>
    <row r="2394" spans="1:21">
      <c r="A2394"/>
      <c r="C2394"/>
      <c r="D2394"/>
      <c r="L2394"/>
      <c r="R2394"/>
      <c r="S2394"/>
      <c r="T2394"/>
      <c r="U2394"/>
    </row>
    <row r="2395" spans="1:21">
      <c r="A2395"/>
      <c r="C2395"/>
      <c r="D2395"/>
      <c r="L2395"/>
      <c r="R2395"/>
      <c r="S2395"/>
      <c r="T2395"/>
      <c r="U2395"/>
    </row>
    <row r="2396" spans="1:21">
      <c r="A2396"/>
      <c r="C2396"/>
      <c r="D2396"/>
      <c r="L2396"/>
      <c r="R2396"/>
      <c r="S2396"/>
      <c r="T2396"/>
      <c r="U2396"/>
    </row>
    <row r="2397" spans="1:21">
      <c r="A2397"/>
      <c r="C2397"/>
      <c r="D2397"/>
      <c r="L2397"/>
      <c r="R2397"/>
      <c r="S2397"/>
      <c r="T2397"/>
      <c r="U2397"/>
    </row>
    <row r="2398" spans="1:21">
      <c r="A2398"/>
      <c r="C2398"/>
      <c r="D2398"/>
      <c r="L2398"/>
      <c r="R2398"/>
      <c r="S2398"/>
      <c r="T2398"/>
      <c r="U2398"/>
    </row>
    <row r="2399" spans="1:21">
      <c r="A2399"/>
      <c r="C2399"/>
      <c r="D2399"/>
      <c r="L2399"/>
      <c r="R2399"/>
      <c r="S2399"/>
      <c r="T2399"/>
      <c r="U2399"/>
    </row>
    <row r="2400" spans="1:21">
      <c r="A2400"/>
      <c r="C2400"/>
      <c r="D2400"/>
      <c r="L2400"/>
      <c r="R2400"/>
      <c r="S2400"/>
      <c r="T2400"/>
      <c r="U2400"/>
    </row>
    <row r="2401" spans="1:21">
      <c r="A2401"/>
      <c r="C2401"/>
      <c r="D2401"/>
      <c r="L2401"/>
      <c r="R2401"/>
      <c r="S2401"/>
      <c r="T2401"/>
      <c r="U2401"/>
    </row>
    <row r="2402" spans="1:21">
      <c r="A2402"/>
      <c r="C2402"/>
      <c r="D2402"/>
      <c r="L2402"/>
      <c r="R2402"/>
      <c r="S2402"/>
      <c r="T2402"/>
      <c r="U2402"/>
    </row>
    <row r="2403" spans="1:21">
      <c r="A2403"/>
      <c r="C2403"/>
      <c r="D2403"/>
      <c r="L2403"/>
      <c r="R2403"/>
      <c r="S2403"/>
      <c r="T2403"/>
      <c r="U2403"/>
    </row>
    <row r="2404" spans="1:21">
      <c r="A2404"/>
      <c r="C2404"/>
      <c r="D2404"/>
      <c r="L2404"/>
      <c r="R2404"/>
      <c r="S2404"/>
      <c r="T2404"/>
      <c r="U2404"/>
    </row>
    <row r="2405" spans="1:21">
      <c r="A2405"/>
      <c r="C2405"/>
      <c r="D2405"/>
      <c r="L2405"/>
      <c r="R2405"/>
      <c r="S2405"/>
      <c r="T2405"/>
      <c r="U2405"/>
    </row>
    <row r="2406" spans="1:21">
      <c r="A2406"/>
      <c r="C2406"/>
      <c r="D2406"/>
      <c r="L2406"/>
      <c r="R2406"/>
      <c r="S2406"/>
      <c r="T2406"/>
      <c r="U2406"/>
    </row>
    <row r="2407" spans="1:21">
      <c r="A2407"/>
      <c r="C2407"/>
      <c r="D2407"/>
      <c r="L2407"/>
      <c r="R2407"/>
      <c r="S2407"/>
      <c r="T2407"/>
      <c r="U2407"/>
    </row>
    <row r="2408" spans="1:21">
      <c r="A2408"/>
      <c r="C2408"/>
      <c r="D2408"/>
      <c r="L2408"/>
      <c r="R2408"/>
      <c r="S2408"/>
      <c r="T2408"/>
      <c r="U2408"/>
    </row>
    <row r="2409" spans="1:21">
      <c r="A2409"/>
      <c r="C2409"/>
      <c r="D2409"/>
      <c r="L2409"/>
      <c r="R2409"/>
      <c r="S2409"/>
      <c r="T2409"/>
      <c r="U2409"/>
    </row>
    <row r="2410" spans="1:21">
      <c r="A2410"/>
      <c r="C2410"/>
      <c r="D2410"/>
      <c r="L2410"/>
      <c r="R2410"/>
      <c r="S2410"/>
      <c r="T2410"/>
      <c r="U2410"/>
    </row>
    <row r="2411" spans="1:21">
      <c r="A2411"/>
      <c r="C2411"/>
      <c r="D2411"/>
      <c r="L2411"/>
      <c r="R2411"/>
      <c r="S2411"/>
      <c r="T2411"/>
      <c r="U2411"/>
    </row>
    <row r="2412" spans="1:21">
      <c r="A2412"/>
      <c r="C2412"/>
      <c r="D2412"/>
      <c r="L2412"/>
      <c r="R2412"/>
      <c r="S2412"/>
      <c r="T2412"/>
      <c r="U2412"/>
    </row>
    <row r="2413" spans="1:21">
      <c r="A2413"/>
      <c r="C2413"/>
      <c r="D2413"/>
      <c r="L2413"/>
      <c r="R2413"/>
      <c r="S2413"/>
      <c r="T2413"/>
      <c r="U2413"/>
    </row>
    <row r="2414" spans="1:21">
      <c r="A2414"/>
      <c r="C2414"/>
      <c r="D2414"/>
      <c r="L2414"/>
      <c r="R2414"/>
      <c r="S2414"/>
      <c r="T2414"/>
      <c r="U2414"/>
    </row>
    <row r="2415" spans="1:21">
      <c r="A2415"/>
      <c r="C2415"/>
      <c r="D2415"/>
      <c r="L2415"/>
      <c r="R2415"/>
      <c r="S2415"/>
      <c r="T2415"/>
      <c r="U2415"/>
    </row>
    <row r="2416" spans="1:21">
      <c r="A2416"/>
      <c r="C2416"/>
      <c r="D2416"/>
      <c r="L2416"/>
      <c r="R2416"/>
      <c r="S2416"/>
      <c r="T2416"/>
      <c r="U2416"/>
    </row>
    <row r="2417" spans="1:21">
      <c r="A2417"/>
      <c r="C2417"/>
      <c r="D2417"/>
      <c r="L2417"/>
      <c r="R2417"/>
      <c r="S2417"/>
      <c r="T2417"/>
      <c r="U2417"/>
    </row>
    <row r="2418" spans="1:21">
      <c r="A2418"/>
      <c r="C2418"/>
      <c r="D2418"/>
      <c r="L2418"/>
      <c r="R2418"/>
      <c r="S2418"/>
      <c r="T2418"/>
      <c r="U2418"/>
    </row>
    <row r="2419" spans="1:21">
      <c r="A2419"/>
      <c r="C2419"/>
      <c r="D2419"/>
      <c r="L2419"/>
      <c r="R2419"/>
      <c r="S2419"/>
      <c r="T2419"/>
      <c r="U2419"/>
    </row>
    <row r="2420" spans="1:21">
      <c r="A2420"/>
      <c r="C2420"/>
      <c r="D2420"/>
      <c r="L2420"/>
      <c r="R2420"/>
      <c r="S2420"/>
      <c r="T2420"/>
      <c r="U2420"/>
    </row>
    <row r="2421" spans="1:21">
      <c r="A2421"/>
      <c r="C2421"/>
      <c r="D2421"/>
      <c r="L2421"/>
      <c r="R2421"/>
      <c r="S2421"/>
      <c r="T2421"/>
      <c r="U2421"/>
    </row>
    <row r="2422" spans="1:21">
      <c r="A2422"/>
      <c r="C2422"/>
      <c r="D2422"/>
      <c r="L2422"/>
      <c r="R2422"/>
      <c r="S2422"/>
      <c r="T2422"/>
      <c r="U2422"/>
    </row>
    <row r="2423" spans="1:21">
      <c r="A2423"/>
      <c r="C2423"/>
      <c r="D2423"/>
      <c r="L2423"/>
      <c r="R2423"/>
      <c r="S2423"/>
      <c r="T2423"/>
      <c r="U2423"/>
    </row>
    <row r="2424" spans="1:21">
      <c r="A2424"/>
      <c r="C2424"/>
      <c r="D2424"/>
      <c r="L2424"/>
      <c r="R2424"/>
      <c r="S2424"/>
      <c r="T2424"/>
      <c r="U2424"/>
    </row>
    <row r="2425" spans="1:21">
      <c r="A2425"/>
      <c r="C2425"/>
      <c r="D2425"/>
      <c r="L2425"/>
      <c r="R2425"/>
      <c r="S2425"/>
      <c r="T2425"/>
      <c r="U2425"/>
    </row>
    <row r="2426" spans="1:21">
      <c r="A2426"/>
      <c r="C2426"/>
      <c r="D2426"/>
      <c r="L2426"/>
      <c r="R2426"/>
      <c r="S2426"/>
      <c r="T2426"/>
      <c r="U2426"/>
    </row>
    <row r="2427" spans="1:21">
      <c r="A2427"/>
      <c r="C2427"/>
      <c r="D2427"/>
      <c r="L2427"/>
      <c r="R2427"/>
      <c r="S2427"/>
      <c r="T2427"/>
      <c r="U2427"/>
    </row>
    <row r="2428" spans="1:21">
      <c r="A2428"/>
      <c r="C2428"/>
      <c r="D2428"/>
      <c r="L2428"/>
      <c r="R2428"/>
      <c r="S2428"/>
      <c r="T2428"/>
      <c r="U2428"/>
    </row>
    <row r="2429" spans="1:21">
      <c r="A2429"/>
      <c r="C2429"/>
      <c r="D2429"/>
      <c r="L2429"/>
      <c r="R2429"/>
      <c r="S2429"/>
      <c r="T2429"/>
      <c r="U2429"/>
    </row>
    <row r="2430" spans="1:21">
      <c r="A2430"/>
      <c r="C2430"/>
      <c r="D2430"/>
      <c r="L2430"/>
      <c r="R2430"/>
      <c r="S2430"/>
      <c r="T2430"/>
      <c r="U2430"/>
    </row>
    <row r="2431" spans="1:21">
      <c r="A2431"/>
      <c r="C2431"/>
      <c r="D2431"/>
      <c r="L2431"/>
      <c r="R2431"/>
      <c r="S2431"/>
      <c r="T2431"/>
      <c r="U2431"/>
    </row>
    <row r="2432" spans="1:21">
      <c r="A2432"/>
      <c r="C2432"/>
      <c r="D2432"/>
      <c r="L2432"/>
      <c r="R2432"/>
      <c r="S2432"/>
      <c r="T2432"/>
      <c r="U2432"/>
    </row>
    <row r="2433" spans="1:21">
      <c r="A2433"/>
      <c r="C2433"/>
      <c r="D2433"/>
      <c r="L2433"/>
      <c r="R2433"/>
      <c r="S2433"/>
      <c r="T2433"/>
      <c r="U2433"/>
    </row>
    <row r="2434" spans="1:21">
      <c r="A2434"/>
      <c r="C2434"/>
      <c r="D2434"/>
      <c r="L2434"/>
      <c r="R2434"/>
      <c r="S2434"/>
      <c r="T2434"/>
      <c r="U2434"/>
    </row>
    <row r="2435" spans="1:21">
      <c r="A2435"/>
      <c r="C2435"/>
      <c r="D2435"/>
      <c r="L2435"/>
      <c r="R2435"/>
      <c r="S2435"/>
      <c r="T2435"/>
      <c r="U2435"/>
    </row>
    <row r="2436" spans="1:21">
      <c r="A2436"/>
      <c r="C2436"/>
      <c r="D2436"/>
      <c r="L2436"/>
      <c r="R2436"/>
      <c r="S2436"/>
      <c r="T2436"/>
      <c r="U2436"/>
    </row>
    <row r="2437" spans="1:21">
      <c r="A2437"/>
      <c r="C2437"/>
      <c r="D2437"/>
      <c r="L2437"/>
      <c r="R2437"/>
      <c r="S2437"/>
      <c r="T2437"/>
      <c r="U2437"/>
    </row>
    <row r="2438" spans="1:21">
      <c r="A2438"/>
      <c r="C2438"/>
      <c r="D2438"/>
      <c r="L2438"/>
      <c r="R2438"/>
      <c r="S2438"/>
      <c r="T2438"/>
      <c r="U2438"/>
    </row>
    <row r="2439" spans="1:21">
      <c r="A2439"/>
      <c r="C2439"/>
      <c r="D2439"/>
      <c r="L2439"/>
      <c r="R2439"/>
      <c r="S2439"/>
      <c r="T2439"/>
      <c r="U2439"/>
    </row>
    <row r="2440" spans="1:21">
      <c r="A2440"/>
      <c r="C2440"/>
      <c r="D2440"/>
      <c r="L2440"/>
      <c r="R2440"/>
      <c r="S2440"/>
      <c r="T2440"/>
      <c r="U2440"/>
    </row>
    <row r="2441" spans="1:21">
      <c r="A2441"/>
      <c r="C2441"/>
      <c r="D2441"/>
      <c r="L2441"/>
      <c r="R2441"/>
      <c r="S2441"/>
      <c r="T2441"/>
      <c r="U2441"/>
    </row>
    <row r="2442" spans="1:21">
      <c r="A2442"/>
      <c r="C2442"/>
      <c r="D2442"/>
      <c r="L2442"/>
      <c r="R2442"/>
      <c r="S2442"/>
      <c r="T2442"/>
      <c r="U2442"/>
    </row>
    <row r="2443" spans="1:21">
      <c r="A2443"/>
      <c r="C2443"/>
      <c r="D2443"/>
      <c r="L2443"/>
      <c r="R2443"/>
      <c r="S2443"/>
      <c r="T2443"/>
      <c r="U2443"/>
    </row>
    <row r="2444" spans="1:21">
      <c r="A2444"/>
      <c r="C2444"/>
      <c r="D2444"/>
      <c r="L2444"/>
      <c r="R2444"/>
      <c r="S2444"/>
      <c r="T2444"/>
      <c r="U2444"/>
    </row>
    <row r="2445" spans="1:21">
      <c r="A2445"/>
      <c r="C2445"/>
      <c r="D2445"/>
      <c r="L2445"/>
      <c r="R2445"/>
      <c r="S2445"/>
      <c r="T2445"/>
      <c r="U2445"/>
    </row>
    <row r="2446" spans="1:21">
      <c r="A2446"/>
      <c r="C2446"/>
      <c r="D2446"/>
      <c r="L2446"/>
      <c r="R2446"/>
      <c r="S2446"/>
      <c r="T2446"/>
      <c r="U2446"/>
    </row>
    <row r="2447" spans="1:21">
      <c r="A2447"/>
      <c r="C2447"/>
      <c r="D2447"/>
      <c r="L2447"/>
      <c r="R2447"/>
      <c r="S2447"/>
      <c r="T2447"/>
      <c r="U2447"/>
    </row>
    <row r="2448" spans="1:21">
      <c r="A2448"/>
      <c r="C2448"/>
      <c r="D2448"/>
      <c r="L2448"/>
      <c r="R2448"/>
      <c r="S2448"/>
      <c r="T2448"/>
      <c r="U2448"/>
    </row>
    <row r="2449" spans="1:21">
      <c r="A2449"/>
      <c r="C2449"/>
      <c r="D2449"/>
      <c r="L2449"/>
      <c r="R2449"/>
      <c r="S2449"/>
      <c r="T2449"/>
      <c r="U2449"/>
    </row>
    <row r="2450" spans="1:21">
      <c r="A2450"/>
      <c r="C2450"/>
      <c r="D2450"/>
      <c r="L2450"/>
      <c r="R2450"/>
      <c r="S2450"/>
      <c r="T2450"/>
      <c r="U2450"/>
    </row>
    <row r="2451" spans="1:21">
      <c r="A2451"/>
      <c r="C2451"/>
      <c r="D2451"/>
      <c r="L2451"/>
      <c r="R2451"/>
      <c r="S2451"/>
      <c r="T2451"/>
      <c r="U2451"/>
    </row>
    <row r="2452" spans="1:21">
      <c r="A2452"/>
      <c r="C2452"/>
      <c r="D2452"/>
      <c r="L2452"/>
      <c r="R2452"/>
      <c r="S2452"/>
      <c r="T2452"/>
      <c r="U2452"/>
    </row>
    <row r="2453" spans="1:21">
      <c r="A2453"/>
      <c r="C2453"/>
      <c r="D2453"/>
      <c r="L2453"/>
      <c r="R2453"/>
      <c r="S2453"/>
      <c r="T2453"/>
      <c r="U2453"/>
    </row>
    <row r="2454" spans="1:21">
      <c r="A2454"/>
      <c r="C2454"/>
      <c r="D2454"/>
      <c r="L2454"/>
      <c r="R2454"/>
      <c r="S2454"/>
      <c r="T2454"/>
      <c r="U2454"/>
    </row>
    <row r="2455" spans="1:21">
      <c r="A2455"/>
      <c r="C2455"/>
      <c r="D2455"/>
      <c r="L2455"/>
      <c r="R2455"/>
      <c r="S2455"/>
      <c r="T2455"/>
      <c r="U2455"/>
    </row>
    <row r="2456" spans="1:21">
      <c r="A2456"/>
      <c r="C2456"/>
      <c r="D2456"/>
      <c r="L2456"/>
      <c r="R2456"/>
      <c r="S2456"/>
      <c r="T2456"/>
      <c r="U2456"/>
    </row>
    <row r="2457" spans="1:21">
      <c r="A2457"/>
      <c r="C2457"/>
      <c r="D2457"/>
      <c r="L2457"/>
      <c r="R2457"/>
      <c r="S2457"/>
      <c r="T2457"/>
      <c r="U2457"/>
    </row>
    <row r="2458" spans="1:21">
      <c r="A2458"/>
      <c r="C2458"/>
      <c r="D2458"/>
      <c r="L2458"/>
      <c r="R2458"/>
      <c r="S2458"/>
      <c r="T2458"/>
      <c r="U2458"/>
    </row>
    <row r="2459" spans="1:21">
      <c r="A2459"/>
      <c r="C2459"/>
      <c r="D2459"/>
      <c r="L2459"/>
      <c r="R2459"/>
      <c r="S2459"/>
      <c r="T2459"/>
      <c r="U2459"/>
    </row>
    <row r="2460" spans="1:21">
      <c r="A2460"/>
      <c r="C2460"/>
      <c r="D2460"/>
      <c r="L2460"/>
      <c r="R2460"/>
      <c r="S2460"/>
      <c r="T2460"/>
      <c r="U2460"/>
    </row>
    <row r="2461" spans="1:21">
      <c r="A2461"/>
      <c r="C2461"/>
      <c r="D2461"/>
      <c r="L2461"/>
      <c r="R2461"/>
      <c r="S2461"/>
      <c r="T2461"/>
      <c r="U2461"/>
    </row>
    <row r="2462" spans="1:21">
      <c r="A2462"/>
      <c r="C2462"/>
      <c r="D2462"/>
      <c r="L2462"/>
      <c r="R2462"/>
      <c r="S2462"/>
      <c r="T2462"/>
      <c r="U2462"/>
    </row>
    <row r="2463" spans="1:21">
      <c r="A2463"/>
      <c r="C2463"/>
      <c r="D2463"/>
      <c r="L2463"/>
      <c r="R2463"/>
      <c r="S2463"/>
      <c r="T2463"/>
      <c r="U2463"/>
    </row>
    <row r="2464" spans="1:21">
      <c r="A2464"/>
      <c r="C2464"/>
      <c r="D2464"/>
      <c r="L2464"/>
      <c r="R2464"/>
      <c r="S2464"/>
      <c r="T2464"/>
      <c r="U2464"/>
    </row>
    <row r="2465" spans="1:21">
      <c r="A2465"/>
      <c r="C2465"/>
      <c r="D2465"/>
      <c r="L2465"/>
      <c r="R2465"/>
      <c r="S2465"/>
      <c r="T2465"/>
      <c r="U2465"/>
    </row>
    <row r="2466" spans="1:21">
      <c r="A2466"/>
      <c r="C2466"/>
      <c r="D2466"/>
      <c r="L2466"/>
      <c r="R2466"/>
      <c r="S2466"/>
      <c r="T2466"/>
      <c r="U2466"/>
    </row>
    <row r="2467" spans="1:21">
      <c r="A2467"/>
      <c r="C2467"/>
      <c r="D2467"/>
      <c r="L2467"/>
      <c r="R2467"/>
      <c r="S2467"/>
      <c r="T2467"/>
      <c r="U2467"/>
    </row>
    <row r="2468" spans="1:21">
      <c r="A2468"/>
      <c r="C2468"/>
      <c r="D2468"/>
      <c r="L2468"/>
      <c r="R2468"/>
      <c r="S2468"/>
      <c r="T2468"/>
      <c r="U2468"/>
    </row>
    <row r="2469" spans="1:21">
      <c r="A2469"/>
      <c r="C2469"/>
      <c r="D2469"/>
      <c r="L2469"/>
      <c r="R2469"/>
      <c r="S2469"/>
      <c r="T2469"/>
      <c r="U2469"/>
    </row>
    <row r="2470" spans="1:21">
      <c r="A2470"/>
      <c r="C2470"/>
      <c r="D2470"/>
      <c r="L2470"/>
      <c r="R2470"/>
      <c r="S2470"/>
      <c r="T2470"/>
      <c r="U2470"/>
    </row>
    <row r="2471" spans="1:21">
      <c r="A2471"/>
      <c r="C2471"/>
      <c r="D2471"/>
      <c r="L2471"/>
      <c r="R2471"/>
      <c r="S2471"/>
      <c r="T2471"/>
      <c r="U2471"/>
    </row>
    <row r="2472" spans="1:21">
      <c r="A2472"/>
      <c r="C2472"/>
      <c r="D2472"/>
      <c r="L2472"/>
      <c r="R2472"/>
      <c r="S2472"/>
      <c r="T2472"/>
      <c r="U2472"/>
    </row>
    <row r="2473" spans="1:21">
      <c r="A2473"/>
      <c r="C2473"/>
      <c r="D2473"/>
      <c r="L2473"/>
      <c r="R2473"/>
      <c r="S2473"/>
      <c r="T2473"/>
      <c r="U2473"/>
    </row>
    <row r="2474" spans="1:21">
      <c r="A2474"/>
      <c r="C2474"/>
      <c r="D2474"/>
      <c r="L2474"/>
      <c r="R2474"/>
      <c r="S2474"/>
      <c r="T2474"/>
      <c r="U2474"/>
    </row>
    <row r="2475" spans="1:21">
      <c r="A2475"/>
      <c r="C2475"/>
      <c r="D2475"/>
      <c r="L2475"/>
      <c r="R2475"/>
      <c r="S2475"/>
      <c r="T2475"/>
      <c r="U2475"/>
    </row>
    <row r="2476" spans="1:21">
      <c r="A2476"/>
      <c r="C2476"/>
      <c r="D2476"/>
      <c r="L2476"/>
      <c r="R2476"/>
      <c r="S2476"/>
      <c r="T2476"/>
      <c r="U2476"/>
    </row>
    <row r="2477" spans="1:21">
      <c r="A2477"/>
      <c r="C2477"/>
      <c r="D2477"/>
      <c r="L2477"/>
      <c r="R2477"/>
      <c r="S2477"/>
      <c r="T2477"/>
      <c r="U2477"/>
    </row>
    <row r="2478" spans="1:21">
      <c r="A2478"/>
      <c r="C2478"/>
      <c r="D2478"/>
      <c r="L2478"/>
      <c r="R2478"/>
      <c r="S2478"/>
      <c r="T2478"/>
      <c r="U2478"/>
    </row>
    <row r="2479" spans="1:21">
      <c r="A2479"/>
      <c r="C2479"/>
      <c r="D2479"/>
      <c r="L2479"/>
      <c r="R2479"/>
      <c r="S2479"/>
      <c r="T2479"/>
      <c r="U2479"/>
    </row>
    <row r="2480" spans="1:21">
      <c r="A2480"/>
      <c r="C2480"/>
      <c r="D2480"/>
      <c r="L2480"/>
      <c r="R2480"/>
      <c r="S2480"/>
      <c r="T2480"/>
      <c r="U2480"/>
    </row>
    <row r="2481" spans="1:21">
      <c r="A2481"/>
      <c r="C2481"/>
      <c r="D2481"/>
      <c r="L2481"/>
      <c r="R2481"/>
      <c r="S2481"/>
      <c r="T2481"/>
      <c r="U2481"/>
    </row>
    <row r="2482" spans="1:21">
      <c r="A2482"/>
      <c r="C2482"/>
      <c r="D2482"/>
      <c r="L2482"/>
      <c r="R2482"/>
      <c r="S2482"/>
      <c r="T2482"/>
      <c r="U2482"/>
    </row>
    <row r="2483" spans="1:21">
      <c r="A2483"/>
      <c r="C2483"/>
      <c r="D2483"/>
      <c r="L2483"/>
      <c r="R2483"/>
      <c r="S2483"/>
      <c r="T2483"/>
      <c r="U2483"/>
    </row>
    <row r="2484" spans="1:21">
      <c r="A2484"/>
      <c r="C2484"/>
      <c r="D2484"/>
      <c r="L2484"/>
      <c r="R2484"/>
      <c r="S2484"/>
      <c r="T2484"/>
      <c r="U2484"/>
    </row>
    <row r="2485" spans="1:21">
      <c r="A2485"/>
      <c r="C2485"/>
      <c r="D2485"/>
      <c r="L2485"/>
      <c r="R2485"/>
      <c r="S2485"/>
      <c r="T2485"/>
      <c r="U2485"/>
    </row>
    <row r="2486" spans="1:21">
      <c r="A2486"/>
      <c r="C2486"/>
      <c r="D2486"/>
      <c r="L2486"/>
      <c r="R2486"/>
      <c r="S2486"/>
      <c r="T2486"/>
      <c r="U2486"/>
    </row>
    <row r="2487" spans="1:21">
      <c r="A2487"/>
      <c r="C2487"/>
      <c r="D2487"/>
      <c r="L2487"/>
      <c r="R2487"/>
      <c r="S2487"/>
      <c r="T2487"/>
      <c r="U2487"/>
    </row>
    <row r="2488" spans="1:21">
      <c r="A2488"/>
      <c r="C2488"/>
      <c r="D2488"/>
      <c r="L2488"/>
      <c r="R2488"/>
      <c r="S2488"/>
      <c r="T2488"/>
      <c r="U2488"/>
    </row>
    <row r="2489" spans="1:21">
      <c r="A2489"/>
      <c r="C2489"/>
      <c r="D2489"/>
      <c r="L2489"/>
      <c r="R2489"/>
      <c r="S2489"/>
      <c r="T2489"/>
      <c r="U2489"/>
    </row>
    <row r="2490" spans="1:21">
      <c r="A2490"/>
      <c r="C2490"/>
      <c r="D2490"/>
      <c r="L2490"/>
      <c r="R2490"/>
      <c r="S2490"/>
      <c r="T2490"/>
      <c r="U2490"/>
    </row>
    <row r="2491" spans="1:21">
      <c r="A2491"/>
      <c r="C2491"/>
      <c r="D2491"/>
      <c r="L2491"/>
      <c r="R2491"/>
      <c r="S2491"/>
      <c r="T2491"/>
      <c r="U2491"/>
    </row>
    <row r="2492" spans="1:21">
      <c r="A2492"/>
      <c r="C2492"/>
      <c r="D2492"/>
      <c r="L2492"/>
      <c r="R2492"/>
      <c r="S2492"/>
      <c r="T2492"/>
      <c r="U2492"/>
    </row>
    <row r="2493" spans="1:21">
      <c r="A2493"/>
      <c r="C2493"/>
      <c r="D2493"/>
      <c r="L2493"/>
      <c r="R2493"/>
      <c r="S2493"/>
      <c r="T2493"/>
      <c r="U2493"/>
    </row>
    <row r="2494" spans="1:21">
      <c r="A2494"/>
      <c r="C2494"/>
      <c r="D2494"/>
      <c r="L2494"/>
      <c r="R2494"/>
      <c r="S2494"/>
      <c r="T2494"/>
      <c r="U2494"/>
    </row>
    <row r="2495" spans="1:21">
      <c r="A2495"/>
      <c r="C2495"/>
      <c r="D2495"/>
      <c r="L2495"/>
      <c r="R2495"/>
      <c r="S2495"/>
      <c r="T2495"/>
      <c r="U2495"/>
    </row>
    <row r="2496" spans="1:21">
      <c r="A2496"/>
      <c r="C2496"/>
      <c r="D2496"/>
      <c r="L2496"/>
      <c r="R2496"/>
      <c r="S2496"/>
      <c r="T2496"/>
      <c r="U2496"/>
    </row>
    <row r="2497" spans="1:21">
      <c r="A2497"/>
      <c r="C2497"/>
      <c r="D2497"/>
      <c r="L2497"/>
      <c r="R2497"/>
      <c r="S2497"/>
      <c r="T2497"/>
      <c r="U2497"/>
    </row>
    <row r="2498" spans="1:21">
      <c r="A2498"/>
      <c r="C2498"/>
      <c r="D2498"/>
      <c r="L2498"/>
      <c r="R2498"/>
      <c r="S2498"/>
      <c r="T2498"/>
      <c r="U2498"/>
    </row>
    <row r="2499" spans="1:21">
      <c r="A2499"/>
      <c r="C2499"/>
      <c r="D2499"/>
      <c r="L2499"/>
      <c r="R2499"/>
      <c r="S2499"/>
      <c r="T2499"/>
      <c r="U2499"/>
    </row>
    <row r="2500" spans="1:21">
      <c r="A2500"/>
      <c r="C2500"/>
      <c r="D2500"/>
      <c r="L2500"/>
      <c r="R2500"/>
      <c r="S2500"/>
      <c r="T2500"/>
      <c r="U2500"/>
    </row>
    <row r="2501" spans="1:21">
      <c r="A2501"/>
      <c r="C2501"/>
      <c r="D2501"/>
      <c r="L2501"/>
      <c r="R2501"/>
      <c r="S2501"/>
      <c r="T2501"/>
      <c r="U2501"/>
    </row>
    <row r="2502" spans="1:21">
      <c r="A2502"/>
      <c r="C2502"/>
      <c r="D2502"/>
      <c r="L2502"/>
      <c r="R2502"/>
      <c r="S2502"/>
      <c r="T2502"/>
      <c r="U2502"/>
    </row>
    <row r="2503" spans="1:21">
      <c r="A2503"/>
      <c r="C2503"/>
      <c r="D2503"/>
      <c r="L2503"/>
      <c r="R2503"/>
      <c r="S2503"/>
      <c r="T2503"/>
      <c r="U2503"/>
    </row>
    <row r="2504" spans="1:21">
      <c r="A2504"/>
      <c r="C2504"/>
      <c r="D2504"/>
      <c r="L2504"/>
      <c r="R2504"/>
      <c r="S2504"/>
      <c r="T2504"/>
      <c r="U2504"/>
    </row>
    <row r="2505" spans="1:21">
      <c r="A2505"/>
      <c r="C2505"/>
      <c r="D2505"/>
      <c r="L2505"/>
      <c r="R2505"/>
      <c r="S2505"/>
      <c r="T2505"/>
      <c r="U2505"/>
    </row>
    <row r="2506" spans="1:21">
      <c r="A2506"/>
      <c r="C2506"/>
      <c r="D2506"/>
      <c r="L2506"/>
      <c r="R2506"/>
      <c r="S2506"/>
      <c r="T2506"/>
      <c r="U2506"/>
    </row>
    <row r="2507" spans="1:21">
      <c r="A2507"/>
      <c r="C2507"/>
      <c r="D2507"/>
      <c r="L2507"/>
      <c r="R2507"/>
      <c r="S2507"/>
      <c r="T2507"/>
      <c r="U2507"/>
    </row>
    <row r="2508" spans="1:21">
      <c r="A2508"/>
      <c r="C2508"/>
      <c r="D2508"/>
      <c r="L2508"/>
      <c r="R2508"/>
      <c r="S2508"/>
      <c r="T2508"/>
      <c r="U2508"/>
    </row>
    <row r="2509" spans="1:21">
      <c r="A2509"/>
      <c r="C2509"/>
      <c r="D2509"/>
      <c r="L2509"/>
      <c r="R2509"/>
      <c r="S2509"/>
      <c r="T2509"/>
      <c r="U2509"/>
    </row>
    <row r="2510" spans="1:21">
      <c r="A2510"/>
      <c r="C2510"/>
      <c r="D2510"/>
      <c r="L2510"/>
      <c r="R2510"/>
      <c r="S2510"/>
      <c r="T2510"/>
      <c r="U2510"/>
    </row>
    <row r="2511" spans="1:21">
      <c r="A2511"/>
      <c r="C2511"/>
      <c r="D2511"/>
      <c r="L2511"/>
      <c r="R2511"/>
      <c r="S2511"/>
      <c r="T2511"/>
      <c r="U2511"/>
    </row>
    <row r="2512" spans="1:21">
      <c r="A2512"/>
      <c r="C2512"/>
      <c r="D2512"/>
      <c r="L2512"/>
      <c r="R2512"/>
      <c r="S2512"/>
      <c r="T2512"/>
      <c r="U2512"/>
    </row>
    <row r="2513" spans="1:21">
      <c r="A2513"/>
      <c r="C2513"/>
      <c r="D2513"/>
      <c r="L2513"/>
      <c r="R2513"/>
      <c r="S2513"/>
      <c r="T2513"/>
      <c r="U2513"/>
    </row>
    <row r="2514" spans="1:21">
      <c r="A2514"/>
      <c r="C2514"/>
      <c r="D2514"/>
      <c r="L2514"/>
      <c r="R2514"/>
      <c r="S2514"/>
      <c r="T2514"/>
      <c r="U2514"/>
    </row>
    <row r="2515" spans="1:21">
      <c r="A2515"/>
      <c r="C2515"/>
      <c r="D2515"/>
      <c r="L2515"/>
      <c r="R2515"/>
      <c r="S2515"/>
      <c r="T2515"/>
      <c r="U2515"/>
    </row>
    <row r="2516" spans="1:21">
      <c r="A2516"/>
      <c r="C2516"/>
      <c r="D2516"/>
      <c r="L2516"/>
      <c r="R2516"/>
      <c r="S2516"/>
      <c r="T2516"/>
      <c r="U2516"/>
    </row>
    <row r="2517" spans="1:21">
      <c r="A2517"/>
      <c r="C2517"/>
      <c r="D2517"/>
      <c r="L2517"/>
      <c r="R2517"/>
      <c r="S2517"/>
      <c r="T2517"/>
      <c r="U2517"/>
    </row>
    <row r="2518" spans="1:21">
      <c r="A2518"/>
      <c r="C2518"/>
      <c r="D2518"/>
      <c r="L2518"/>
      <c r="R2518"/>
      <c r="S2518"/>
      <c r="T2518"/>
      <c r="U2518"/>
    </row>
    <row r="2519" spans="1:21">
      <c r="A2519"/>
      <c r="C2519"/>
      <c r="D2519"/>
      <c r="L2519"/>
      <c r="R2519"/>
      <c r="S2519"/>
      <c r="T2519"/>
      <c r="U2519"/>
    </row>
    <row r="2520" spans="1:21">
      <c r="A2520"/>
      <c r="C2520"/>
      <c r="D2520"/>
      <c r="L2520"/>
      <c r="R2520"/>
      <c r="S2520"/>
      <c r="T2520"/>
      <c r="U2520"/>
    </row>
    <row r="2521" spans="1:21">
      <c r="A2521"/>
      <c r="C2521"/>
      <c r="D2521"/>
      <c r="L2521"/>
      <c r="R2521"/>
      <c r="S2521"/>
      <c r="T2521"/>
      <c r="U2521"/>
    </row>
    <row r="2522" spans="1:21">
      <c r="A2522"/>
      <c r="C2522"/>
      <c r="D2522"/>
      <c r="L2522"/>
      <c r="R2522"/>
      <c r="S2522"/>
      <c r="T2522"/>
      <c r="U2522"/>
    </row>
    <row r="2523" spans="1:21">
      <c r="A2523"/>
      <c r="C2523"/>
      <c r="D2523"/>
      <c r="L2523"/>
      <c r="R2523"/>
      <c r="S2523"/>
      <c r="T2523"/>
      <c r="U2523"/>
    </row>
    <row r="2524" spans="1:21">
      <c r="A2524"/>
      <c r="C2524"/>
      <c r="D2524"/>
      <c r="L2524"/>
      <c r="R2524"/>
      <c r="S2524"/>
      <c r="T2524"/>
      <c r="U2524"/>
    </row>
    <row r="2525" spans="1:21">
      <c r="A2525"/>
      <c r="C2525"/>
      <c r="D2525"/>
      <c r="L2525"/>
      <c r="R2525"/>
      <c r="S2525"/>
      <c r="T2525"/>
      <c r="U2525"/>
    </row>
    <row r="2526" spans="1:21">
      <c r="A2526"/>
      <c r="C2526"/>
      <c r="D2526"/>
      <c r="L2526"/>
      <c r="R2526"/>
      <c r="S2526"/>
      <c r="T2526"/>
      <c r="U2526"/>
    </row>
    <row r="2527" spans="1:21">
      <c r="A2527"/>
      <c r="C2527"/>
      <c r="D2527"/>
      <c r="L2527"/>
      <c r="R2527"/>
      <c r="S2527"/>
      <c r="T2527"/>
      <c r="U2527"/>
    </row>
    <row r="2528" spans="1:21">
      <c r="A2528"/>
      <c r="C2528"/>
      <c r="D2528"/>
      <c r="L2528"/>
      <c r="R2528"/>
      <c r="S2528"/>
      <c r="T2528"/>
      <c r="U2528"/>
    </row>
    <row r="2529" spans="1:21">
      <c r="A2529"/>
      <c r="C2529"/>
      <c r="D2529"/>
      <c r="L2529"/>
      <c r="R2529"/>
      <c r="S2529"/>
      <c r="T2529"/>
      <c r="U2529"/>
    </row>
    <row r="2530" spans="1:21">
      <c r="A2530"/>
      <c r="C2530"/>
      <c r="D2530"/>
      <c r="L2530"/>
      <c r="R2530"/>
      <c r="S2530"/>
      <c r="T2530"/>
      <c r="U2530"/>
    </row>
    <row r="2531" spans="1:21">
      <c r="A2531"/>
      <c r="C2531"/>
      <c r="D2531"/>
      <c r="L2531"/>
      <c r="R2531"/>
      <c r="S2531"/>
      <c r="T2531"/>
      <c r="U2531"/>
    </row>
    <row r="2532" spans="1:21">
      <c r="A2532"/>
      <c r="C2532"/>
      <c r="D2532"/>
      <c r="L2532"/>
      <c r="R2532"/>
      <c r="S2532"/>
      <c r="T2532"/>
      <c r="U2532"/>
    </row>
    <row r="2533" spans="1:21">
      <c r="A2533"/>
      <c r="C2533"/>
      <c r="D2533"/>
      <c r="L2533"/>
      <c r="R2533"/>
      <c r="S2533"/>
      <c r="T2533"/>
      <c r="U2533"/>
    </row>
    <row r="2534" spans="1:21">
      <c r="A2534"/>
      <c r="C2534"/>
      <c r="D2534"/>
      <c r="L2534"/>
      <c r="R2534"/>
      <c r="S2534"/>
      <c r="T2534"/>
      <c r="U2534"/>
    </row>
    <row r="2535" spans="1:21">
      <c r="A2535"/>
      <c r="C2535"/>
      <c r="D2535"/>
      <c r="L2535"/>
      <c r="R2535"/>
      <c r="S2535"/>
      <c r="T2535"/>
      <c r="U2535"/>
    </row>
    <row r="2536" spans="1:21">
      <c r="A2536"/>
      <c r="C2536"/>
      <c r="D2536"/>
      <c r="L2536"/>
      <c r="R2536"/>
      <c r="S2536"/>
      <c r="T2536"/>
      <c r="U2536"/>
    </row>
    <row r="2537" spans="1:21">
      <c r="A2537"/>
      <c r="C2537"/>
      <c r="D2537"/>
      <c r="L2537"/>
      <c r="R2537"/>
      <c r="S2537"/>
      <c r="T2537"/>
      <c r="U2537"/>
    </row>
    <row r="2538" spans="1:21">
      <c r="A2538"/>
      <c r="C2538"/>
      <c r="D2538"/>
      <c r="L2538"/>
      <c r="R2538"/>
      <c r="S2538"/>
      <c r="T2538"/>
      <c r="U2538"/>
    </row>
    <row r="2539" spans="1:21">
      <c r="A2539"/>
      <c r="C2539"/>
      <c r="D2539"/>
      <c r="L2539"/>
      <c r="R2539"/>
      <c r="S2539"/>
      <c r="T2539"/>
      <c r="U2539"/>
    </row>
    <row r="2540" spans="1:21">
      <c r="A2540"/>
      <c r="C2540"/>
      <c r="D2540"/>
      <c r="L2540"/>
      <c r="R2540"/>
      <c r="S2540"/>
      <c r="T2540"/>
      <c r="U2540"/>
    </row>
    <row r="2541" spans="1:21">
      <c r="A2541"/>
      <c r="C2541"/>
      <c r="D2541"/>
      <c r="L2541"/>
      <c r="R2541"/>
      <c r="S2541"/>
      <c r="T2541"/>
      <c r="U2541"/>
    </row>
    <row r="2542" spans="1:21">
      <c r="A2542"/>
      <c r="C2542"/>
      <c r="D2542"/>
      <c r="L2542"/>
      <c r="R2542"/>
      <c r="S2542"/>
      <c r="T2542"/>
      <c r="U2542"/>
    </row>
    <row r="2543" spans="1:21">
      <c r="A2543"/>
      <c r="C2543"/>
      <c r="D2543"/>
      <c r="L2543"/>
      <c r="R2543"/>
      <c r="S2543"/>
      <c r="T2543"/>
      <c r="U2543"/>
    </row>
    <row r="2544" spans="1:21">
      <c r="A2544"/>
      <c r="C2544"/>
      <c r="D2544"/>
      <c r="L2544"/>
      <c r="R2544"/>
      <c r="S2544"/>
      <c r="T2544"/>
      <c r="U2544"/>
    </row>
    <row r="2545" spans="1:21">
      <c r="A2545"/>
      <c r="C2545"/>
      <c r="D2545"/>
      <c r="L2545"/>
      <c r="R2545"/>
      <c r="S2545"/>
      <c r="T2545"/>
      <c r="U2545"/>
    </row>
    <row r="2546" spans="1:21">
      <c r="A2546"/>
      <c r="C2546"/>
      <c r="D2546"/>
      <c r="L2546"/>
      <c r="R2546"/>
      <c r="S2546"/>
      <c r="T2546"/>
      <c r="U2546"/>
    </row>
    <row r="2547" spans="1:21">
      <c r="A2547"/>
      <c r="C2547"/>
      <c r="D2547"/>
      <c r="L2547"/>
      <c r="R2547"/>
      <c r="S2547"/>
      <c r="T2547"/>
      <c r="U2547"/>
    </row>
    <row r="2548" spans="1:21">
      <c r="A2548"/>
      <c r="C2548"/>
      <c r="D2548"/>
      <c r="L2548"/>
      <c r="R2548"/>
      <c r="S2548"/>
      <c r="T2548"/>
      <c r="U2548"/>
    </row>
    <row r="2549" spans="1:21">
      <c r="A2549"/>
      <c r="C2549"/>
      <c r="D2549"/>
      <c r="L2549"/>
      <c r="R2549"/>
      <c r="S2549"/>
      <c r="T2549"/>
      <c r="U2549"/>
    </row>
    <row r="2550" spans="1:21">
      <c r="A2550"/>
      <c r="C2550"/>
      <c r="D2550"/>
      <c r="L2550"/>
      <c r="R2550"/>
      <c r="S2550"/>
      <c r="T2550"/>
      <c r="U2550"/>
    </row>
    <row r="2551" spans="1:21">
      <c r="A2551"/>
      <c r="C2551"/>
      <c r="D2551"/>
      <c r="L2551"/>
      <c r="R2551"/>
      <c r="S2551"/>
      <c r="T2551"/>
      <c r="U2551"/>
    </row>
    <row r="2552" spans="1:21">
      <c r="A2552"/>
      <c r="C2552"/>
      <c r="D2552"/>
      <c r="L2552"/>
      <c r="R2552"/>
      <c r="S2552"/>
      <c r="T2552"/>
      <c r="U2552"/>
    </row>
    <row r="2553" spans="1:21">
      <c r="A2553"/>
      <c r="C2553"/>
      <c r="D2553"/>
      <c r="L2553"/>
      <c r="R2553"/>
      <c r="S2553"/>
      <c r="T2553"/>
      <c r="U2553"/>
    </row>
    <row r="2554" spans="1:21">
      <c r="A2554"/>
      <c r="C2554"/>
      <c r="D2554"/>
      <c r="L2554"/>
      <c r="R2554"/>
      <c r="S2554"/>
      <c r="T2554"/>
      <c r="U2554"/>
    </row>
    <row r="2555" spans="1:21">
      <c r="A2555"/>
      <c r="C2555"/>
      <c r="D2555"/>
      <c r="L2555"/>
      <c r="R2555"/>
      <c r="S2555"/>
      <c r="T2555"/>
      <c r="U2555"/>
    </row>
    <row r="2556" spans="1:21">
      <c r="A2556"/>
      <c r="C2556"/>
      <c r="D2556"/>
      <c r="L2556"/>
      <c r="R2556"/>
      <c r="S2556"/>
      <c r="T2556"/>
      <c r="U2556"/>
    </row>
    <row r="2557" spans="1:21">
      <c r="A2557"/>
      <c r="C2557"/>
      <c r="D2557"/>
      <c r="L2557"/>
      <c r="R2557"/>
      <c r="S2557"/>
      <c r="T2557"/>
      <c r="U2557"/>
    </row>
    <row r="2558" spans="1:21">
      <c r="A2558"/>
      <c r="C2558"/>
      <c r="D2558"/>
      <c r="L2558"/>
      <c r="R2558"/>
      <c r="S2558"/>
      <c r="T2558"/>
      <c r="U2558"/>
    </row>
    <row r="2559" spans="1:21">
      <c r="A2559"/>
      <c r="C2559"/>
      <c r="D2559"/>
      <c r="L2559"/>
      <c r="R2559"/>
      <c r="S2559"/>
      <c r="T2559"/>
      <c r="U2559"/>
    </row>
    <row r="2560" spans="1:21">
      <c r="A2560"/>
      <c r="C2560"/>
      <c r="D2560"/>
      <c r="L2560"/>
      <c r="R2560"/>
      <c r="S2560"/>
      <c r="T2560"/>
      <c r="U2560"/>
    </row>
    <row r="2561" spans="1:21">
      <c r="A2561"/>
      <c r="C2561"/>
      <c r="D2561"/>
      <c r="L2561"/>
      <c r="R2561"/>
      <c r="S2561"/>
      <c r="T2561"/>
      <c r="U2561"/>
    </row>
    <row r="2562" spans="1:21">
      <c r="A2562"/>
      <c r="C2562"/>
      <c r="D2562"/>
      <c r="L2562"/>
      <c r="R2562"/>
      <c r="S2562"/>
      <c r="T2562"/>
      <c r="U2562"/>
    </row>
    <row r="2563" spans="1:21">
      <c r="A2563"/>
      <c r="C2563"/>
      <c r="D2563"/>
      <c r="L2563"/>
      <c r="R2563"/>
      <c r="S2563"/>
      <c r="T2563"/>
      <c r="U2563"/>
    </row>
    <row r="2564" spans="1:21">
      <c r="A2564"/>
      <c r="C2564"/>
      <c r="D2564"/>
      <c r="L2564"/>
      <c r="R2564"/>
      <c r="S2564"/>
      <c r="T2564"/>
      <c r="U2564"/>
    </row>
    <row r="2565" spans="1:21">
      <c r="A2565"/>
      <c r="C2565"/>
      <c r="D2565"/>
      <c r="L2565"/>
      <c r="R2565"/>
      <c r="S2565"/>
      <c r="T2565"/>
      <c r="U2565"/>
    </row>
    <row r="2566" spans="1:21">
      <c r="A2566"/>
      <c r="C2566"/>
      <c r="D2566"/>
      <c r="L2566"/>
      <c r="R2566"/>
      <c r="S2566"/>
      <c r="T2566"/>
      <c r="U2566"/>
    </row>
    <row r="2567" spans="1:21">
      <c r="A2567"/>
      <c r="C2567"/>
      <c r="D2567"/>
      <c r="L2567"/>
      <c r="R2567"/>
      <c r="S2567"/>
      <c r="T2567"/>
      <c r="U2567"/>
    </row>
    <row r="2568" spans="1:21">
      <c r="A2568"/>
      <c r="C2568"/>
      <c r="D2568"/>
      <c r="L2568"/>
      <c r="R2568"/>
      <c r="S2568"/>
      <c r="T2568"/>
      <c r="U2568"/>
    </row>
    <row r="2569" spans="1:21">
      <c r="A2569"/>
      <c r="C2569"/>
      <c r="D2569"/>
      <c r="L2569"/>
      <c r="R2569"/>
      <c r="S2569"/>
      <c r="T2569"/>
      <c r="U2569"/>
    </row>
    <row r="2570" spans="1:21">
      <c r="A2570"/>
      <c r="C2570"/>
      <c r="D2570"/>
      <c r="L2570"/>
      <c r="R2570"/>
      <c r="S2570"/>
      <c r="T2570"/>
      <c r="U2570"/>
    </row>
    <row r="2571" spans="1:21">
      <c r="A2571"/>
      <c r="C2571"/>
      <c r="D2571"/>
      <c r="L2571"/>
      <c r="R2571"/>
      <c r="S2571"/>
      <c r="T2571"/>
      <c r="U2571"/>
    </row>
    <row r="2572" spans="1:21">
      <c r="A2572"/>
      <c r="C2572"/>
      <c r="D2572"/>
      <c r="L2572"/>
      <c r="R2572"/>
      <c r="S2572"/>
      <c r="T2572"/>
      <c r="U2572"/>
    </row>
    <row r="2573" spans="1:21">
      <c r="A2573"/>
      <c r="C2573"/>
      <c r="D2573"/>
      <c r="L2573"/>
      <c r="R2573"/>
      <c r="S2573"/>
      <c r="T2573"/>
      <c r="U2573"/>
    </row>
    <row r="2574" spans="1:21">
      <c r="A2574"/>
      <c r="C2574"/>
      <c r="D2574"/>
      <c r="L2574"/>
      <c r="R2574"/>
      <c r="S2574"/>
      <c r="T2574"/>
      <c r="U2574"/>
    </row>
    <row r="2575" spans="1:21">
      <c r="A2575"/>
      <c r="C2575"/>
      <c r="D2575"/>
      <c r="L2575"/>
      <c r="R2575"/>
      <c r="S2575"/>
      <c r="T2575"/>
      <c r="U2575"/>
    </row>
    <row r="2576" spans="1:21">
      <c r="A2576"/>
      <c r="C2576"/>
      <c r="D2576"/>
      <c r="L2576"/>
      <c r="R2576"/>
      <c r="S2576"/>
      <c r="T2576"/>
      <c r="U2576"/>
    </row>
    <row r="2577" spans="1:21">
      <c r="A2577"/>
      <c r="C2577"/>
      <c r="D2577"/>
      <c r="L2577"/>
      <c r="R2577"/>
      <c r="S2577"/>
      <c r="T2577"/>
      <c r="U2577"/>
    </row>
    <row r="2578" spans="1:21">
      <c r="A2578"/>
      <c r="C2578"/>
      <c r="D2578"/>
      <c r="L2578"/>
      <c r="R2578"/>
      <c r="S2578"/>
      <c r="T2578"/>
      <c r="U2578"/>
    </row>
    <row r="2579" spans="1:21">
      <c r="A2579"/>
      <c r="C2579"/>
      <c r="D2579"/>
      <c r="L2579"/>
      <c r="R2579"/>
      <c r="S2579"/>
      <c r="T2579"/>
      <c r="U2579"/>
    </row>
    <row r="2580" spans="1:21">
      <c r="A2580"/>
      <c r="C2580"/>
      <c r="D2580"/>
      <c r="L2580"/>
      <c r="R2580"/>
      <c r="S2580"/>
      <c r="T2580"/>
      <c r="U2580"/>
    </row>
    <row r="2581" spans="1:21">
      <c r="A2581"/>
      <c r="C2581"/>
      <c r="D2581"/>
      <c r="L2581"/>
      <c r="R2581"/>
      <c r="S2581"/>
      <c r="T2581"/>
      <c r="U2581"/>
    </row>
    <row r="2582" spans="1:21">
      <c r="A2582"/>
      <c r="C2582"/>
      <c r="D2582"/>
      <c r="L2582"/>
      <c r="R2582"/>
      <c r="S2582"/>
      <c r="T2582"/>
      <c r="U2582"/>
    </row>
    <row r="2583" spans="1:21">
      <c r="A2583"/>
      <c r="C2583"/>
      <c r="D2583"/>
      <c r="L2583"/>
      <c r="R2583"/>
      <c r="S2583"/>
      <c r="T2583"/>
      <c r="U2583"/>
    </row>
    <row r="2584" spans="1:21">
      <c r="A2584"/>
      <c r="C2584"/>
      <c r="D2584"/>
      <c r="L2584"/>
      <c r="R2584"/>
      <c r="S2584"/>
      <c r="T2584"/>
      <c r="U2584"/>
    </row>
    <row r="2585" spans="1:21">
      <c r="A2585"/>
      <c r="C2585"/>
      <c r="D2585"/>
      <c r="L2585"/>
      <c r="R2585"/>
      <c r="S2585"/>
      <c r="T2585"/>
      <c r="U2585"/>
    </row>
    <row r="2586" spans="1:21">
      <c r="A2586"/>
      <c r="C2586"/>
      <c r="D2586"/>
      <c r="L2586"/>
      <c r="R2586"/>
      <c r="S2586"/>
      <c r="T2586"/>
      <c r="U2586"/>
    </row>
    <row r="2587" spans="1:21">
      <c r="A2587"/>
      <c r="C2587"/>
      <c r="D2587"/>
      <c r="L2587"/>
      <c r="R2587"/>
      <c r="S2587"/>
      <c r="T2587"/>
      <c r="U2587"/>
    </row>
    <row r="2588" spans="1:21">
      <c r="A2588"/>
      <c r="C2588"/>
      <c r="D2588"/>
      <c r="L2588"/>
      <c r="R2588"/>
      <c r="S2588"/>
      <c r="T2588"/>
      <c r="U2588"/>
    </row>
    <row r="2589" spans="1:21">
      <c r="A2589"/>
      <c r="C2589"/>
      <c r="D2589"/>
      <c r="L2589"/>
      <c r="R2589"/>
      <c r="S2589"/>
      <c r="T2589"/>
      <c r="U2589"/>
    </row>
    <row r="2590" spans="1:21">
      <c r="A2590"/>
      <c r="C2590"/>
      <c r="D2590"/>
      <c r="L2590"/>
      <c r="R2590"/>
      <c r="S2590"/>
      <c r="T2590"/>
      <c r="U2590"/>
    </row>
    <row r="2591" spans="1:21">
      <c r="A2591"/>
      <c r="C2591"/>
      <c r="D2591"/>
      <c r="L2591"/>
      <c r="R2591"/>
      <c r="S2591"/>
      <c r="T2591"/>
      <c r="U2591"/>
    </row>
    <row r="2592" spans="1:21">
      <c r="A2592"/>
      <c r="C2592"/>
      <c r="D2592"/>
      <c r="L2592"/>
      <c r="R2592"/>
      <c r="S2592"/>
      <c r="T2592"/>
      <c r="U2592"/>
    </row>
    <row r="2593" spans="1:21">
      <c r="A2593"/>
      <c r="C2593"/>
      <c r="D2593"/>
      <c r="L2593"/>
      <c r="R2593"/>
      <c r="S2593"/>
      <c r="T2593"/>
      <c r="U2593"/>
    </row>
    <row r="2594" spans="1:21">
      <c r="A2594"/>
      <c r="C2594"/>
      <c r="D2594"/>
      <c r="L2594"/>
      <c r="R2594"/>
      <c r="S2594"/>
      <c r="T2594"/>
      <c r="U2594"/>
    </row>
    <row r="2595" spans="1:21">
      <c r="A2595"/>
      <c r="C2595"/>
      <c r="D2595"/>
      <c r="L2595"/>
      <c r="R2595"/>
      <c r="S2595"/>
      <c r="T2595"/>
      <c r="U2595"/>
    </row>
    <row r="2596" spans="1:21">
      <c r="A2596"/>
      <c r="C2596"/>
      <c r="D2596"/>
      <c r="L2596"/>
      <c r="R2596"/>
      <c r="S2596"/>
      <c r="T2596"/>
      <c r="U2596"/>
    </row>
    <row r="2597" spans="1:21">
      <c r="A2597"/>
      <c r="C2597"/>
      <c r="D2597"/>
      <c r="L2597"/>
      <c r="R2597"/>
      <c r="S2597"/>
      <c r="T2597"/>
      <c r="U2597"/>
    </row>
    <row r="2598" spans="1:21">
      <c r="A2598"/>
      <c r="C2598"/>
      <c r="D2598"/>
      <c r="L2598"/>
      <c r="R2598"/>
      <c r="S2598"/>
      <c r="T2598"/>
      <c r="U2598"/>
    </row>
    <row r="2599" spans="1:21">
      <c r="A2599"/>
      <c r="C2599"/>
      <c r="D2599"/>
      <c r="L2599"/>
      <c r="R2599"/>
      <c r="S2599"/>
      <c r="T2599"/>
      <c r="U2599"/>
    </row>
    <row r="2600" spans="1:21">
      <c r="A2600"/>
      <c r="C2600"/>
      <c r="D2600"/>
      <c r="L2600"/>
      <c r="R2600"/>
      <c r="S2600"/>
      <c r="T2600"/>
      <c r="U2600"/>
    </row>
    <row r="2601" spans="1:21">
      <c r="A2601"/>
      <c r="C2601"/>
      <c r="D2601"/>
      <c r="L2601"/>
      <c r="R2601"/>
      <c r="S2601"/>
      <c r="T2601"/>
      <c r="U2601"/>
    </row>
    <row r="2602" spans="1:21">
      <c r="A2602"/>
      <c r="C2602"/>
      <c r="D2602"/>
      <c r="L2602"/>
      <c r="R2602"/>
      <c r="S2602"/>
      <c r="T2602"/>
      <c r="U2602"/>
    </row>
    <row r="2603" spans="1:21">
      <c r="A2603"/>
      <c r="C2603"/>
      <c r="D2603"/>
      <c r="L2603"/>
      <c r="R2603"/>
      <c r="S2603"/>
      <c r="T2603"/>
      <c r="U2603"/>
    </row>
    <row r="2604" spans="1:21">
      <c r="A2604"/>
      <c r="C2604"/>
      <c r="D2604"/>
      <c r="L2604"/>
      <c r="R2604"/>
      <c r="S2604"/>
      <c r="T2604"/>
      <c r="U2604"/>
    </row>
    <row r="2605" spans="1:21">
      <c r="A2605"/>
      <c r="C2605"/>
      <c r="D2605"/>
      <c r="L2605"/>
      <c r="R2605"/>
      <c r="S2605"/>
      <c r="T2605"/>
      <c r="U2605"/>
    </row>
    <row r="2606" spans="1:21">
      <c r="A2606"/>
      <c r="C2606"/>
      <c r="D2606"/>
      <c r="L2606"/>
      <c r="R2606"/>
      <c r="S2606"/>
      <c r="T2606"/>
      <c r="U2606"/>
    </row>
    <row r="2607" spans="1:21">
      <c r="A2607"/>
      <c r="C2607"/>
      <c r="D2607"/>
      <c r="L2607"/>
      <c r="R2607"/>
      <c r="S2607"/>
      <c r="T2607"/>
      <c r="U2607"/>
    </row>
    <row r="2608" spans="1:21">
      <c r="A2608"/>
      <c r="C2608"/>
      <c r="D2608"/>
      <c r="L2608"/>
      <c r="R2608"/>
      <c r="S2608"/>
      <c r="T2608"/>
      <c r="U2608"/>
    </row>
    <row r="2609" spans="1:21">
      <c r="A2609"/>
      <c r="C2609"/>
      <c r="D2609"/>
      <c r="L2609"/>
      <c r="R2609"/>
      <c r="S2609"/>
      <c r="T2609"/>
      <c r="U2609"/>
    </row>
    <row r="2610" spans="1:21">
      <c r="A2610"/>
      <c r="C2610"/>
      <c r="D2610"/>
      <c r="L2610"/>
      <c r="R2610"/>
      <c r="S2610"/>
      <c r="T2610"/>
      <c r="U2610"/>
    </row>
    <row r="2611" spans="1:21">
      <c r="A2611"/>
      <c r="C2611"/>
      <c r="D2611"/>
      <c r="L2611"/>
      <c r="R2611"/>
      <c r="S2611"/>
      <c r="T2611"/>
      <c r="U2611"/>
    </row>
    <row r="2612" spans="1:21">
      <c r="A2612"/>
      <c r="C2612"/>
      <c r="D2612"/>
      <c r="L2612"/>
      <c r="R2612"/>
      <c r="S2612"/>
      <c r="T2612"/>
      <c r="U2612"/>
    </row>
    <row r="2613" spans="1:21">
      <c r="A2613"/>
      <c r="C2613"/>
      <c r="D2613"/>
      <c r="L2613"/>
      <c r="R2613"/>
      <c r="S2613"/>
      <c r="T2613"/>
      <c r="U2613"/>
    </row>
    <row r="2614" spans="1:21">
      <c r="A2614"/>
      <c r="C2614"/>
      <c r="D2614"/>
      <c r="L2614"/>
      <c r="R2614"/>
      <c r="S2614"/>
      <c r="T2614"/>
      <c r="U2614"/>
    </row>
    <row r="2615" spans="1:21">
      <c r="A2615"/>
      <c r="C2615"/>
      <c r="D2615"/>
      <c r="L2615"/>
      <c r="R2615"/>
      <c r="S2615"/>
      <c r="T2615"/>
      <c r="U2615"/>
    </row>
    <row r="2616" spans="1:21">
      <c r="A2616"/>
      <c r="C2616"/>
      <c r="D2616"/>
      <c r="L2616"/>
      <c r="R2616"/>
      <c r="S2616"/>
      <c r="T2616"/>
      <c r="U2616"/>
    </row>
    <row r="2617" spans="1:21">
      <c r="A2617"/>
      <c r="C2617"/>
      <c r="D2617"/>
      <c r="L2617"/>
      <c r="R2617"/>
      <c r="S2617"/>
      <c r="T2617"/>
      <c r="U2617"/>
    </row>
    <row r="2618" spans="1:21">
      <c r="A2618"/>
      <c r="C2618"/>
      <c r="D2618"/>
      <c r="L2618"/>
      <c r="R2618"/>
      <c r="S2618"/>
      <c r="T2618"/>
      <c r="U2618"/>
    </row>
    <row r="2619" spans="1:21">
      <c r="A2619"/>
      <c r="C2619"/>
      <c r="D2619"/>
      <c r="L2619"/>
      <c r="R2619"/>
      <c r="S2619"/>
      <c r="T2619"/>
      <c r="U2619"/>
    </row>
    <row r="2620" spans="1:21">
      <c r="A2620"/>
      <c r="C2620"/>
      <c r="D2620"/>
      <c r="L2620"/>
      <c r="R2620"/>
      <c r="S2620"/>
      <c r="T2620"/>
      <c r="U2620"/>
    </row>
    <row r="2621" spans="1:21">
      <c r="A2621"/>
      <c r="C2621"/>
      <c r="D2621"/>
      <c r="L2621"/>
      <c r="R2621"/>
      <c r="S2621"/>
      <c r="T2621"/>
      <c r="U2621"/>
    </row>
    <row r="2622" spans="1:21">
      <c r="A2622"/>
      <c r="C2622"/>
      <c r="D2622"/>
      <c r="L2622"/>
      <c r="R2622"/>
      <c r="S2622"/>
      <c r="T2622"/>
      <c r="U2622"/>
    </row>
    <row r="2623" spans="1:21">
      <c r="A2623"/>
      <c r="C2623"/>
      <c r="D2623"/>
      <c r="L2623"/>
      <c r="R2623"/>
      <c r="S2623"/>
      <c r="T2623"/>
      <c r="U2623"/>
    </row>
    <row r="2624" spans="1:21">
      <c r="A2624"/>
      <c r="C2624"/>
      <c r="D2624"/>
      <c r="L2624"/>
      <c r="R2624"/>
      <c r="S2624"/>
      <c r="T2624"/>
      <c r="U2624"/>
    </row>
    <row r="2625" spans="1:21">
      <c r="A2625"/>
      <c r="C2625"/>
      <c r="D2625"/>
      <c r="L2625"/>
      <c r="R2625"/>
      <c r="S2625"/>
      <c r="T2625"/>
      <c r="U2625"/>
    </row>
    <row r="2626" spans="1:21">
      <c r="A2626"/>
      <c r="C2626"/>
      <c r="D2626"/>
      <c r="L2626"/>
      <c r="R2626"/>
      <c r="S2626"/>
      <c r="T2626"/>
      <c r="U2626"/>
    </row>
    <row r="2627" spans="1:21">
      <c r="A2627"/>
      <c r="C2627"/>
      <c r="D2627"/>
      <c r="L2627"/>
      <c r="R2627"/>
      <c r="S2627"/>
      <c r="T2627"/>
      <c r="U2627"/>
    </row>
    <row r="2628" spans="1:21">
      <c r="A2628"/>
      <c r="C2628"/>
      <c r="D2628"/>
      <c r="L2628"/>
      <c r="R2628"/>
      <c r="S2628"/>
      <c r="T2628"/>
      <c r="U2628"/>
    </row>
    <row r="2629" spans="1:21">
      <c r="A2629"/>
      <c r="C2629"/>
      <c r="D2629"/>
      <c r="L2629"/>
      <c r="R2629"/>
      <c r="S2629"/>
      <c r="T2629"/>
      <c r="U2629"/>
    </row>
    <row r="2630" spans="1:21">
      <c r="A2630"/>
      <c r="C2630"/>
      <c r="D2630"/>
      <c r="L2630"/>
      <c r="R2630"/>
      <c r="S2630"/>
      <c r="T2630"/>
      <c r="U2630"/>
    </row>
    <row r="2631" spans="1:21">
      <c r="A2631"/>
      <c r="C2631"/>
      <c r="D2631"/>
      <c r="L2631"/>
      <c r="R2631"/>
      <c r="S2631"/>
      <c r="T2631"/>
      <c r="U2631"/>
    </row>
    <row r="2632" spans="1:21">
      <c r="A2632"/>
      <c r="C2632"/>
      <c r="D2632"/>
      <c r="L2632"/>
      <c r="R2632"/>
      <c r="S2632"/>
      <c r="T2632"/>
      <c r="U2632"/>
    </row>
    <row r="2633" spans="1:21">
      <c r="A2633"/>
      <c r="C2633"/>
      <c r="D2633"/>
      <c r="L2633"/>
      <c r="R2633"/>
      <c r="S2633"/>
      <c r="T2633"/>
      <c r="U2633"/>
    </row>
    <row r="2634" spans="1:21">
      <c r="A2634"/>
      <c r="C2634"/>
      <c r="D2634"/>
      <c r="L2634"/>
      <c r="R2634"/>
      <c r="S2634"/>
      <c r="T2634"/>
      <c r="U2634"/>
    </row>
    <row r="2635" spans="1:21">
      <c r="A2635"/>
      <c r="C2635"/>
      <c r="D2635"/>
      <c r="L2635"/>
      <c r="R2635"/>
      <c r="S2635"/>
      <c r="T2635"/>
      <c r="U2635"/>
    </row>
    <row r="2636" spans="1:21">
      <c r="A2636"/>
      <c r="C2636"/>
      <c r="D2636"/>
      <c r="L2636"/>
      <c r="R2636"/>
      <c r="S2636"/>
      <c r="T2636"/>
      <c r="U2636"/>
    </row>
    <row r="2637" spans="1:21">
      <c r="A2637"/>
      <c r="C2637"/>
      <c r="D2637"/>
      <c r="L2637"/>
      <c r="R2637"/>
      <c r="S2637"/>
      <c r="T2637"/>
      <c r="U2637"/>
    </row>
    <row r="2638" spans="1:21">
      <c r="A2638"/>
      <c r="C2638"/>
      <c r="D2638"/>
      <c r="L2638"/>
      <c r="R2638"/>
      <c r="S2638"/>
      <c r="T2638"/>
      <c r="U2638"/>
    </row>
    <row r="2639" spans="1:21">
      <c r="A2639"/>
      <c r="C2639"/>
      <c r="D2639"/>
      <c r="L2639"/>
      <c r="R2639"/>
      <c r="S2639"/>
      <c r="T2639"/>
      <c r="U2639"/>
    </row>
    <row r="2640" spans="1:21">
      <c r="A2640"/>
      <c r="C2640"/>
      <c r="D2640"/>
      <c r="L2640"/>
      <c r="R2640"/>
      <c r="S2640"/>
      <c r="T2640"/>
      <c r="U2640"/>
    </row>
    <row r="2641" spans="1:21">
      <c r="A2641"/>
      <c r="C2641"/>
      <c r="D2641"/>
      <c r="L2641"/>
      <c r="R2641"/>
      <c r="S2641"/>
      <c r="T2641"/>
      <c r="U2641"/>
    </row>
    <row r="2642" spans="1:21">
      <c r="A2642"/>
      <c r="C2642"/>
      <c r="D2642"/>
      <c r="L2642"/>
      <c r="R2642"/>
      <c r="S2642"/>
      <c r="T2642"/>
      <c r="U2642"/>
    </row>
    <row r="2643" spans="1:21">
      <c r="A2643"/>
      <c r="C2643"/>
      <c r="D2643"/>
      <c r="L2643"/>
      <c r="R2643"/>
      <c r="S2643"/>
      <c r="T2643"/>
      <c r="U2643"/>
    </row>
    <row r="2644" spans="1:21">
      <c r="A2644"/>
      <c r="C2644"/>
      <c r="D2644"/>
      <c r="L2644"/>
      <c r="R2644"/>
      <c r="S2644"/>
      <c r="T2644"/>
      <c r="U2644"/>
    </row>
    <row r="2645" spans="1:21">
      <c r="A2645"/>
      <c r="C2645"/>
      <c r="D2645"/>
      <c r="L2645"/>
      <c r="R2645"/>
      <c r="S2645"/>
      <c r="T2645"/>
      <c r="U2645"/>
    </row>
    <row r="2646" spans="1:21">
      <c r="A2646"/>
      <c r="C2646"/>
      <c r="D2646"/>
      <c r="L2646"/>
      <c r="R2646"/>
      <c r="S2646"/>
      <c r="T2646"/>
      <c r="U2646"/>
    </row>
    <row r="2647" spans="1:21">
      <c r="A2647"/>
      <c r="C2647"/>
      <c r="D2647"/>
      <c r="L2647"/>
      <c r="R2647"/>
      <c r="S2647"/>
      <c r="T2647"/>
      <c r="U2647"/>
    </row>
    <row r="2648" spans="1:21">
      <c r="A2648"/>
      <c r="C2648"/>
      <c r="D2648"/>
      <c r="L2648"/>
      <c r="R2648"/>
      <c r="S2648"/>
      <c r="T2648"/>
      <c r="U2648"/>
    </row>
    <row r="2649" spans="1:21">
      <c r="A2649"/>
      <c r="C2649"/>
      <c r="D2649"/>
      <c r="L2649"/>
      <c r="R2649"/>
      <c r="S2649"/>
      <c r="T2649"/>
      <c r="U2649"/>
    </row>
    <row r="2650" spans="1:21">
      <c r="A2650"/>
      <c r="C2650"/>
      <c r="D2650"/>
      <c r="L2650"/>
      <c r="R2650"/>
      <c r="S2650"/>
      <c r="T2650"/>
      <c r="U2650"/>
    </row>
    <row r="2651" spans="1:21">
      <c r="A2651"/>
      <c r="C2651"/>
      <c r="D2651"/>
      <c r="L2651"/>
      <c r="R2651"/>
      <c r="S2651"/>
      <c r="T2651"/>
      <c r="U2651"/>
    </row>
    <row r="2652" spans="1:21">
      <c r="A2652"/>
      <c r="C2652"/>
      <c r="D2652"/>
      <c r="L2652"/>
      <c r="R2652"/>
      <c r="S2652"/>
      <c r="T2652"/>
      <c r="U2652"/>
    </row>
    <row r="2653" spans="1:21">
      <c r="A2653"/>
      <c r="C2653"/>
      <c r="D2653"/>
      <c r="L2653"/>
      <c r="R2653"/>
      <c r="S2653"/>
      <c r="T2653"/>
      <c r="U2653"/>
    </row>
    <row r="2654" spans="1:21">
      <c r="A2654"/>
      <c r="C2654"/>
      <c r="D2654"/>
      <c r="L2654"/>
      <c r="R2654"/>
      <c r="S2654"/>
      <c r="T2654"/>
      <c r="U2654"/>
    </row>
    <row r="2655" spans="1:21">
      <c r="A2655"/>
      <c r="C2655"/>
      <c r="D2655"/>
      <c r="L2655"/>
      <c r="R2655"/>
      <c r="S2655"/>
      <c r="T2655"/>
      <c r="U2655"/>
    </row>
    <row r="2656" spans="1:21">
      <c r="A2656"/>
      <c r="C2656"/>
      <c r="D2656"/>
      <c r="L2656"/>
      <c r="R2656"/>
      <c r="S2656"/>
      <c r="T2656"/>
      <c r="U2656"/>
    </row>
    <row r="2657" spans="1:21">
      <c r="A2657"/>
      <c r="C2657"/>
      <c r="D2657"/>
      <c r="L2657"/>
      <c r="R2657"/>
      <c r="S2657"/>
      <c r="T2657"/>
      <c r="U2657"/>
    </row>
    <row r="2658" spans="1:21">
      <c r="A2658"/>
      <c r="C2658"/>
      <c r="D2658"/>
      <c r="L2658"/>
      <c r="R2658"/>
      <c r="S2658"/>
      <c r="T2658"/>
      <c r="U2658"/>
    </row>
    <row r="2659" spans="1:21">
      <c r="A2659"/>
      <c r="C2659"/>
      <c r="D2659"/>
      <c r="L2659"/>
      <c r="R2659"/>
      <c r="S2659"/>
      <c r="T2659"/>
      <c r="U2659"/>
    </row>
    <row r="2660" spans="1:21">
      <c r="A2660"/>
      <c r="C2660"/>
      <c r="D2660"/>
      <c r="L2660"/>
      <c r="R2660"/>
      <c r="S2660"/>
      <c r="T2660"/>
      <c r="U2660"/>
    </row>
    <row r="2661" spans="1:21">
      <c r="A2661"/>
      <c r="C2661"/>
      <c r="D2661"/>
      <c r="L2661"/>
      <c r="R2661"/>
      <c r="S2661"/>
      <c r="T2661"/>
      <c r="U2661"/>
    </row>
    <row r="2662" spans="1:21">
      <c r="A2662"/>
      <c r="C2662"/>
      <c r="D2662"/>
      <c r="L2662"/>
      <c r="R2662"/>
      <c r="S2662"/>
      <c r="T2662"/>
      <c r="U2662"/>
    </row>
    <row r="2663" spans="1:21">
      <c r="A2663"/>
      <c r="C2663"/>
      <c r="D2663"/>
      <c r="L2663"/>
      <c r="R2663"/>
      <c r="S2663"/>
      <c r="T2663"/>
      <c r="U2663"/>
    </row>
    <row r="2664" spans="1:21">
      <c r="A2664"/>
      <c r="C2664"/>
      <c r="D2664"/>
      <c r="L2664"/>
      <c r="R2664"/>
      <c r="S2664"/>
      <c r="T2664"/>
      <c r="U2664"/>
    </row>
    <row r="2665" spans="1:21">
      <c r="A2665"/>
      <c r="C2665"/>
      <c r="D2665"/>
      <c r="L2665"/>
      <c r="R2665"/>
      <c r="S2665"/>
      <c r="T2665"/>
      <c r="U2665"/>
    </row>
    <row r="2666" spans="1:21">
      <c r="A2666"/>
      <c r="C2666"/>
      <c r="D2666"/>
      <c r="L2666"/>
      <c r="R2666"/>
      <c r="S2666"/>
      <c r="T2666"/>
      <c r="U2666"/>
    </row>
    <row r="2667" spans="1:21">
      <c r="A2667"/>
      <c r="C2667"/>
      <c r="D2667"/>
      <c r="L2667"/>
      <c r="R2667"/>
      <c r="S2667"/>
      <c r="T2667"/>
      <c r="U2667"/>
    </row>
    <row r="2668" spans="1:21">
      <c r="A2668"/>
      <c r="C2668"/>
      <c r="D2668"/>
      <c r="L2668"/>
      <c r="R2668"/>
      <c r="S2668"/>
      <c r="T2668"/>
      <c r="U2668"/>
    </row>
    <row r="2669" spans="1:21">
      <c r="A2669"/>
      <c r="C2669"/>
      <c r="D2669"/>
      <c r="L2669"/>
      <c r="R2669"/>
      <c r="S2669"/>
      <c r="T2669"/>
      <c r="U2669"/>
    </row>
    <row r="2670" spans="1:21">
      <c r="A2670"/>
      <c r="C2670"/>
      <c r="D2670"/>
      <c r="L2670"/>
      <c r="R2670"/>
      <c r="S2670"/>
      <c r="T2670"/>
      <c r="U2670"/>
    </row>
    <row r="2671" spans="1:21">
      <c r="A2671"/>
      <c r="C2671"/>
      <c r="D2671"/>
      <c r="L2671"/>
      <c r="R2671"/>
      <c r="S2671"/>
      <c r="T2671"/>
      <c r="U2671"/>
    </row>
    <row r="2672" spans="1:21">
      <c r="A2672"/>
      <c r="C2672"/>
      <c r="D2672"/>
      <c r="L2672"/>
      <c r="R2672"/>
      <c r="S2672"/>
      <c r="T2672"/>
      <c r="U2672"/>
    </row>
    <row r="2673" spans="1:21">
      <c r="A2673"/>
      <c r="C2673"/>
      <c r="D2673"/>
      <c r="L2673"/>
      <c r="R2673"/>
      <c r="S2673"/>
      <c r="T2673"/>
      <c r="U2673"/>
    </row>
    <row r="2674" spans="1:21">
      <c r="A2674"/>
      <c r="C2674"/>
      <c r="D2674"/>
      <c r="L2674"/>
      <c r="R2674"/>
      <c r="S2674"/>
      <c r="T2674"/>
      <c r="U2674"/>
    </row>
    <row r="2675" spans="1:21">
      <c r="A2675"/>
      <c r="C2675"/>
      <c r="D2675"/>
      <c r="L2675"/>
      <c r="R2675"/>
      <c r="S2675"/>
      <c r="T2675"/>
      <c r="U2675"/>
    </row>
    <row r="2676" spans="1:21">
      <c r="A2676"/>
      <c r="C2676"/>
      <c r="D2676"/>
      <c r="L2676"/>
      <c r="R2676"/>
      <c r="S2676"/>
      <c r="T2676"/>
      <c r="U2676"/>
    </row>
    <row r="2677" spans="1:21">
      <c r="A2677"/>
      <c r="C2677"/>
      <c r="D2677"/>
      <c r="L2677"/>
      <c r="R2677"/>
      <c r="S2677"/>
      <c r="T2677"/>
      <c r="U2677"/>
    </row>
    <row r="2678" spans="1:21">
      <c r="A2678"/>
      <c r="C2678"/>
      <c r="D2678"/>
      <c r="L2678"/>
      <c r="R2678"/>
      <c r="S2678"/>
      <c r="T2678"/>
      <c r="U2678"/>
    </row>
    <row r="2679" spans="1:21">
      <c r="A2679"/>
      <c r="C2679"/>
      <c r="D2679"/>
      <c r="L2679"/>
      <c r="R2679"/>
      <c r="S2679"/>
      <c r="T2679"/>
      <c r="U2679"/>
    </row>
    <row r="2680" spans="1:21">
      <c r="A2680"/>
      <c r="C2680"/>
      <c r="D2680"/>
      <c r="L2680"/>
      <c r="R2680"/>
      <c r="S2680"/>
      <c r="T2680"/>
      <c r="U2680"/>
    </row>
    <row r="2681" spans="1:21">
      <c r="A2681"/>
      <c r="C2681"/>
      <c r="D2681"/>
      <c r="L2681"/>
      <c r="R2681"/>
      <c r="S2681"/>
      <c r="T2681"/>
      <c r="U2681"/>
    </row>
    <row r="2682" spans="1:21">
      <c r="A2682"/>
      <c r="C2682"/>
      <c r="D2682"/>
      <c r="L2682"/>
      <c r="R2682"/>
      <c r="S2682"/>
      <c r="T2682"/>
      <c r="U2682"/>
    </row>
    <row r="2683" spans="1:21">
      <c r="A2683"/>
      <c r="C2683"/>
      <c r="D2683"/>
      <c r="L2683"/>
      <c r="R2683"/>
      <c r="S2683"/>
      <c r="T2683"/>
      <c r="U2683"/>
    </row>
    <row r="2684" spans="1:21">
      <c r="A2684"/>
      <c r="C2684"/>
      <c r="D2684"/>
      <c r="L2684"/>
      <c r="R2684"/>
      <c r="S2684"/>
      <c r="T2684"/>
      <c r="U2684"/>
    </row>
    <row r="2685" spans="1:21">
      <c r="A2685"/>
      <c r="C2685"/>
      <c r="D2685"/>
      <c r="L2685"/>
      <c r="R2685"/>
      <c r="S2685"/>
      <c r="T2685"/>
      <c r="U2685"/>
    </row>
    <row r="2686" spans="1:21">
      <c r="A2686"/>
      <c r="C2686"/>
      <c r="D2686"/>
      <c r="L2686"/>
      <c r="R2686"/>
      <c r="S2686"/>
      <c r="T2686"/>
      <c r="U2686"/>
    </row>
    <row r="2687" spans="1:21">
      <c r="A2687"/>
      <c r="C2687"/>
      <c r="D2687"/>
      <c r="L2687"/>
      <c r="R2687"/>
      <c r="S2687"/>
      <c r="T2687"/>
      <c r="U2687"/>
    </row>
    <row r="2688" spans="1:21">
      <c r="A2688"/>
      <c r="C2688"/>
      <c r="D2688"/>
      <c r="L2688"/>
      <c r="R2688"/>
      <c r="S2688"/>
      <c r="T2688"/>
      <c r="U2688"/>
    </row>
    <row r="2689" spans="1:21">
      <c r="A2689"/>
      <c r="C2689"/>
      <c r="D2689"/>
      <c r="L2689"/>
      <c r="R2689"/>
      <c r="S2689"/>
      <c r="T2689"/>
      <c r="U2689"/>
    </row>
    <row r="2690" spans="1:21">
      <c r="A2690"/>
      <c r="C2690"/>
      <c r="D2690"/>
      <c r="L2690"/>
      <c r="R2690"/>
      <c r="S2690"/>
      <c r="T2690"/>
      <c r="U2690"/>
    </row>
    <row r="2691" spans="1:21">
      <c r="A2691"/>
      <c r="C2691"/>
      <c r="D2691"/>
      <c r="L2691"/>
      <c r="R2691"/>
      <c r="S2691"/>
      <c r="T2691"/>
      <c r="U2691"/>
    </row>
    <row r="2692" spans="1:21">
      <c r="A2692"/>
      <c r="C2692"/>
      <c r="D2692"/>
      <c r="L2692"/>
      <c r="R2692"/>
      <c r="S2692"/>
      <c r="T2692"/>
      <c r="U2692"/>
    </row>
    <row r="2693" spans="1:21">
      <c r="A2693"/>
      <c r="C2693"/>
      <c r="D2693"/>
      <c r="L2693"/>
      <c r="R2693"/>
      <c r="S2693"/>
      <c r="T2693"/>
      <c r="U2693"/>
    </row>
    <row r="2694" spans="1:21">
      <c r="A2694"/>
      <c r="C2694"/>
      <c r="D2694"/>
      <c r="L2694"/>
      <c r="R2694"/>
      <c r="S2694"/>
      <c r="T2694"/>
      <c r="U2694"/>
    </row>
    <row r="2695" spans="1:21">
      <c r="A2695"/>
      <c r="C2695"/>
      <c r="D2695"/>
      <c r="L2695"/>
      <c r="R2695"/>
      <c r="S2695"/>
      <c r="T2695"/>
      <c r="U2695"/>
    </row>
    <row r="2696" spans="1:21">
      <c r="A2696"/>
      <c r="C2696"/>
      <c r="D2696"/>
      <c r="L2696"/>
      <c r="R2696"/>
      <c r="S2696"/>
      <c r="T2696"/>
      <c r="U2696"/>
    </row>
    <row r="2697" spans="1:21">
      <c r="A2697"/>
      <c r="C2697"/>
      <c r="D2697"/>
      <c r="L2697"/>
      <c r="R2697"/>
      <c r="S2697"/>
      <c r="T2697"/>
      <c r="U2697"/>
    </row>
    <row r="2698" spans="1:21">
      <c r="A2698"/>
      <c r="C2698"/>
      <c r="D2698"/>
      <c r="L2698"/>
      <c r="R2698"/>
      <c r="S2698"/>
      <c r="T2698"/>
      <c r="U2698"/>
    </row>
    <row r="2699" spans="1:21">
      <c r="A2699"/>
      <c r="C2699"/>
      <c r="D2699"/>
      <c r="L2699"/>
      <c r="R2699"/>
      <c r="S2699"/>
      <c r="T2699"/>
      <c r="U2699"/>
    </row>
    <row r="2700" spans="1:21">
      <c r="A2700"/>
      <c r="C2700"/>
      <c r="D2700"/>
      <c r="L2700"/>
      <c r="R2700"/>
      <c r="S2700"/>
      <c r="T2700"/>
      <c r="U2700"/>
    </row>
    <row r="2701" spans="1:21">
      <c r="A2701"/>
      <c r="C2701"/>
      <c r="D2701"/>
      <c r="L2701"/>
      <c r="R2701"/>
      <c r="S2701"/>
      <c r="T2701"/>
      <c r="U2701"/>
    </row>
    <row r="2702" spans="1:21">
      <c r="A2702"/>
      <c r="C2702"/>
      <c r="D2702"/>
      <c r="L2702"/>
      <c r="R2702"/>
      <c r="S2702"/>
      <c r="T2702"/>
      <c r="U2702"/>
    </row>
    <row r="2703" spans="1:21">
      <c r="A2703"/>
      <c r="C2703"/>
      <c r="D2703"/>
      <c r="L2703"/>
      <c r="R2703"/>
      <c r="S2703"/>
      <c r="T2703"/>
      <c r="U2703"/>
    </row>
    <row r="2704" spans="1:21">
      <c r="A2704"/>
      <c r="C2704"/>
      <c r="D2704"/>
      <c r="L2704"/>
      <c r="R2704"/>
      <c r="S2704"/>
      <c r="T2704"/>
      <c r="U2704"/>
    </row>
    <row r="2705" spans="1:21">
      <c r="A2705"/>
      <c r="C2705"/>
      <c r="D2705"/>
      <c r="L2705"/>
      <c r="R2705"/>
      <c r="S2705"/>
      <c r="T2705"/>
      <c r="U2705"/>
    </row>
    <row r="2706" spans="1:21">
      <c r="A2706"/>
      <c r="C2706"/>
      <c r="D2706"/>
      <c r="L2706"/>
      <c r="R2706"/>
      <c r="S2706"/>
      <c r="T2706"/>
      <c r="U2706"/>
    </row>
    <row r="2707" spans="1:21">
      <c r="A2707"/>
      <c r="C2707"/>
      <c r="D2707"/>
      <c r="L2707"/>
      <c r="R2707"/>
      <c r="S2707"/>
      <c r="T2707"/>
      <c r="U2707"/>
    </row>
    <row r="2708" spans="1:21">
      <c r="A2708"/>
      <c r="C2708"/>
      <c r="D2708"/>
      <c r="L2708"/>
      <c r="R2708"/>
      <c r="S2708"/>
      <c r="T2708"/>
      <c r="U2708"/>
    </row>
    <row r="2709" spans="1:21">
      <c r="A2709"/>
      <c r="C2709"/>
      <c r="D2709"/>
      <c r="L2709"/>
      <c r="R2709"/>
      <c r="S2709"/>
      <c r="T2709"/>
      <c r="U2709"/>
    </row>
    <row r="2710" spans="1:21">
      <c r="A2710"/>
      <c r="C2710"/>
      <c r="D2710"/>
      <c r="L2710"/>
      <c r="R2710"/>
      <c r="S2710"/>
      <c r="T2710"/>
      <c r="U2710"/>
    </row>
    <row r="2711" spans="1:21">
      <c r="A2711"/>
      <c r="C2711"/>
      <c r="D2711"/>
      <c r="L2711"/>
      <c r="R2711"/>
      <c r="S2711"/>
      <c r="T2711"/>
      <c r="U2711"/>
    </row>
    <row r="2712" spans="1:21">
      <c r="A2712"/>
      <c r="C2712"/>
      <c r="D2712"/>
      <c r="L2712"/>
      <c r="R2712"/>
      <c r="S2712"/>
      <c r="T2712"/>
      <c r="U2712"/>
    </row>
    <row r="2713" spans="1:21">
      <c r="A2713"/>
      <c r="C2713"/>
      <c r="D2713"/>
      <c r="L2713"/>
      <c r="R2713"/>
      <c r="S2713"/>
      <c r="T2713"/>
      <c r="U2713"/>
    </row>
    <row r="2714" spans="1:21">
      <c r="A2714"/>
      <c r="C2714"/>
      <c r="D2714"/>
      <c r="L2714"/>
      <c r="R2714"/>
      <c r="S2714"/>
      <c r="T2714"/>
      <c r="U2714"/>
    </row>
    <row r="2715" spans="1:21">
      <c r="A2715"/>
      <c r="C2715"/>
      <c r="D2715"/>
      <c r="L2715"/>
      <c r="R2715"/>
      <c r="S2715"/>
      <c r="T2715"/>
      <c r="U2715"/>
    </row>
    <row r="2716" spans="1:21">
      <c r="A2716"/>
      <c r="C2716"/>
      <c r="D2716"/>
      <c r="L2716"/>
      <c r="R2716"/>
      <c r="S2716"/>
      <c r="T2716"/>
      <c r="U2716"/>
    </row>
    <row r="2717" spans="1:21">
      <c r="A2717"/>
      <c r="C2717"/>
      <c r="D2717"/>
      <c r="L2717"/>
      <c r="R2717"/>
      <c r="S2717"/>
      <c r="T2717"/>
      <c r="U2717"/>
    </row>
    <row r="2718" spans="1:21">
      <c r="A2718"/>
      <c r="C2718"/>
      <c r="D2718"/>
      <c r="L2718"/>
      <c r="R2718"/>
      <c r="S2718"/>
      <c r="T2718"/>
      <c r="U2718"/>
    </row>
    <row r="2719" spans="1:21">
      <c r="A2719"/>
      <c r="C2719"/>
      <c r="D2719"/>
      <c r="L2719"/>
      <c r="R2719"/>
      <c r="S2719"/>
      <c r="T2719"/>
      <c r="U2719"/>
    </row>
    <row r="2720" spans="1:21">
      <c r="A2720"/>
      <c r="C2720"/>
      <c r="D2720"/>
      <c r="L2720"/>
      <c r="R2720"/>
      <c r="S2720"/>
      <c r="T2720"/>
      <c r="U2720"/>
    </row>
    <row r="2721" spans="1:21">
      <c r="A2721"/>
      <c r="C2721"/>
      <c r="D2721"/>
      <c r="L2721"/>
      <c r="R2721"/>
      <c r="S2721"/>
      <c r="T2721"/>
      <c r="U2721"/>
    </row>
    <row r="2722" spans="1:21">
      <c r="A2722"/>
      <c r="C2722"/>
      <c r="D2722"/>
      <c r="L2722"/>
      <c r="R2722"/>
      <c r="S2722"/>
      <c r="T2722"/>
      <c r="U2722"/>
    </row>
    <row r="2723" spans="1:21">
      <c r="A2723"/>
      <c r="C2723"/>
      <c r="D2723"/>
      <c r="L2723"/>
      <c r="R2723"/>
      <c r="S2723"/>
      <c r="T2723"/>
      <c r="U2723"/>
    </row>
    <row r="2724" spans="1:21">
      <c r="A2724"/>
      <c r="C2724"/>
      <c r="D2724"/>
      <c r="L2724"/>
      <c r="R2724"/>
      <c r="S2724"/>
      <c r="T2724"/>
      <c r="U2724"/>
    </row>
    <row r="2725" spans="1:21">
      <c r="A2725"/>
      <c r="C2725"/>
      <c r="D2725"/>
      <c r="L2725"/>
      <c r="R2725"/>
      <c r="S2725"/>
      <c r="T2725"/>
      <c r="U2725"/>
    </row>
    <row r="2726" spans="1:21">
      <c r="A2726"/>
      <c r="C2726"/>
      <c r="D2726"/>
      <c r="L2726"/>
      <c r="R2726"/>
      <c r="S2726"/>
      <c r="T2726"/>
      <c r="U2726"/>
    </row>
    <row r="2727" spans="1:21">
      <c r="A2727"/>
      <c r="C2727"/>
      <c r="D2727"/>
      <c r="L2727"/>
      <c r="R2727"/>
      <c r="S2727"/>
      <c r="T2727"/>
      <c r="U2727"/>
    </row>
    <row r="2728" spans="1:21">
      <c r="A2728"/>
      <c r="C2728"/>
      <c r="D2728"/>
      <c r="L2728"/>
      <c r="R2728"/>
      <c r="S2728"/>
      <c r="T2728"/>
      <c r="U2728"/>
    </row>
    <row r="2729" spans="1:21">
      <c r="A2729"/>
      <c r="C2729"/>
      <c r="D2729"/>
      <c r="L2729"/>
      <c r="R2729"/>
      <c r="S2729"/>
      <c r="T2729"/>
      <c r="U2729"/>
    </row>
    <row r="2730" spans="1:21">
      <c r="A2730"/>
      <c r="C2730"/>
      <c r="D2730"/>
      <c r="L2730"/>
      <c r="R2730"/>
      <c r="S2730"/>
      <c r="T2730"/>
      <c r="U2730"/>
    </row>
    <row r="2731" spans="1:21">
      <c r="A2731"/>
      <c r="C2731"/>
      <c r="D2731"/>
      <c r="L2731"/>
      <c r="R2731"/>
      <c r="S2731"/>
      <c r="T2731"/>
      <c r="U2731"/>
    </row>
    <row r="2732" spans="1:21">
      <c r="A2732"/>
      <c r="C2732"/>
      <c r="D2732"/>
      <c r="L2732"/>
      <c r="R2732"/>
      <c r="S2732"/>
      <c r="T2732"/>
      <c r="U2732"/>
    </row>
    <row r="2733" spans="1:21">
      <c r="A2733"/>
      <c r="C2733"/>
      <c r="D2733"/>
      <c r="L2733"/>
      <c r="R2733"/>
      <c r="S2733"/>
      <c r="T2733"/>
      <c r="U2733"/>
    </row>
    <row r="2734" spans="1:21">
      <c r="A2734"/>
      <c r="C2734"/>
      <c r="D2734"/>
      <c r="L2734"/>
      <c r="R2734"/>
      <c r="S2734"/>
      <c r="T2734"/>
      <c r="U2734"/>
    </row>
    <row r="2735" spans="1:21">
      <c r="A2735"/>
      <c r="C2735"/>
      <c r="D2735"/>
      <c r="L2735"/>
      <c r="R2735"/>
      <c r="S2735"/>
      <c r="T2735"/>
      <c r="U2735"/>
    </row>
    <row r="2736" spans="1:21">
      <c r="A2736"/>
      <c r="C2736"/>
      <c r="D2736"/>
      <c r="L2736"/>
      <c r="R2736"/>
      <c r="S2736"/>
      <c r="T2736"/>
      <c r="U2736"/>
    </row>
    <row r="2737" spans="1:21">
      <c r="A2737"/>
      <c r="C2737"/>
      <c r="D2737"/>
      <c r="L2737"/>
      <c r="R2737"/>
      <c r="S2737"/>
      <c r="T2737"/>
      <c r="U2737"/>
    </row>
    <row r="2738" spans="1:21">
      <c r="A2738"/>
      <c r="C2738"/>
      <c r="D2738"/>
      <c r="L2738"/>
      <c r="R2738"/>
      <c r="S2738"/>
      <c r="T2738"/>
      <c r="U2738"/>
    </row>
    <row r="2739" spans="1:21">
      <c r="A2739"/>
      <c r="C2739"/>
      <c r="D2739"/>
      <c r="L2739"/>
      <c r="R2739"/>
      <c r="S2739"/>
      <c r="T2739"/>
      <c r="U2739"/>
    </row>
    <row r="2740" spans="1:21">
      <c r="A2740"/>
      <c r="C2740"/>
      <c r="D2740"/>
      <c r="L2740"/>
      <c r="R2740"/>
      <c r="S2740"/>
      <c r="T2740"/>
      <c r="U2740"/>
    </row>
    <row r="2741" spans="1:21">
      <c r="A2741"/>
      <c r="C2741"/>
      <c r="D2741"/>
      <c r="L2741"/>
      <c r="R2741"/>
      <c r="S2741"/>
      <c r="T2741"/>
      <c r="U2741"/>
    </row>
    <row r="2742" spans="1:21">
      <c r="A2742"/>
      <c r="C2742"/>
      <c r="D2742"/>
      <c r="L2742"/>
      <c r="R2742"/>
      <c r="S2742"/>
      <c r="T2742"/>
      <c r="U2742"/>
    </row>
    <row r="2743" spans="1:21">
      <c r="A2743"/>
      <c r="C2743"/>
      <c r="D2743"/>
      <c r="L2743"/>
      <c r="R2743"/>
      <c r="S2743"/>
      <c r="T2743"/>
      <c r="U2743"/>
    </row>
    <row r="2744" spans="1:21">
      <c r="A2744"/>
      <c r="C2744"/>
      <c r="D2744"/>
      <c r="L2744"/>
      <c r="R2744"/>
      <c r="S2744"/>
      <c r="T2744"/>
      <c r="U2744"/>
    </row>
    <row r="2745" spans="1:21">
      <c r="A2745"/>
      <c r="C2745"/>
      <c r="D2745"/>
      <c r="L2745"/>
      <c r="R2745"/>
      <c r="S2745"/>
      <c r="T2745"/>
      <c r="U2745"/>
    </row>
    <row r="2746" spans="1:21">
      <c r="A2746"/>
      <c r="C2746"/>
      <c r="D2746"/>
      <c r="L2746"/>
      <c r="R2746"/>
      <c r="S2746"/>
      <c r="T2746"/>
      <c r="U2746"/>
    </row>
    <row r="2747" spans="1:21">
      <c r="A2747"/>
      <c r="C2747"/>
      <c r="D2747"/>
      <c r="L2747"/>
      <c r="R2747"/>
      <c r="S2747"/>
      <c r="T2747"/>
      <c r="U2747"/>
    </row>
    <row r="2748" spans="1:21">
      <c r="A2748"/>
      <c r="C2748"/>
      <c r="D2748"/>
      <c r="L2748"/>
      <c r="R2748"/>
      <c r="S2748"/>
      <c r="T2748"/>
      <c r="U2748"/>
    </row>
    <row r="2749" spans="1:21">
      <c r="A2749"/>
      <c r="C2749"/>
      <c r="D2749"/>
      <c r="L2749"/>
      <c r="R2749"/>
      <c r="S2749"/>
      <c r="T2749"/>
      <c r="U2749"/>
    </row>
    <row r="2750" spans="1:21">
      <c r="A2750"/>
      <c r="C2750"/>
      <c r="D2750"/>
      <c r="L2750"/>
      <c r="R2750"/>
      <c r="S2750"/>
      <c r="T2750"/>
      <c r="U2750"/>
    </row>
    <row r="2751" spans="1:21">
      <c r="A2751"/>
      <c r="C2751"/>
      <c r="D2751"/>
      <c r="L2751"/>
      <c r="R2751"/>
      <c r="S2751"/>
      <c r="T2751"/>
      <c r="U2751"/>
    </row>
    <row r="2752" spans="1:21">
      <c r="A2752"/>
      <c r="C2752"/>
      <c r="D2752"/>
      <c r="L2752"/>
      <c r="R2752"/>
      <c r="S2752"/>
      <c r="T2752"/>
      <c r="U2752"/>
    </row>
    <row r="2753" spans="1:21">
      <c r="A2753"/>
      <c r="C2753"/>
      <c r="D2753"/>
      <c r="L2753"/>
      <c r="R2753"/>
      <c r="S2753"/>
      <c r="T2753"/>
      <c r="U2753"/>
    </row>
    <row r="2754" spans="1:21">
      <c r="A2754"/>
      <c r="C2754"/>
      <c r="D2754"/>
      <c r="L2754"/>
      <c r="R2754"/>
      <c r="S2754"/>
      <c r="T2754"/>
      <c r="U2754"/>
    </row>
    <row r="2755" spans="1:21">
      <c r="A2755"/>
      <c r="C2755"/>
      <c r="D2755"/>
      <c r="L2755"/>
      <c r="R2755"/>
      <c r="S2755"/>
      <c r="T2755"/>
      <c r="U2755"/>
    </row>
    <row r="2756" spans="1:21">
      <c r="A2756"/>
      <c r="C2756"/>
      <c r="D2756"/>
      <c r="L2756"/>
      <c r="R2756"/>
      <c r="S2756"/>
      <c r="T2756"/>
      <c r="U2756"/>
    </row>
    <row r="2757" spans="1:21">
      <c r="A2757"/>
      <c r="C2757"/>
      <c r="D2757"/>
      <c r="L2757"/>
      <c r="R2757"/>
      <c r="S2757"/>
      <c r="T2757"/>
      <c r="U2757"/>
    </row>
    <row r="2758" spans="1:21">
      <c r="A2758"/>
      <c r="C2758"/>
      <c r="D2758"/>
      <c r="L2758"/>
      <c r="R2758"/>
      <c r="S2758"/>
      <c r="T2758"/>
      <c r="U2758"/>
    </row>
    <row r="2759" spans="1:21">
      <c r="A2759"/>
      <c r="C2759"/>
      <c r="D2759"/>
      <c r="L2759"/>
      <c r="R2759"/>
      <c r="S2759"/>
      <c r="T2759"/>
      <c r="U2759"/>
    </row>
    <row r="2760" spans="1:21">
      <c r="A2760"/>
      <c r="C2760"/>
      <c r="D2760"/>
      <c r="L2760"/>
      <c r="R2760"/>
      <c r="S2760"/>
      <c r="T2760"/>
      <c r="U2760"/>
    </row>
    <row r="2761" spans="1:21">
      <c r="A2761"/>
      <c r="C2761"/>
      <c r="D2761"/>
      <c r="L2761"/>
      <c r="R2761"/>
      <c r="S2761"/>
      <c r="T2761"/>
      <c r="U2761"/>
    </row>
    <row r="2762" spans="1:21">
      <c r="A2762"/>
      <c r="C2762"/>
      <c r="D2762"/>
      <c r="L2762"/>
      <c r="R2762"/>
      <c r="S2762"/>
      <c r="T2762"/>
      <c r="U2762"/>
    </row>
    <row r="2763" spans="1:21">
      <c r="A2763"/>
      <c r="C2763"/>
      <c r="D2763"/>
      <c r="L2763"/>
      <c r="R2763"/>
      <c r="S2763"/>
      <c r="T2763"/>
      <c r="U2763"/>
    </row>
    <row r="2764" spans="1:21">
      <c r="A2764"/>
      <c r="C2764"/>
      <c r="D2764"/>
      <c r="L2764"/>
      <c r="R2764"/>
      <c r="S2764"/>
      <c r="T2764"/>
      <c r="U2764"/>
    </row>
    <row r="2765" spans="1:21">
      <c r="A2765"/>
      <c r="C2765"/>
      <c r="D2765"/>
      <c r="L2765"/>
      <c r="R2765"/>
      <c r="S2765"/>
      <c r="T2765"/>
      <c r="U2765"/>
    </row>
    <row r="2766" spans="1:21">
      <c r="A2766"/>
      <c r="C2766"/>
      <c r="D2766"/>
      <c r="L2766"/>
      <c r="R2766"/>
      <c r="S2766"/>
      <c r="T2766"/>
      <c r="U2766"/>
    </row>
    <row r="2767" spans="1:21">
      <c r="A2767"/>
      <c r="C2767"/>
      <c r="D2767"/>
      <c r="L2767"/>
      <c r="R2767"/>
      <c r="S2767"/>
      <c r="T2767"/>
      <c r="U2767"/>
    </row>
    <row r="2768" spans="1:21">
      <c r="A2768"/>
      <c r="C2768"/>
      <c r="D2768"/>
      <c r="L2768"/>
      <c r="R2768"/>
      <c r="S2768"/>
      <c r="T2768"/>
      <c r="U2768"/>
    </row>
    <row r="2769" spans="1:21">
      <c r="A2769"/>
      <c r="C2769"/>
      <c r="D2769"/>
      <c r="L2769"/>
      <c r="R2769"/>
      <c r="S2769"/>
      <c r="T2769"/>
      <c r="U2769"/>
    </row>
    <row r="2770" spans="1:21">
      <c r="A2770"/>
      <c r="C2770"/>
      <c r="D2770"/>
      <c r="L2770"/>
      <c r="R2770"/>
      <c r="S2770"/>
      <c r="T2770"/>
      <c r="U2770"/>
    </row>
    <row r="2771" spans="1:21">
      <c r="A2771"/>
      <c r="C2771"/>
      <c r="D2771"/>
      <c r="L2771"/>
      <c r="R2771"/>
      <c r="S2771"/>
      <c r="T2771"/>
      <c r="U2771"/>
    </row>
    <row r="2772" spans="1:21">
      <c r="A2772"/>
      <c r="C2772"/>
      <c r="D2772"/>
      <c r="L2772"/>
      <c r="R2772"/>
      <c r="S2772"/>
      <c r="T2772"/>
      <c r="U2772"/>
    </row>
    <row r="2773" spans="1:21">
      <c r="A2773"/>
      <c r="C2773"/>
      <c r="D2773"/>
      <c r="L2773"/>
      <c r="R2773"/>
      <c r="S2773"/>
      <c r="T2773"/>
      <c r="U2773"/>
    </row>
    <row r="2774" spans="1:21">
      <c r="A2774"/>
      <c r="C2774"/>
      <c r="D2774"/>
      <c r="L2774"/>
      <c r="R2774"/>
      <c r="S2774"/>
      <c r="T2774"/>
      <c r="U2774"/>
    </row>
    <row r="2775" spans="1:21">
      <c r="A2775"/>
      <c r="C2775"/>
      <c r="D2775"/>
      <c r="L2775"/>
      <c r="R2775"/>
      <c r="S2775"/>
      <c r="T2775"/>
      <c r="U2775"/>
    </row>
    <row r="2776" spans="1:21">
      <c r="A2776"/>
      <c r="C2776"/>
      <c r="D2776"/>
      <c r="L2776"/>
      <c r="R2776"/>
      <c r="S2776"/>
      <c r="T2776"/>
      <c r="U2776"/>
    </row>
    <row r="2777" spans="1:21">
      <c r="A2777"/>
      <c r="C2777"/>
      <c r="D2777"/>
      <c r="L2777"/>
      <c r="R2777"/>
      <c r="S2777"/>
      <c r="T2777"/>
      <c r="U2777"/>
    </row>
    <row r="2778" spans="1:21">
      <c r="A2778"/>
      <c r="C2778"/>
      <c r="D2778"/>
      <c r="L2778"/>
      <c r="R2778"/>
      <c r="S2778"/>
      <c r="T2778"/>
      <c r="U2778"/>
    </row>
    <row r="2779" spans="1:21">
      <c r="A2779"/>
      <c r="C2779"/>
      <c r="D2779"/>
      <c r="L2779"/>
      <c r="R2779"/>
      <c r="S2779"/>
      <c r="T2779"/>
      <c r="U2779"/>
    </row>
    <row r="2780" spans="1:21">
      <c r="A2780"/>
      <c r="C2780"/>
      <c r="D2780"/>
      <c r="L2780"/>
      <c r="R2780"/>
      <c r="S2780"/>
      <c r="T2780"/>
      <c r="U2780"/>
    </row>
    <row r="2781" spans="1:21">
      <c r="A2781"/>
      <c r="C2781"/>
      <c r="D2781"/>
      <c r="L2781"/>
      <c r="R2781"/>
      <c r="S2781"/>
      <c r="T2781"/>
      <c r="U2781"/>
    </row>
    <row r="2782" spans="1:21">
      <c r="A2782"/>
      <c r="C2782"/>
      <c r="D2782"/>
      <c r="L2782"/>
      <c r="R2782"/>
      <c r="S2782"/>
      <c r="T2782"/>
      <c r="U2782"/>
    </row>
    <row r="2783" spans="1:21">
      <c r="A2783"/>
      <c r="C2783"/>
      <c r="D2783"/>
      <c r="L2783"/>
      <c r="R2783"/>
      <c r="S2783"/>
      <c r="T2783"/>
      <c r="U2783"/>
    </row>
    <row r="2784" spans="1:21">
      <c r="A2784"/>
      <c r="C2784"/>
      <c r="D2784"/>
      <c r="L2784"/>
      <c r="R2784"/>
      <c r="S2784"/>
      <c r="T2784"/>
      <c r="U2784"/>
    </row>
    <row r="2785" spans="1:21">
      <c r="A2785"/>
      <c r="C2785"/>
      <c r="D2785"/>
      <c r="L2785"/>
      <c r="R2785"/>
      <c r="S2785"/>
      <c r="T2785"/>
      <c r="U2785"/>
    </row>
    <row r="2786" spans="1:21">
      <c r="A2786"/>
      <c r="C2786"/>
      <c r="D2786"/>
      <c r="L2786"/>
      <c r="R2786"/>
      <c r="S2786"/>
      <c r="T2786"/>
      <c r="U2786"/>
    </row>
    <row r="2787" spans="1:21">
      <c r="A2787"/>
      <c r="C2787"/>
      <c r="D2787"/>
      <c r="L2787"/>
      <c r="R2787"/>
      <c r="S2787"/>
      <c r="T2787"/>
      <c r="U2787"/>
    </row>
    <row r="2788" spans="1:21">
      <c r="A2788"/>
      <c r="C2788"/>
      <c r="D2788"/>
      <c r="L2788"/>
      <c r="R2788"/>
      <c r="S2788"/>
      <c r="T2788"/>
      <c r="U2788"/>
    </row>
    <row r="2789" spans="1:21">
      <c r="A2789"/>
      <c r="C2789"/>
      <c r="D2789"/>
      <c r="L2789"/>
      <c r="R2789"/>
      <c r="S2789"/>
      <c r="T2789"/>
      <c r="U2789"/>
    </row>
    <row r="2790" spans="1:21">
      <c r="A2790"/>
      <c r="C2790"/>
      <c r="D2790"/>
      <c r="L2790"/>
      <c r="R2790"/>
      <c r="S2790"/>
      <c r="T2790"/>
      <c r="U2790"/>
    </row>
    <row r="2791" spans="1:21">
      <c r="A2791"/>
      <c r="C2791"/>
      <c r="D2791"/>
      <c r="L2791"/>
      <c r="R2791"/>
      <c r="S2791"/>
      <c r="T2791"/>
      <c r="U2791"/>
    </row>
    <row r="2792" spans="1:21">
      <c r="A2792"/>
      <c r="C2792"/>
      <c r="D2792"/>
      <c r="L2792"/>
      <c r="R2792"/>
      <c r="S2792"/>
      <c r="T2792"/>
      <c r="U2792"/>
    </row>
    <row r="2793" spans="1:21">
      <c r="A2793"/>
      <c r="C2793"/>
      <c r="D2793"/>
      <c r="L2793"/>
      <c r="R2793"/>
      <c r="S2793"/>
      <c r="T2793"/>
      <c r="U2793"/>
    </row>
    <row r="2794" spans="1:21">
      <c r="A2794"/>
      <c r="C2794"/>
      <c r="D2794"/>
      <c r="L2794"/>
      <c r="R2794"/>
      <c r="S2794"/>
      <c r="T2794"/>
      <c r="U2794"/>
    </row>
    <row r="2795" spans="1:21">
      <c r="A2795"/>
      <c r="C2795"/>
      <c r="D2795"/>
      <c r="L2795"/>
      <c r="R2795"/>
      <c r="S2795"/>
      <c r="T2795"/>
      <c r="U2795"/>
    </row>
    <row r="2796" spans="1:21">
      <c r="A2796"/>
      <c r="C2796"/>
      <c r="D2796"/>
      <c r="L2796"/>
      <c r="R2796"/>
      <c r="S2796"/>
      <c r="T2796"/>
      <c r="U2796"/>
    </row>
    <row r="2797" spans="1:21">
      <c r="A2797"/>
      <c r="C2797"/>
      <c r="D2797"/>
      <c r="L2797"/>
      <c r="R2797"/>
      <c r="S2797"/>
      <c r="T2797"/>
      <c r="U2797"/>
    </row>
    <row r="2798" spans="1:21">
      <c r="A2798"/>
      <c r="C2798"/>
      <c r="D2798"/>
      <c r="L2798"/>
      <c r="R2798"/>
      <c r="S2798"/>
      <c r="T2798"/>
      <c r="U2798"/>
    </row>
    <row r="2799" spans="1:21">
      <c r="A2799"/>
      <c r="C2799"/>
      <c r="D2799"/>
      <c r="L2799"/>
      <c r="R2799"/>
      <c r="S2799"/>
      <c r="T2799"/>
      <c r="U2799"/>
    </row>
    <row r="2800" spans="1:21">
      <c r="A2800"/>
      <c r="C2800"/>
      <c r="D2800"/>
      <c r="L2800"/>
      <c r="R2800"/>
      <c r="S2800"/>
      <c r="T2800"/>
      <c r="U2800"/>
    </row>
    <row r="2801" spans="1:21">
      <c r="A2801"/>
      <c r="C2801"/>
      <c r="D2801"/>
      <c r="L2801"/>
      <c r="R2801"/>
      <c r="S2801"/>
      <c r="T2801"/>
      <c r="U2801"/>
    </row>
    <row r="2802" spans="1:21">
      <c r="A2802"/>
      <c r="C2802"/>
      <c r="D2802"/>
      <c r="L2802"/>
      <c r="R2802"/>
      <c r="S2802"/>
      <c r="T2802"/>
      <c r="U2802"/>
    </row>
    <row r="2803" spans="1:21">
      <c r="A2803"/>
      <c r="C2803"/>
      <c r="D2803"/>
      <c r="L2803"/>
      <c r="R2803"/>
      <c r="S2803"/>
      <c r="T2803"/>
      <c r="U2803"/>
    </row>
    <row r="2804" spans="1:21">
      <c r="A2804"/>
      <c r="C2804"/>
      <c r="D2804"/>
      <c r="L2804"/>
      <c r="R2804"/>
      <c r="S2804"/>
      <c r="T2804"/>
      <c r="U2804"/>
    </row>
    <row r="2805" spans="1:21">
      <c r="A2805"/>
      <c r="C2805"/>
      <c r="D2805"/>
      <c r="L2805"/>
      <c r="R2805"/>
      <c r="S2805"/>
      <c r="T2805"/>
      <c r="U2805"/>
    </row>
    <row r="2806" spans="1:21">
      <c r="A2806"/>
      <c r="C2806"/>
      <c r="D2806"/>
      <c r="L2806"/>
      <c r="R2806"/>
      <c r="S2806"/>
      <c r="T2806"/>
      <c r="U2806"/>
    </row>
    <row r="2807" spans="1:21">
      <c r="A2807"/>
      <c r="C2807"/>
      <c r="D2807"/>
      <c r="L2807"/>
      <c r="R2807"/>
      <c r="S2807"/>
      <c r="T2807"/>
      <c r="U2807"/>
    </row>
    <row r="2808" spans="1:21">
      <c r="A2808"/>
      <c r="C2808"/>
      <c r="D2808"/>
      <c r="L2808"/>
      <c r="R2808"/>
      <c r="S2808"/>
      <c r="T2808"/>
      <c r="U2808"/>
    </row>
    <row r="2809" spans="1:21">
      <c r="A2809"/>
      <c r="C2809"/>
      <c r="D2809"/>
      <c r="L2809"/>
      <c r="R2809"/>
      <c r="S2809"/>
      <c r="T2809"/>
      <c r="U2809"/>
    </row>
    <row r="2810" spans="1:21">
      <c r="A2810"/>
      <c r="C2810"/>
      <c r="D2810"/>
      <c r="L2810"/>
      <c r="R2810"/>
      <c r="S2810"/>
      <c r="T2810"/>
      <c r="U2810"/>
    </row>
    <row r="2811" spans="1:21">
      <c r="A2811"/>
      <c r="C2811"/>
      <c r="D2811"/>
      <c r="L2811"/>
      <c r="R2811"/>
      <c r="S2811"/>
      <c r="T2811"/>
      <c r="U2811"/>
    </row>
    <row r="2812" spans="1:21">
      <c r="A2812"/>
      <c r="C2812"/>
      <c r="D2812"/>
      <c r="L2812"/>
      <c r="R2812"/>
      <c r="S2812"/>
      <c r="T2812"/>
      <c r="U2812"/>
    </row>
    <row r="2813" spans="1:21">
      <c r="A2813"/>
      <c r="C2813"/>
      <c r="D2813"/>
      <c r="L2813"/>
      <c r="R2813"/>
      <c r="S2813"/>
      <c r="T2813"/>
      <c r="U2813"/>
    </row>
    <row r="2814" spans="1:21">
      <c r="A2814"/>
      <c r="C2814"/>
      <c r="D2814"/>
      <c r="L2814"/>
      <c r="R2814"/>
      <c r="S2814"/>
      <c r="T2814"/>
      <c r="U2814"/>
    </row>
    <row r="2815" spans="1:21">
      <c r="A2815"/>
      <c r="C2815"/>
      <c r="D2815"/>
      <c r="L2815"/>
      <c r="R2815"/>
      <c r="S2815"/>
      <c r="T2815"/>
      <c r="U2815"/>
    </row>
    <row r="2816" spans="1:21">
      <c r="A2816"/>
      <c r="C2816"/>
      <c r="D2816"/>
      <c r="L2816"/>
      <c r="R2816"/>
      <c r="S2816"/>
      <c r="T2816"/>
      <c r="U2816"/>
    </row>
    <row r="2817" spans="1:21">
      <c r="A2817"/>
      <c r="C2817"/>
      <c r="D2817"/>
      <c r="L2817"/>
      <c r="R2817"/>
      <c r="S2817"/>
      <c r="T2817"/>
      <c r="U2817"/>
    </row>
    <row r="2818" spans="1:21">
      <c r="A2818"/>
      <c r="C2818"/>
      <c r="D2818"/>
      <c r="L2818"/>
      <c r="R2818"/>
      <c r="S2818"/>
      <c r="T2818"/>
      <c r="U2818"/>
    </row>
    <row r="2819" spans="1:21">
      <c r="A2819"/>
      <c r="C2819"/>
      <c r="D2819"/>
      <c r="L2819"/>
      <c r="R2819"/>
      <c r="S2819"/>
      <c r="T2819"/>
      <c r="U2819"/>
    </row>
    <row r="2820" spans="1:21">
      <c r="A2820"/>
      <c r="C2820"/>
      <c r="D2820"/>
      <c r="L2820"/>
      <c r="R2820"/>
      <c r="S2820"/>
      <c r="T2820"/>
      <c r="U2820"/>
    </row>
    <row r="2821" spans="1:21">
      <c r="A2821"/>
      <c r="C2821"/>
      <c r="D2821"/>
      <c r="L2821"/>
      <c r="R2821"/>
      <c r="S2821"/>
      <c r="T2821"/>
      <c r="U2821"/>
    </row>
    <row r="2822" spans="1:21">
      <c r="A2822"/>
      <c r="C2822"/>
      <c r="D2822"/>
      <c r="L2822"/>
      <c r="R2822"/>
      <c r="S2822"/>
      <c r="T2822"/>
      <c r="U2822"/>
    </row>
    <row r="2823" spans="1:21">
      <c r="A2823"/>
      <c r="C2823"/>
      <c r="D2823"/>
      <c r="L2823"/>
      <c r="R2823"/>
      <c r="S2823"/>
      <c r="T2823"/>
      <c r="U2823"/>
    </row>
    <row r="2824" spans="1:21">
      <c r="A2824"/>
      <c r="C2824"/>
      <c r="D2824"/>
      <c r="L2824"/>
      <c r="R2824"/>
      <c r="S2824"/>
      <c r="T2824"/>
      <c r="U2824"/>
    </row>
    <row r="2825" spans="1:21">
      <c r="A2825"/>
      <c r="C2825"/>
      <c r="D2825"/>
      <c r="L2825"/>
      <c r="R2825"/>
      <c r="S2825"/>
      <c r="T2825"/>
      <c r="U2825"/>
    </row>
    <row r="2826" spans="1:21">
      <c r="A2826"/>
      <c r="C2826"/>
      <c r="D2826"/>
      <c r="L2826"/>
      <c r="R2826"/>
      <c r="S2826"/>
      <c r="T2826"/>
      <c r="U2826"/>
    </row>
    <row r="2827" spans="1:21">
      <c r="A2827"/>
      <c r="C2827"/>
      <c r="D2827"/>
      <c r="L2827"/>
      <c r="R2827"/>
      <c r="S2827"/>
      <c r="T2827"/>
      <c r="U2827"/>
    </row>
    <row r="2828" spans="1:21">
      <c r="A2828"/>
      <c r="C2828"/>
      <c r="D2828"/>
      <c r="L2828"/>
      <c r="R2828"/>
      <c r="S2828"/>
      <c r="T2828"/>
      <c r="U2828"/>
    </row>
    <row r="2829" spans="1:21">
      <c r="A2829"/>
      <c r="C2829"/>
      <c r="D2829"/>
      <c r="L2829"/>
      <c r="R2829"/>
      <c r="S2829"/>
      <c r="T2829"/>
      <c r="U2829"/>
    </row>
    <row r="2830" spans="1:21">
      <c r="A2830"/>
      <c r="C2830"/>
      <c r="D2830"/>
      <c r="L2830"/>
      <c r="R2830"/>
      <c r="S2830"/>
      <c r="T2830"/>
      <c r="U2830"/>
    </row>
    <row r="2831" spans="1:21">
      <c r="A2831"/>
      <c r="C2831"/>
      <c r="D2831"/>
      <c r="L2831"/>
      <c r="R2831"/>
      <c r="S2831"/>
      <c r="T2831"/>
      <c r="U2831"/>
    </row>
    <row r="2832" spans="1:21">
      <c r="A2832"/>
      <c r="C2832"/>
      <c r="D2832"/>
      <c r="L2832"/>
      <c r="R2832"/>
      <c r="S2832"/>
      <c r="T2832"/>
      <c r="U2832"/>
    </row>
    <row r="2833" spans="1:21">
      <c r="A2833"/>
      <c r="C2833"/>
      <c r="D2833"/>
      <c r="L2833"/>
      <c r="R2833"/>
      <c r="S2833"/>
      <c r="T2833"/>
      <c r="U2833"/>
    </row>
    <row r="2834" spans="1:21">
      <c r="A2834"/>
      <c r="C2834"/>
      <c r="D2834"/>
      <c r="L2834"/>
      <c r="R2834"/>
      <c r="S2834"/>
      <c r="T2834"/>
      <c r="U2834"/>
    </row>
    <row r="2835" spans="1:21">
      <c r="A2835"/>
      <c r="C2835"/>
      <c r="D2835"/>
      <c r="L2835"/>
      <c r="R2835"/>
      <c r="S2835"/>
      <c r="T2835"/>
      <c r="U2835"/>
    </row>
    <row r="2836" spans="1:21">
      <c r="A2836"/>
      <c r="C2836"/>
      <c r="D2836"/>
      <c r="L2836"/>
      <c r="R2836"/>
      <c r="S2836"/>
      <c r="T2836"/>
      <c r="U2836"/>
    </row>
    <row r="2837" spans="1:21">
      <c r="A2837"/>
      <c r="C2837"/>
      <c r="D2837"/>
      <c r="L2837"/>
      <c r="R2837"/>
      <c r="S2837"/>
      <c r="T2837"/>
      <c r="U2837"/>
    </row>
    <row r="2838" spans="1:21">
      <c r="A2838"/>
      <c r="C2838"/>
      <c r="D2838"/>
      <c r="L2838"/>
      <c r="R2838"/>
      <c r="S2838"/>
      <c r="T2838"/>
      <c r="U2838"/>
    </row>
    <row r="2839" spans="1:21">
      <c r="A2839"/>
      <c r="C2839"/>
      <c r="D2839"/>
      <c r="L2839"/>
      <c r="R2839"/>
      <c r="S2839"/>
      <c r="T2839"/>
      <c r="U2839"/>
    </row>
    <row r="2840" spans="1:21">
      <c r="A2840"/>
      <c r="C2840"/>
      <c r="D2840"/>
      <c r="L2840"/>
      <c r="R2840"/>
      <c r="S2840"/>
      <c r="T2840"/>
      <c r="U2840"/>
    </row>
    <row r="2841" spans="1:21">
      <c r="A2841"/>
      <c r="C2841"/>
      <c r="D2841"/>
      <c r="L2841"/>
      <c r="R2841"/>
      <c r="S2841"/>
      <c r="T2841"/>
      <c r="U2841"/>
    </row>
    <row r="2842" spans="1:21">
      <c r="A2842"/>
      <c r="C2842"/>
      <c r="D2842"/>
      <c r="L2842"/>
      <c r="R2842"/>
      <c r="S2842"/>
      <c r="T2842"/>
      <c r="U2842"/>
    </row>
    <row r="2843" spans="1:21">
      <c r="A2843"/>
      <c r="C2843"/>
      <c r="D2843"/>
      <c r="L2843"/>
      <c r="R2843"/>
      <c r="S2843"/>
      <c r="T2843"/>
      <c r="U2843"/>
    </row>
    <row r="2844" spans="1:21">
      <c r="A2844"/>
      <c r="C2844"/>
      <c r="D2844"/>
      <c r="L2844"/>
      <c r="R2844"/>
      <c r="S2844"/>
      <c r="T2844"/>
      <c r="U2844"/>
    </row>
    <row r="2845" spans="1:21">
      <c r="A2845"/>
      <c r="C2845"/>
      <c r="D2845"/>
      <c r="L2845"/>
      <c r="R2845"/>
      <c r="S2845"/>
      <c r="T2845"/>
      <c r="U2845"/>
    </row>
    <row r="2846" spans="1:21">
      <c r="A2846"/>
      <c r="C2846"/>
      <c r="D2846"/>
      <c r="L2846"/>
      <c r="R2846"/>
      <c r="S2846"/>
      <c r="T2846"/>
      <c r="U2846"/>
    </row>
    <row r="2847" spans="1:21">
      <c r="A2847"/>
      <c r="C2847"/>
      <c r="D2847"/>
      <c r="L2847"/>
      <c r="R2847"/>
      <c r="S2847"/>
      <c r="T2847"/>
      <c r="U2847"/>
    </row>
    <row r="2848" spans="1:21">
      <c r="A2848"/>
      <c r="C2848"/>
      <c r="D2848"/>
      <c r="L2848"/>
      <c r="R2848"/>
      <c r="S2848"/>
      <c r="T2848"/>
      <c r="U2848"/>
    </row>
    <row r="2849" spans="1:21">
      <c r="A2849"/>
      <c r="C2849"/>
      <c r="D2849"/>
      <c r="L2849"/>
      <c r="R2849"/>
      <c r="S2849"/>
      <c r="T2849"/>
      <c r="U2849"/>
    </row>
    <row r="2850" spans="1:21">
      <c r="A2850"/>
      <c r="C2850"/>
      <c r="D2850"/>
      <c r="L2850"/>
      <c r="R2850"/>
      <c r="S2850"/>
      <c r="T2850"/>
      <c r="U2850"/>
    </row>
    <row r="2851" spans="1:21">
      <c r="A2851"/>
      <c r="C2851"/>
      <c r="D2851"/>
      <c r="L2851"/>
      <c r="R2851"/>
      <c r="S2851"/>
      <c r="T2851"/>
      <c r="U2851"/>
    </row>
    <row r="2852" spans="1:21">
      <c r="A2852"/>
      <c r="C2852"/>
      <c r="D2852"/>
      <c r="L2852"/>
      <c r="R2852"/>
      <c r="S2852"/>
      <c r="T2852"/>
      <c r="U2852"/>
    </row>
    <row r="2853" spans="1:21">
      <c r="A2853"/>
      <c r="C2853"/>
      <c r="D2853"/>
      <c r="L2853"/>
      <c r="R2853"/>
      <c r="S2853"/>
      <c r="T2853"/>
      <c r="U2853"/>
    </row>
    <row r="2854" spans="1:21">
      <c r="A2854"/>
      <c r="C2854"/>
      <c r="D2854"/>
      <c r="L2854"/>
      <c r="R2854"/>
      <c r="S2854"/>
      <c r="T2854"/>
      <c r="U2854"/>
    </row>
    <row r="2855" spans="1:21">
      <c r="A2855"/>
      <c r="C2855"/>
      <c r="D2855"/>
      <c r="L2855"/>
      <c r="R2855"/>
      <c r="S2855"/>
      <c r="T2855"/>
      <c r="U2855"/>
    </row>
    <row r="2856" spans="1:21">
      <c r="A2856"/>
      <c r="C2856"/>
      <c r="D2856"/>
      <c r="L2856"/>
      <c r="R2856"/>
      <c r="S2856"/>
      <c r="T2856"/>
      <c r="U2856"/>
    </row>
    <row r="2857" spans="1:21">
      <c r="A2857"/>
      <c r="C2857"/>
      <c r="D2857"/>
      <c r="L2857"/>
      <c r="R2857"/>
      <c r="S2857"/>
      <c r="T2857"/>
      <c r="U2857"/>
    </row>
    <row r="2858" spans="1:21">
      <c r="A2858"/>
      <c r="C2858"/>
      <c r="D2858"/>
      <c r="L2858"/>
      <c r="R2858"/>
      <c r="S2858"/>
      <c r="T2858"/>
      <c r="U2858"/>
    </row>
    <row r="2859" spans="1:21">
      <c r="A2859"/>
      <c r="C2859"/>
      <c r="D2859"/>
      <c r="L2859"/>
      <c r="R2859"/>
      <c r="S2859"/>
      <c r="T2859"/>
      <c r="U2859"/>
    </row>
    <row r="2860" spans="1:21">
      <c r="A2860"/>
      <c r="C2860"/>
      <c r="D2860"/>
      <c r="L2860"/>
      <c r="R2860"/>
      <c r="S2860"/>
      <c r="T2860"/>
      <c r="U2860"/>
    </row>
    <row r="2861" spans="1:21">
      <c r="A2861"/>
      <c r="C2861"/>
      <c r="D2861"/>
      <c r="L2861"/>
      <c r="R2861"/>
      <c r="S2861"/>
      <c r="T2861"/>
      <c r="U2861"/>
    </row>
    <row r="2862" spans="1:21">
      <c r="A2862"/>
      <c r="C2862"/>
      <c r="D2862"/>
      <c r="L2862"/>
      <c r="R2862"/>
      <c r="S2862"/>
      <c r="T2862"/>
      <c r="U2862"/>
    </row>
    <row r="2863" spans="1:21">
      <c r="A2863"/>
      <c r="C2863"/>
      <c r="D2863"/>
      <c r="L2863"/>
      <c r="R2863"/>
      <c r="S2863"/>
      <c r="T2863"/>
      <c r="U2863"/>
    </row>
    <row r="2864" spans="1:21">
      <c r="A2864"/>
      <c r="C2864"/>
      <c r="D2864"/>
      <c r="L2864"/>
      <c r="R2864"/>
      <c r="S2864"/>
      <c r="T2864"/>
      <c r="U2864"/>
    </row>
    <row r="2865" spans="1:21">
      <c r="A2865"/>
      <c r="C2865"/>
      <c r="D2865"/>
      <c r="L2865"/>
      <c r="R2865"/>
      <c r="S2865"/>
      <c r="T2865"/>
      <c r="U2865"/>
    </row>
    <row r="2866" spans="1:21">
      <c r="A2866"/>
      <c r="C2866"/>
      <c r="D2866"/>
      <c r="L2866"/>
      <c r="R2866"/>
      <c r="S2866"/>
      <c r="T2866"/>
      <c r="U2866"/>
    </row>
    <row r="2867" spans="1:21">
      <c r="A2867"/>
      <c r="C2867"/>
      <c r="D2867"/>
      <c r="L2867"/>
      <c r="R2867"/>
      <c r="S2867"/>
      <c r="T2867"/>
      <c r="U2867"/>
    </row>
    <row r="2868" spans="1:21">
      <c r="A2868"/>
      <c r="C2868"/>
      <c r="D2868"/>
      <c r="L2868"/>
      <c r="R2868"/>
      <c r="S2868"/>
      <c r="T2868"/>
      <c r="U2868"/>
    </row>
    <row r="2869" spans="1:21">
      <c r="A2869"/>
      <c r="C2869"/>
      <c r="D2869"/>
      <c r="L2869"/>
      <c r="R2869"/>
      <c r="S2869"/>
      <c r="T2869"/>
      <c r="U2869"/>
    </row>
    <row r="2870" spans="1:21">
      <c r="A2870"/>
      <c r="C2870"/>
      <c r="D2870"/>
      <c r="L2870"/>
      <c r="R2870"/>
      <c r="S2870"/>
      <c r="T2870"/>
      <c r="U2870"/>
    </row>
    <row r="2871" spans="1:21">
      <c r="A2871"/>
      <c r="C2871"/>
      <c r="D2871"/>
      <c r="L2871"/>
      <c r="R2871"/>
      <c r="S2871"/>
      <c r="T2871"/>
      <c r="U2871"/>
    </row>
    <row r="2872" spans="1:21">
      <c r="A2872"/>
      <c r="C2872"/>
      <c r="D2872"/>
      <c r="L2872"/>
      <c r="R2872"/>
      <c r="S2872"/>
      <c r="T2872"/>
      <c r="U2872"/>
    </row>
    <row r="2873" spans="1:21">
      <c r="A2873"/>
      <c r="C2873"/>
      <c r="D2873"/>
      <c r="L2873"/>
      <c r="R2873"/>
      <c r="S2873"/>
      <c r="T2873"/>
      <c r="U2873"/>
    </row>
    <row r="2874" spans="1:21">
      <c r="A2874"/>
      <c r="C2874"/>
      <c r="D2874"/>
      <c r="L2874"/>
      <c r="R2874"/>
      <c r="S2874"/>
      <c r="T2874"/>
      <c r="U2874"/>
    </row>
    <row r="2875" spans="1:21">
      <c r="A2875"/>
      <c r="C2875"/>
      <c r="D2875"/>
      <c r="L2875"/>
      <c r="R2875"/>
      <c r="S2875"/>
      <c r="T2875"/>
      <c r="U2875"/>
    </row>
    <row r="2876" spans="1:21">
      <c r="A2876"/>
      <c r="C2876"/>
      <c r="D2876"/>
      <c r="L2876"/>
      <c r="R2876"/>
      <c r="S2876"/>
      <c r="T2876"/>
      <c r="U2876"/>
    </row>
    <row r="2877" spans="1:21">
      <c r="A2877"/>
      <c r="C2877"/>
      <c r="D2877"/>
      <c r="L2877"/>
      <c r="R2877"/>
      <c r="S2877"/>
      <c r="T2877"/>
      <c r="U2877"/>
    </row>
    <row r="2878" spans="1:21">
      <c r="A2878"/>
      <c r="C2878"/>
      <c r="D2878"/>
      <c r="L2878"/>
      <c r="R2878"/>
      <c r="S2878"/>
      <c r="T2878"/>
      <c r="U2878"/>
    </row>
    <row r="2879" spans="1:21">
      <c r="A2879"/>
      <c r="C2879"/>
      <c r="D2879"/>
      <c r="L2879"/>
      <c r="R2879"/>
      <c r="S2879"/>
      <c r="T2879"/>
      <c r="U2879"/>
    </row>
    <row r="2880" spans="1:21">
      <c r="A2880"/>
      <c r="C2880"/>
      <c r="D2880"/>
      <c r="L2880"/>
      <c r="R2880"/>
      <c r="S2880"/>
      <c r="T2880"/>
      <c r="U2880"/>
    </row>
    <row r="2881" spans="1:21">
      <c r="A2881"/>
      <c r="C2881"/>
      <c r="D2881"/>
      <c r="L2881"/>
      <c r="R2881"/>
      <c r="S2881"/>
      <c r="T2881"/>
      <c r="U2881"/>
    </row>
    <row r="2882" spans="1:21">
      <c r="A2882"/>
      <c r="C2882"/>
      <c r="D2882"/>
      <c r="L2882"/>
      <c r="R2882"/>
      <c r="S2882"/>
      <c r="T2882"/>
      <c r="U2882"/>
    </row>
    <row r="2883" spans="1:21">
      <c r="A2883"/>
      <c r="C2883"/>
      <c r="D2883"/>
      <c r="L2883"/>
      <c r="R2883"/>
      <c r="S2883"/>
      <c r="T2883"/>
      <c r="U2883"/>
    </row>
    <row r="2884" spans="1:21">
      <c r="A2884"/>
      <c r="C2884"/>
      <c r="D2884"/>
      <c r="L2884"/>
      <c r="R2884"/>
      <c r="S2884"/>
      <c r="T2884"/>
      <c r="U2884"/>
    </row>
    <row r="2885" spans="1:21">
      <c r="A2885"/>
      <c r="C2885"/>
      <c r="D2885"/>
      <c r="L2885"/>
      <c r="R2885"/>
      <c r="S2885"/>
      <c r="T2885"/>
      <c r="U2885"/>
    </row>
    <row r="2886" spans="1:21">
      <c r="A2886"/>
      <c r="C2886"/>
      <c r="D2886"/>
      <c r="L2886"/>
      <c r="R2886"/>
      <c r="S2886"/>
      <c r="T2886"/>
      <c r="U2886"/>
    </row>
    <row r="2887" spans="1:21">
      <c r="A2887"/>
      <c r="C2887"/>
      <c r="D2887"/>
      <c r="L2887"/>
      <c r="R2887"/>
      <c r="S2887"/>
      <c r="T2887"/>
      <c r="U2887"/>
    </row>
    <row r="2888" spans="1:21">
      <c r="A2888"/>
      <c r="C2888"/>
      <c r="D2888"/>
      <c r="L2888"/>
      <c r="R2888"/>
      <c r="S2888"/>
      <c r="T2888"/>
      <c r="U2888"/>
    </row>
    <row r="2889" spans="1:21">
      <c r="A2889"/>
      <c r="C2889"/>
      <c r="D2889"/>
      <c r="L2889"/>
      <c r="R2889"/>
      <c r="S2889"/>
      <c r="T2889"/>
      <c r="U2889"/>
    </row>
    <row r="2890" spans="1:21">
      <c r="A2890"/>
      <c r="C2890"/>
      <c r="D2890"/>
      <c r="L2890"/>
      <c r="R2890"/>
      <c r="S2890"/>
      <c r="T2890"/>
      <c r="U2890"/>
    </row>
    <row r="2891" spans="1:21">
      <c r="A2891"/>
      <c r="C2891"/>
      <c r="D2891"/>
      <c r="L2891"/>
      <c r="R2891"/>
      <c r="S2891"/>
      <c r="T2891"/>
      <c r="U2891"/>
    </row>
    <row r="2892" spans="1:21">
      <c r="A2892"/>
      <c r="C2892"/>
      <c r="D2892"/>
      <c r="L2892"/>
      <c r="R2892"/>
      <c r="S2892"/>
      <c r="T2892"/>
      <c r="U2892"/>
    </row>
    <row r="2893" spans="1:21">
      <c r="A2893"/>
      <c r="C2893"/>
      <c r="D2893"/>
      <c r="L2893"/>
      <c r="R2893"/>
      <c r="S2893"/>
      <c r="T2893"/>
      <c r="U2893"/>
    </row>
    <row r="2894" spans="1:21">
      <c r="A2894"/>
      <c r="C2894"/>
      <c r="D2894"/>
      <c r="L2894"/>
      <c r="R2894"/>
      <c r="S2894"/>
      <c r="T2894"/>
      <c r="U2894"/>
    </row>
    <row r="2895" spans="1:21">
      <c r="A2895"/>
      <c r="C2895"/>
      <c r="D2895"/>
      <c r="L2895"/>
      <c r="R2895"/>
      <c r="S2895"/>
      <c r="T2895"/>
      <c r="U2895"/>
    </row>
    <row r="2896" spans="1:21">
      <c r="A2896"/>
      <c r="C2896"/>
      <c r="D2896"/>
      <c r="L2896"/>
      <c r="R2896"/>
      <c r="S2896"/>
      <c r="T2896"/>
      <c r="U2896"/>
    </row>
    <row r="2897" spans="1:21">
      <c r="A2897"/>
      <c r="C2897"/>
      <c r="D2897"/>
      <c r="L2897"/>
      <c r="R2897"/>
      <c r="S2897"/>
      <c r="T2897"/>
      <c r="U2897"/>
    </row>
    <row r="2898" spans="1:21">
      <c r="A2898"/>
      <c r="C2898"/>
      <c r="D2898"/>
      <c r="L2898"/>
      <c r="R2898"/>
      <c r="S2898"/>
      <c r="T2898"/>
      <c r="U2898"/>
    </row>
    <row r="2899" spans="1:21">
      <c r="A2899"/>
      <c r="C2899"/>
      <c r="D2899"/>
      <c r="L2899"/>
      <c r="R2899"/>
      <c r="S2899"/>
      <c r="T2899"/>
      <c r="U2899"/>
    </row>
    <row r="2900" spans="1:21">
      <c r="A2900"/>
      <c r="C2900"/>
      <c r="D2900"/>
      <c r="L2900"/>
      <c r="R2900"/>
      <c r="S2900"/>
      <c r="T2900"/>
      <c r="U2900"/>
    </row>
    <row r="2901" spans="1:21">
      <c r="A2901"/>
      <c r="C2901"/>
      <c r="D2901"/>
      <c r="L2901"/>
      <c r="R2901"/>
      <c r="S2901"/>
      <c r="T2901"/>
      <c r="U2901"/>
    </row>
    <row r="2902" spans="1:21">
      <c r="A2902"/>
      <c r="C2902"/>
      <c r="D2902"/>
      <c r="L2902"/>
      <c r="R2902"/>
      <c r="S2902"/>
      <c r="T2902"/>
      <c r="U2902"/>
    </row>
    <row r="2903" spans="1:21">
      <c r="A2903"/>
      <c r="C2903"/>
      <c r="D2903"/>
      <c r="L2903"/>
      <c r="R2903"/>
      <c r="S2903"/>
      <c r="T2903"/>
      <c r="U2903"/>
    </row>
    <row r="2904" spans="1:21">
      <c r="A2904"/>
      <c r="C2904"/>
      <c r="D2904"/>
      <c r="L2904"/>
      <c r="R2904"/>
      <c r="S2904"/>
      <c r="T2904"/>
      <c r="U2904"/>
    </row>
    <row r="2905" spans="1:21">
      <c r="A2905"/>
      <c r="C2905"/>
      <c r="D2905"/>
      <c r="L2905"/>
      <c r="R2905"/>
      <c r="S2905"/>
      <c r="T2905"/>
      <c r="U2905"/>
    </row>
    <row r="2906" spans="1:21">
      <c r="A2906"/>
      <c r="C2906"/>
      <c r="D2906"/>
      <c r="L2906"/>
      <c r="R2906"/>
      <c r="S2906"/>
      <c r="T2906"/>
      <c r="U2906"/>
    </row>
    <row r="2907" spans="1:21">
      <c r="A2907"/>
      <c r="C2907"/>
      <c r="D2907"/>
      <c r="L2907"/>
      <c r="R2907"/>
      <c r="S2907"/>
      <c r="T2907"/>
      <c r="U2907"/>
    </row>
    <row r="2908" spans="1:21">
      <c r="A2908"/>
      <c r="C2908"/>
      <c r="D2908"/>
      <c r="L2908"/>
      <c r="R2908"/>
      <c r="S2908"/>
      <c r="T2908"/>
      <c r="U2908"/>
    </row>
    <row r="2909" spans="1:21">
      <c r="A2909"/>
      <c r="C2909"/>
      <c r="D2909"/>
      <c r="L2909"/>
      <c r="R2909"/>
      <c r="S2909"/>
      <c r="T2909"/>
      <c r="U2909"/>
    </row>
    <row r="2910" spans="1:21">
      <c r="A2910"/>
      <c r="C2910"/>
      <c r="D2910"/>
      <c r="L2910"/>
      <c r="R2910"/>
      <c r="S2910"/>
      <c r="T2910"/>
      <c r="U2910"/>
    </row>
    <row r="2911" spans="1:21">
      <c r="A2911"/>
      <c r="C2911"/>
      <c r="D2911"/>
      <c r="L2911"/>
      <c r="R2911"/>
      <c r="S2911"/>
      <c r="T2911"/>
      <c r="U2911"/>
    </row>
    <row r="2912" spans="1:21">
      <c r="A2912"/>
      <c r="C2912"/>
      <c r="D2912"/>
      <c r="L2912"/>
      <c r="R2912"/>
      <c r="S2912"/>
      <c r="T2912"/>
      <c r="U2912"/>
    </row>
    <row r="2913" spans="1:21">
      <c r="A2913"/>
      <c r="C2913"/>
      <c r="D2913"/>
      <c r="L2913"/>
      <c r="R2913"/>
      <c r="S2913"/>
      <c r="T2913"/>
      <c r="U2913"/>
    </row>
    <row r="2914" spans="1:21">
      <c r="A2914"/>
      <c r="C2914"/>
      <c r="D2914"/>
      <c r="L2914"/>
      <c r="R2914"/>
      <c r="S2914"/>
      <c r="T2914"/>
      <c r="U2914"/>
    </row>
    <row r="2915" spans="1:21">
      <c r="A2915"/>
      <c r="C2915"/>
      <c r="D2915"/>
      <c r="L2915"/>
      <c r="R2915"/>
      <c r="S2915"/>
      <c r="T2915"/>
      <c r="U2915"/>
    </row>
    <row r="2916" spans="1:21">
      <c r="A2916"/>
      <c r="C2916"/>
      <c r="D2916"/>
      <c r="L2916"/>
      <c r="R2916"/>
      <c r="S2916"/>
      <c r="T2916"/>
      <c r="U2916"/>
    </row>
    <row r="2917" spans="1:21">
      <c r="A2917"/>
      <c r="C2917"/>
      <c r="D2917"/>
      <c r="L2917"/>
      <c r="R2917"/>
      <c r="S2917"/>
      <c r="T2917"/>
      <c r="U2917"/>
    </row>
    <row r="2918" spans="1:21">
      <c r="A2918"/>
      <c r="C2918"/>
      <c r="D2918"/>
      <c r="L2918"/>
      <c r="R2918"/>
      <c r="S2918"/>
      <c r="T2918"/>
      <c r="U2918"/>
    </row>
    <row r="2919" spans="1:21">
      <c r="A2919"/>
      <c r="C2919"/>
      <c r="D2919"/>
      <c r="L2919"/>
      <c r="R2919"/>
      <c r="S2919"/>
      <c r="T2919"/>
      <c r="U2919"/>
    </row>
    <row r="2920" spans="1:21">
      <c r="A2920"/>
      <c r="C2920"/>
      <c r="D2920"/>
      <c r="L2920"/>
      <c r="R2920"/>
      <c r="S2920"/>
      <c r="T2920"/>
      <c r="U2920"/>
    </row>
    <row r="2921" spans="1:21">
      <c r="A2921"/>
      <c r="C2921"/>
      <c r="D2921"/>
      <c r="L2921"/>
      <c r="R2921"/>
      <c r="S2921"/>
      <c r="T2921"/>
      <c r="U2921"/>
    </row>
    <row r="2922" spans="1:21">
      <c r="A2922"/>
      <c r="C2922"/>
      <c r="D2922"/>
      <c r="L2922"/>
      <c r="R2922"/>
      <c r="S2922"/>
      <c r="T2922"/>
      <c r="U2922"/>
    </row>
    <row r="2923" spans="1:21">
      <c r="A2923"/>
      <c r="C2923"/>
      <c r="D2923"/>
      <c r="L2923"/>
      <c r="R2923"/>
      <c r="S2923"/>
      <c r="T2923"/>
      <c r="U2923"/>
    </row>
    <row r="2924" spans="1:21">
      <c r="A2924"/>
      <c r="C2924"/>
      <c r="D2924"/>
      <c r="L2924"/>
      <c r="R2924"/>
      <c r="S2924"/>
      <c r="T2924"/>
      <c r="U2924"/>
    </row>
    <row r="2925" spans="1:21">
      <c r="A2925"/>
      <c r="C2925"/>
      <c r="D2925"/>
      <c r="L2925"/>
      <c r="R2925"/>
      <c r="S2925"/>
      <c r="T2925"/>
      <c r="U2925"/>
    </row>
    <row r="2926" spans="1:21">
      <c r="A2926"/>
      <c r="C2926"/>
      <c r="D2926"/>
      <c r="L2926"/>
      <c r="R2926"/>
      <c r="S2926"/>
      <c r="T2926"/>
      <c r="U2926"/>
    </row>
    <row r="2927" spans="1:21">
      <c r="A2927"/>
      <c r="C2927"/>
      <c r="D2927"/>
      <c r="L2927"/>
      <c r="R2927"/>
      <c r="S2927"/>
      <c r="T2927"/>
      <c r="U2927"/>
    </row>
    <row r="2928" spans="1:21">
      <c r="A2928"/>
      <c r="C2928"/>
      <c r="D2928"/>
      <c r="L2928"/>
      <c r="R2928"/>
      <c r="S2928"/>
      <c r="T2928"/>
      <c r="U2928"/>
    </row>
    <row r="2929" spans="1:21">
      <c r="A2929"/>
      <c r="C2929"/>
      <c r="D2929"/>
      <c r="L2929"/>
      <c r="R2929"/>
      <c r="S2929"/>
      <c r="T2929"/>
      <c r="U2929"/>
    </row>
    <row r="2930" spans="1:21">
      <c r="A2930"/>
      <c r="C2930"/>
      <c r="D2930"/>
      <c r="L2930"/>
      <c r="R2930"/>
      <c r="S2930"/>
      <c r="T2930"/>
      <c r="U2930"/>
    </row>
    <row r="2931" spans="1:21">
      <c r="A2931"/>
      <c r="C2931"/>
      <c r="D2931"/>
      <c r="L2931"/>
      <c r="R2931"/>
      <c r="S2931"/>
      <c r="T2931"/>
      <c r="U2931"/>
    </row>
    <row r="2932" spans="1:21">
      <c r="A2932"/>
      <c r="C2932"/>
      <c r="D2932"/>
      <c r="L2932"/>
      <c r="R2932"/>
      <c r="S2932"/>
      <c r="T2932"/>
      <c r="U2932"/>
    </row>
    <row r="2933" spans="1:21">
      <c r="A2933"/>
      <c r="C2933"/>
      <c r="D2933"/>
      <c r="L2933"/>
      <c r="R2933"/>
      <c r="S2933"/>
      <c r="T2933"/>
      <c r="U2933"/>
    </row>
    <row r="2934" spans="1:21">
      <c r="A2934"/>
      <c r="C2934"/>
      <c r="D2934"/>
      <c r="L2934"/>
      <c r="R2934"/>
      <c r="S2934"/>
      <c r="T2934"/>
      <c r="U2934"/>
    </row>
    <row r="2935" spans="1:21">
      <c r="A2935"/>
      <c r="C2935"/>
      <c r="D2935"/>
      <c r="L2935"/>
      <c r="R2935"/>
      <c r="S2935"/>
      <c r="T2935"/>
      <c r="U2935"/>
    </row>
    <row r="2936" spans="1:21">
      <c r="A2936"/>
      <c r="C2936"/>
      <c r="D2936"/>
      <c r="L2936"/>
      <c r="R2936"/>
      <c r="S2936"/>
      <c r="T2936"/>
      <c r="U2936"/>
    </row>
    <row r="2937" spans="1:21">
      <c r="A2937"/>
      <c r="C2937"/>
      <c r="D2937"/>
      <c r="L2937"/>
      <c r="R2937"/>
      <c r="S2937"/>
      <c r="T2937"/>
      <c r="U2937"/>
    </row>
    <row r="2938" spans="1:21">
      <c r="A2938"/>
      <c r="C2938"/>
      <c r="D2938"/>
      <c r="L2938"/>
      <c r="R2938"/>
      <c r="S2938"/>
      <c r="T2938"/>
      <c r="U2938"/>
    </row>
    <row r="2939" spans="1:21">
      <c r="A2939"/>
      <c r="C2939"/>
      <c r="D2939"/>
      <c r="L2939"/>
      <c r="R2939"/>
      <c r="S2939"/>
      <c r="T2939"/>
      <c r="U2939"/>
    </row>
    <row r="2940" spans="1:21">
      <c r="A2940"/>
      <c r="C2940"/>
      <c r="D2940"/>
      <c r="L2940"/>
      <c r="R2940"/>
      <c r="S2940"/>
      <c r="T2940"/>
      <c r="U2940"/>
    </row>
    <row r="2941" spans="1:21">
      <c r="A2941"/>
      <c r="C2941"/>
      <c r="D2941"/>
      <c r="L2941"/>
      <c r="R2941"/>
      <c r="S2941"/>
      <c r="T2941"/>
      <c r="U2941"/>
    </row>
    <row r="2942" spans="1:21">
      <c r="A2942"/>
      <c r="C2942"/>
      <c r="D2942"/>
      <c r="L2942"/>
      <c r="R2942"/>
      <c r="S2942"/>
      <c r="T2942"/>
      <c r="U2942"/>
    </row>
    <row r="2943" spans="1:21">
      <c r="A2943"/>
      <c r="C2943"/>
      <c r="D2943"/>
      <c r="L2943"/>
      <c r="R2943"/>
      <c r="S2943"/>
      <c r="T2943"/>
      <c r="U2943"/>
    </row>
    <row r="2944" spans="1:21">
      <c r="A2944"/>
      <c r="C2944"/>
      <c r="D2944"/>
      <c r="L2944"/>
      <c r="R2944"/>
      <c r="S2944"/>
      <c r="T2944"/>
      <c r="U2944"/>
    </row>
    <row r="2945" spans="1:21">
      <c r="A2945"/>
      <c r="C2945"/>
      <c r="D2945"/>
      <c r="L2945"/>
      <c r="R2945"/>
      <c r="S2945"/>
      <c r="T2945"/>
      <c r="U2945"/>
    </row>
    <row r="2946" spans="1:21">
      <c r="A2946"/>
      <c r="C2946"/>
      <c r="D2946"/>
      <c r="L2946"/>
      <c r="R2946"/>
      <c r="S2946"/>
      <c r="T2946"/>
      <c r="U2946"/>
    </row>
    <row r="2947" spans="1:21">
      <c r="A2947"/>
      <c r="C2947"/>
      <c r="D2947"/>
      <c r="L2947"/>
      <c r="R2947"/>
      <c r="S2947"/>
      <c r="T2947"/>
      <c r="U2947"/>
    </row>
    <row r="2948" spans="1:21">
      <c r="A2948"/>
      <c r="C2948"/>
      <c r="D2948"/>
      <c r="L2948"/>
      <c r="R2948"/>
      <c r="S2948"/>
      <c r="T2948"/>
      <c r="U2948"/>
    </row>
    <row r="2949" spans="1:21">
      <c r="A2949"/>
      <c r="C2949"/>
      <c r="D2949"/>
      <c r="L2949"/>
      <c r="R2949"/>
      <c r="S2949"/>
      <c r="T2949"/>
      <c r="U2949"/>
    </row>
    <row r="2950" spans="1:21">
      <c r="A2950"/>
      <c r="C2950"/>
      <c r="D2950"/>
      <c r="L2950"/>
      <c r="R2950"/>
      <c r="S2950"/>
      <c r="T2950"/>
      <c r="U2950"/>
    </row>
    <row r="2951" spans="1:21">
      <c r="A2951"/>
      <c r="C2951"/>
      <c r="D2951"/>
      <c r="L2951"/>
      <c r="R2951"/>
      <c r="S2951"/>
      <c r="T2951"/>
      <c r="U2951"/>
    </row>
    <row r="2952" spans="1:21">
      <c r="A2952"/>
      <c r="C2952"/>
      <c r="D2952"/>
      <c r="L2952"/>
      <c r="R2952"/>
      <c r="S2952"/>
      <c r="T2952"/>
      <c r="U2952"/>
    </row>
    <row r="2953" spans="1:21">
      <c r="A2953"/>
      <c r="C2953"/>
      <c r="D2953"/>
      <c r="L2953"/>
      <c r="R2953"/>
      <c r="S2953"/>
      <c r="T2953"/>
      <c r="U2953"/>
    </row>
    <row r="2954" spans="1:21">
      <c r="A2954"/>
      <c r="C2954"/>
      <c r="D2954"/>
      <c r="L2954"/>
      <c r="R2954"/>
      <c r="S2954"/>
      <c r="T2954"/>
      <c r="U2954"/>
    </row>
    <row r="2955" spans="1:21">
      <c r="A2955"/>
      <c r="C2955"/>
      <c r="D2955"/>
      <c r="L2955"/>
      <c r="R2955"/>
      <c r="S2955"/>
      <c r="T2955"/>
      <c r="U2955"/>
    </row>
    <row r="2956" spans="1:21">
      <c r="A2956"/>
      <c r="C2956"/>
      <c r="D2956"/>
      <c r="L2956"/>
      <c r="R2956"/>
      <c r="S2956"/>
      <c r="T2956"/>
      <c r="U2956"/>
    </row>
    <row r="2957" spans="1:21">
      <c r="A2957"/>
      <c r="C2957"/>
      <c r="D2957"/>
      <c r="L2957"/>
      <c r="R2957"/>
      <c r="S2957"/>
      <c r="T2957"/>
      <c r="U2957"/>
    </row>
    <row r="2958" spans="1:21">
      <c r="A2958"/>
      <c r="C2958"/>
      <c r="D2958"/>
      <c r="L2958"/>
      <c r="R2958"/>
      <c r="S2958"/>
      <c r="T2958"/>
      <c r="U2958"/>
    </row>
    <row r="2959" spans="1:21">
      <c r="A2959"/>
      <c r="C2959"/>
      <c r="D2959"/>
      <c r="L2959"/>
      <c r="R2959"/>
      <c r="S2959"/>
      <c r="T2959"/>
      <c r="U2959"/>
    </row>
    <row r="2960" spans="1:21">
      <c r="A2960"/>
      <c r="C2960"/>
      <c r="D2960"/>
      <c r="L2960"/>
      <c r="R2960"/>
      <c r="S2960"/>
      <c r="T2960"/>
      <c r="U2960"/>
    </row>
    <row r="2961" spans="1:21">
      <c r="A2961"/>
      <c r="C2961"/>
      <c r="D2961"/>
      <c r="L2961"/>
      <c r="R2961"/>
      <c r="S2961"/>
      <c r="T2961"/>
      <c r="U2961"/>
    </row>
    <row r="2962" spans="1:21">
      <c r="A2962"/>
      <c r="C2962"/>
      <c r="D2962"/>
      <c r="L2962"/>
      <c r="R2962"/>
      <c r="S2962"/>
      <c r="T2962"/>
      <c r="U2962"/>
    </row>
    <row r="2963" spans="1:21">
      <c r="A2963"/>
      <c r="C2963"/>
      <c r="D2963"/>
      <c r="L2963"/>
      <c r="R2963"/>
      <c r="S2963"/>
      <c r="T2963"/>
      <c r="U2963"/>
    </row>
    <row r="2964" spans="1:21">
      <c r="A2964"/>
      <c r="C2964"/>
      <c r="D2964"/>
      <c r="L2964"/>
      <c r="R2964"/>
      <c r="S2964"/>
      <c r="T2964"/>
      <c r="U2964"/>
    </row>
    <row r="2965" spans="1:21">
      <c r="A2965"/>
      <c r="C2965"/>
      <c r="D2965"/>
      <c r="L2965"/>
      <c r="R2965"/>
      <c r="S2965"/>
      <c r="T2965"/>
      <c r="U2965"/>
    </row>
    <row r="2966" spans="1:21">
      <c r="A2966"/>
      <c r="C2966"/>
      <c r="D2966"/>
      <c r="L2966"/>
      <c r="R2966"/>
      <c r="S2966"/>
      <c r="T2966"/>
      <c r="U2966"/>
    </row>
    <row r="2967" spans="1:21">
      <c r="A2967"/>
      <c r="C2967"/>
      <c r="D2967"/>
      <c r="L2967"/>
      <c r="R2967"/>
      <c r="S2967"/>
      <c r="T2967"/>
      <c r="U2967"/>
    </row>
    <row r="2968" spans="1:21">
      <c r="A2968"/>
      <c r="C2968"/>
      <c r="D2968"/>
      <c r="L2968"/>
      <c r="R2968"/>
      <c r="S2968"/>
      <c r="T2968"/>
      <c r="U2968"/>
    </row>
    <row r="2969" spans="1:21">
      <c r="A2969"/>
      <c r="C2969"/>
      <c r="D2969"/>
      <c r="L2969"/>
      <c r="R2969"/>
      <c r="S2969"/>
      <c r="T2969"/>
      <c r="U2969"/>
    </row>
    <row r="2970" spans="1:21">
      <c r="A2970"/>
      <c r="C2970"/>
      <c r="D2970"/>
      <c r="L2970"/>
      <c r="R2970"/>
      <c r="S2970"/>
      <c r="T2970"/>
      <c r="U2970"/>
    </row>
    <row r="2971" spans="1:21">
      <c r="A2971"/>
      <c r="C2971"/>
      <c r="D2971"/>
      <c r="L2971"/>
      <c r="R2971"/>
      <c r="S2971"/>
      <c r="T2971"/>
      <c r="U2971"/>
    </row>
    <row r="2972" spans="1:21">
      <c r="A2972"/>
      <c r="C2972"/>
      <c r="D2972"/>
      <c r="L2972"/>
      <c r="R2972"/>
      <c r="S2972"/>
      <c r="T2972"/>
      <c r="U2972"/>
    </row>
    <row r="2973" spans="1:21">
      <c r="A2973"/>
      <c r="C2973"/>
      <c r="D2973"/>
      <c r="L2973"/>
      <c r="R2973"/>
      <c r="S2973"/>
      <c r="T2973"/>
      <c r="U2973"/>
    </row>
    <row r="2974" spans="1:21">
      <c r="A2974"/>
      <c r="C2974"/>
      <c r="D2974"/>
      <c r="L2974"/>
      <c r="R2974"/>
      <c r="S2974"/>
      <c r="T2974"/>
      <c r="U2974"/>
    </row>
    <row r="2975" spans="1:21">
      <c r="A2975"/>
      <c r="C2975"/>
      <c r="D2975"/>
      <c r="L2975"/>
      <c r="R2975"/>
      <c r="S2975"/>
      <c r="T2975"/>
      <c r="U2975"/>
    </row>
    <row r="2976" spans="1:21">
      <c r="A2976"/>
      <c r="C2976"/>
      <c r="D2976"/>
      <c r="L2976"/>
      <c r="R2976"/>
      <c r="S2976"/>
      <c r="T2976"/>
      <c r="U2976"/>
    </row>
    <row r="2977" spans="1:21">
      <c r="A2977"/>
      <c r="C2977"/>
      <c r="D2977"/>
      <c r="L2977"/>
      <c r="R2977"/>
      <c r="S2977"/>
      <c r="T2977"/>
      <c r="U2977"/>
    </row>
    <row r="2978" spans="1:21">
      <c r="A2978"/>
      <c r="C2978"/>
      <c r="D2978"/>
      <c r="L2978"/>
      <c r="R2978"/>
      <c r="S2978"/>
      <c r="T2978"/>
      <c r="U2978"/>
    </row>
    <row r="2979" spans="1:21">
      <c r="A2979"/>
      <c r="C2979"/>
      <c r="D2979"/>
      <c r="L2979"/>
      <c r="R2979"/>
      <c r="S2979"/>
      <c r="T2979"/>
      <c r="U2979"/>
    </row>
    <row r="2980" spans="1:21">
      <c r="A2980"/>
      <c r="C2980"/>
      <c r="D2980"/>
      <c r="L2980"/>
      <c r="R2980"/>
      <c r="S2980"/>
      <c r="T2980"/>
      <c r="U2980"/>
    </row>
    <row r="2981" spans="1:21">
      <c r="A2981"/>
      <c r="C2981"/>
      <c r="D2981"/>
      <c r="L2981"/>
      <c r="R2981"/>
      <c r="S2981"/>
      <c r="T2981"/>
      <c r="U2981"/>
    </row>
    <row r="2982" spans="1:21">
      <c r="A2982"/>
      <c r="C2982"/>
      <c r="D2982"/>
      <c r="L2982"/>
      <c r="R2982"/>
      <c r="S2982"/>
      <c r="T2982"/>
      <c r="U2982"/>
    </row>
    <row r="2983" spans="1:21">
      <c r="A2983"/>
      <c r="C2983"/>
      <c r="D2983"/>
      <c r="L2983"/>
      <c r="R2983"/>
      <c r="S2983"/>
      <c r="T2983"/>
      <c r="U2983"/>
    </row>
    <row r="2984" spans="1:21">
      <c r="A2984"/>
      <c r="C2984"/>
      <c r="D2984"/>
      <c r="L2984"/>
      <c r="R2984"/>
      <c r="S2984"/>
      <c r="T2984"/>
      <c r="U2984"/>
    </row>
    <row r="2985" spans="1:21">
      <c r="A2985"/>
      <c r="C2985"/>
      <c r="D2985"/>
      <c r="L2985"/>
      <c r="R2985"/>
      <c r="S2985"/>
      <c r="T2985"/>
      <c r="U2985"/>
    </row>
    <row r="2986" spans="1:21">
      <c r="A2986"/>
      <c r="C2986"/>
      <c r="D2986"/>
      <c r="L2986"/>
      <c r="R2986"/>
      <c r="S2986"/>
      <c r="T2986"/>
      <c r="U2986"/>
    </row>
    <row r="2987" spans="1:21">
      <c r="A2987"/>
      <c r="C2987"/>
      <c r="D2987"/>
      <c r="L2987"/>
      <c r="R2987"/>
      <c r="S2987"/>
      <c r="T2987"/>
      <c r="U2987"/>
    </row>
    <row r="2988" spans="1:21">
      <c r="A2988"/>
      <c r="C2988"/>
      <c r="D2988"/>
      <c r="L2988"/>
      <c r="R2988"/>
      <c r="S2988"/>
      <c r="T2988"/>
      <c r="U2988"/>
    </row>
    <row r="2989" spans="1:21">
      <c r="A2989"/>
      <c r="C2989"/>
      <c r="D2989"/>
      <c r="L2989"/>
      <c r="R2989"/>
      <c r="S2989"/>
      <c r="T2989"/>
      <c r="U2989"/>
    </row>
    <row r="2990" spans="1:21">
      <c r="A2990"/>
      <c r="C2990"/>
      <c r="D2990"/>
      <c r="L2990"/>
      <c r="R2990"/>
      <c r="S2990"/>
      <c r="T2990"/>
      <c r="U2990"/>
    </row>
    <row r="2991" spans="1:21">
      <c r="A2991"/>
      <c r="C2991"/>
      <c r="D2991"/>
      <c r="L2991"/>
      <c r="R2991"/>
      <c r="S2991"/>
      <c r="T2991"/>
      <c r="U2991"/>
    </row>
    <row r="2992" spans="1:21">
      <c r="A2992"/>
      <c r="C2992"/>
      <c r="D2992"/>
      <c r="L2992"/>
      <c r="R2992"/>
      <c r="S2992"/>
      <c r="T2992"/>
      <c r="U2992"/>
    </row>
    <row r="2993" spans="1:21">
      <c r="A2993"/>
      <c r="C2993"/>
      <c r="D2993"/>
      <c r="L2993"/>
      <c r="R2993"/>
      <c r="S2993"/>
      <c r="T2993"/>
      <c r="U2993"/>
    </row>
    <row r="2994" spans="1:21">
      <c r="A2994"/>
      <c r="C2994"/>
      <c r="D2994"/>
      <c r="L2994"/>
      <c r="R2994"/>
      <c r="S2994"/>
      <c r="T2994"/>
      <c r="U2994"/>
    </row>
    <row r="2995" spans="1:21">
      <c r="A2995"/>
      <c r="C2995"/>
      <c r="D2995"/>
      <c r="L2995"/>
      <c r="R2995"/>
      <c r="S2995"/>
      <c r="T2995"/>
      <c r="U2995"/>
    </row>
    <row r="2996" spans="1:21">
      <c r="A2996"/>
      <c r="C2996"/>
      <c r="D2996"/>
      <c r="L2996"/>
      <c r="R2996"/>
      <c r="S2996"/>
      <c r="T2996"/>
      <c r="U2996"/>
    </row>
    <row r="2997" spans="1:21">
      <c r="A2997"/>
      <c r="C2997"/>
      <c r="D2997"/>
      <c r="L2997"/>
      <c r="R2997"/>
      <c r="S2997"/>
      <c r="T2997"/>
      <c r="U2997"/>
    </row>
    <row r="2998" spans="1:21">
      <c r="A2998"/>
      <c r="C2998"/>
      <c r="D2998"/>
      <c r="L2998"/>
      <c r="R2998"/>
      <c r="S2998"/>
      <c r="T2998"/>
      <c r="U2998"/>
    </row>
    <row r="2999" spans="1:21">
      <c r="A2999"/>
      <c r="C2999"/>
      <c r="D2999"/>
      <c r="L2999"/>
      <c r="R2999"/>
      <c r="S2999"/>
      <c r="T2999"/>
      <c r="U2999"/>
    </row>
    <row r="3000" spans="1:21">
      <c r="A3000"/>
      <c r="C3000"/>
      <c r="D3000"/>
      <c r="L3000"/>
      <c r="R3000"/>
      <c r="S3000"/>
      <c r="T3000"/>
      <c r="U3000"/>
    </row>
    <row r="3001" spans="1:21">
      <c r="A3001"/>
      <c r="C3001"/>
      <c r="D3001"/>
      <c r="L3001"/>
      <c r="R3001"/>
      <c r="S3001"/>
      <c r="T3001"/>
      <c r="U3001"/>
    </row>
    <row r="3002" spans="1:21">
      <c r="A3002"/>
      <c r="C3002"/>
      <c r="D3002"/>
      <c r="L3002"/>
      <c r="R3002"/>
      <c r="S3002"/>
      <c r="T3002"/>
      <c r="U3002"/>
    </row>
    <row r="3003" spans="1:21">
      <c r="A3003"/>
      <c r="C3003"/>
      <c r="D3003"/>
      <c r="L3003"/>
      <c r="R3003"/>
      <c r="S3003"/>
      <c r="T3003"/>
      <c r="U3003"/>
    </row>
    <row r="3004" spans="1:21">
      <c r="A3004"/>
      <c r="C3004"/>
      <c r="D3004"/>
      <c r="L3004"/>
      <c r="R3004"/>
      <c r="S3004"/>
      <c r="T3004"/>
      <c r="U3004"/>
    </row>
    <row r="3005" spans="1:21">
      <c r="A3005"/>
      <c r="C3005"/>
      <c r="D3005"/>
      <c r="L3005"/>
      <c r="R3005"/>
      <c r="S3005"/>
      <c r="T3005"/>
      <c r="U3005"/>
    </row>
    <row r="3006" spans="1:21">
      <c r="A3006"/>
      <c r="C3006"/>
      <c r="D3006"/>
      <c r="L3006"/>
      <c r="R3006"/>
      <c r="S3006"/>
      <c r="T3006"/>
      <c r="U3006"/>
    </row>
    <row r="3007" spans="1:21">
      <c r="A3007"/>
      <c r="C3007"/>
      <c r="D3007"/>
      <c r="L3007"/>
      <c r="R3007"/>
      <c r="S3007"/>
      <c r="T3007"/>
      <c r="U3007"/>
    </row>
    <row r="3008" spans="1:21">
      <c r="A3008"/>
      <c r="C3008"/>
      <c r="D3008"/>
      <c r="L3008"/>
      <c r="R3008"/>
      <c r="S3008"/>
      <c r="T3008"/>
      <c r="U3008"/>
    </row>
    <row r="3009" spans="1:21">
      <c r="A3009"/>
      <c r="C3009"/>
      <c r="D3009"/>
      <c r="L3009"/>
      <c r="R3009"/>
      <c r="S3009"/>
      <c r="T3009"/>
      <c r="U3009"/>
    </row>
    <row r="3010" spans="1:21">
      <c r="A3010"/>
      <c r="C3010"/>
      <c r="D3010"/>
      <c r="L3010"/>
      <c r="R3010"/>
      <c r="S3010"/>
      <c r="T3010"/>
      <c r="U3010"/>
    </row>
    <row r="3011" spans="1:21">
      <c r="A3011"/>
      <c r="C3011"/>
      <c r="D3011"/>
      <c r="L3011"/>
      <c r="R3011"/>
      <c r="S3011"/>
      <c r="T3011"/>
      <c r="U3011"/>
    </row>
    <row r="3012" spans="1:21">
      <c r="A3012"/>
      <c r="C3012"/>
      <c r="D3012"/>
      <c r="L3012"/>
      <c r="R3012"/>
      <c r="S3012"/>
      <c r="T3012"/>
      <c r="U3012"/>
    </row>
    <row r="3013" spans="1:21">
      <c r="A3013"/>
      <c r="C3013"/>
      <c r="D3013"/>
      <c r="L3013"/>
      <c r="R3013"/>
      <c r="S3013"/>
      <c r="T3013"/>
      <c r="U3013"/>
    </row>
    <row r="3014" spans="1:21">
      <c r="A3014"/>
      <c r="C3014"/>
      <c r="D3014"/>
      <c r="L3014"/>
      <c r="R3014"/>
      <c r="S3014"/>
      <c r="T3014"/>
      <c r="U3014"/>
    </row>
    <row r="3015" spans="1:21">
      <c r="A3015"/>
      <c r="C3015"/>
      <c r="D3015"/>
      <c r="L3015"/>
      <c r="R3015"/>
      <c r="S3015"/>
      <c r="T3015"/>
      <c r="U3015"/>
    </row>
    <row r="3016" spans="1:21">
      <c r="A3016"/>
      <c r="C3016"/>
      <c r="D3016"/>
      <c r="L3016"/>
      <c r="R3016"/>
      <c r="S3016"/>
      <c r="T3016"/>
      <c r="U3016"/>
    </row>
    <row r="3017" spans="1:21">
      <c r="A3017"/>
      <c r="C3017"/>
      <c r="D3017"/>
      <c r="L3017"/>
      <c r="R3017"/>
      <c r="S3017"/>
      <c r="T3017"/>
      <c r="U3017"/>
    </row>
    <row r="3018" spans="1:21">
      <c r="A3018"/>
      <c r="C3018"/>
      <c r="D3018"/>
      <c r="L3018"/>
      <c r="R3018"/>
      <c r="S3018"/>
      <c r="T3018"/>
      <c r="U3018"/>
    </row>
    <row r="3019" spans="1:21">
      <c r="A3019"/>
      <c r="C3019"/>
      <c r="D3019"/>
      <c r="L3019"/>
      <c r="R3019"/>
      <c r="S3019"/>
      <c r="T3019"/>
      <c r="U3019"/>
    </row>
    <row r="3020" spans="1:21">
      <c r="A3020"/>
      <c r="C3020"/>
      <c r="D3020"/>
      <c r="L3020"/>
      <c r="R3020"/>
      <c r="S3020"/>
      <c r="T3020"/>
      <c r="U3020"/>
    </row>
    <row r="3021" spans="1:21">
      <c r="A3021"/>
      <c r="C3021"/>
      <c r="D3021"/>
      <c r="L3021"/>
      <c r="R3021"/>
      <c r="S3021"/>
      <c r="T3021"/>
      <c r="U3021"/>
    </row>
    <row r="3022" spans="1:21">
      <c r="A3022"/>
      <c r="C3022"/>
      <c r="D3022"/>
      <c r="L3022"/>
      <c r="R3022"/>
      <c r="S3022"/>
      <c r="T3022"/>
      <c r="U3022"/>
    </row>
    <row r="3023" spans="1:21">
      <c r="A3023"/>
      <c r="C3023"/>
      <c r="D3023"/>
      <c r="L3023"/>
      <c r="R3023"/>
      <c r="S3023"/>
      <c r="T3023"/>
      <c r="U3023"/>
    </row>
    <row r="3024" spans="1:21">
      <c r="A3024"/>
      <c r="C3024"/>
      <c r="D3024"/>
      <c r="L3024"/>
      <c r="R3024"/>
      <c r="S3024"/>
      <c r="T3024"/>
      <c r="U3024"/>
    </row>
    <row r="3025" spans="1:21">
      <c r="A3025"/>
      <c r="C3025"/>
      <c r="D3025"/>
      <c r="L3025"/>
      <c r="R3025"/>
      <c r="S3025"/>
      <c r="T3025"/>
      <c r="U3025"/>
    </row>
    <row r="3026" spans="1:21">
      <c r="A3026"/>
      <c r="C3026"/>
      <c r="D3026"/>
      <c r="L3026"/>
      <c r="R3026"/>
      <c r="S3026"/>
      <c r="T3026"/>
      <c r="U3026"/>
    </row>
    <row r="3027" spans="1:21">
      <c r="A3027"/>
      <c r="C3027"/>
      <c r="D3027"/>
      <c r="L3027"/>
      <c r="R3027"/>
      <c r="S3027"/>
      <c r="T3027"/>
      <c r="U3027"/>
    </row>
    <row r="3028" spans="1:21">
      <c r="A3028"/>
      <c r="C3028"/>
      <c r="D3028"/>
      <c r="L3028"/>
      <c r="R3028"/>
      <c r="S3028"/>
      <c r="T3028"/>
      <c r="U3028"/>
    </row>
    <row r="3029" spans="1:21">
      <c r="A3029"/>
      <c r="C3029"/>
      <c r="D3029"/>
      <c r="L3029"/>
      <c r="R3029"/>
      <c r="S3029"/>
      <c r="T3029"/>
      <c r="U3029"/>
    </row>
    <row r="3030" spans="1:21">
      <c r="A3030"/>
      <c r="C3030"/>
      <c r="D3030"/>
      <c r="L3030"/>
      <c r="R3030"/>
      <c r="S3030"/>
      <c r="T3030"/>
      <c r="U3030"/>
    </row>
    <row r="3031" spans="1:21">
      <c r="A3031"/>
      <c r="C3031"/>
      <c r="D3031"/>
      <c r="L3031"/>
      <c r="R3031"/>
      <c r="S3031"/>
      <c r="T3031"/>
      <c r="U3031"/>
    </row>
    <row r="3032" spans="1:21">
      <c r="A3032"/>
      <c r="C3032"/>
      <c r="D3032"/>
      <c r="L3032"/>
      <c r="R3032"/>
      <c r="S3032"/>
      <c r="T3032"/>
      <c r="U3032"/>
    </row>
    <row r="3033" spans="1:21">
      <c r="A3033"/>
      <c r="C3033"/>
      <c r="D3033"/>
      <c r="L3033"/>
      <c r="R3033"/>
      <c r="S3033"/>
      <c r="T3033"/>
      <c r="U3033"/>
    </row>
    <row r="3034" spans="1:21">
      <c r="A3034"/>
      <c r="C3034"/>
      <c r="D3034"/>
      <c r="L3034"/>
      <c r="R3034"/>
      <c r="S3034"/>
      <c r="T3034"/>
      <c r="U3034"/>
    </row>
    <row r="3035" spans="1:21">
      <c r="A3035"/>
      <c r="C3035"/>
      <c r="D3035"/>
      <c r="L3035"/>
      <c r="R3035"/>
      <c r="S3035"/>
      <c r="T3035"/>
      <c r="U3035"/>
    </row>
    <row r="3036" spans="1:21">
      <c r="A3036"/>
      <c r="C3036"/>
      <c r="D3036"/>
      <c r="L3036"/>
      <c r="R3036"/>
      <c r="S3036"/>
      <c r="T3036"/>
      <c r="U3036"/>
    </row>
    <row r="3037" spans="1:21">
      <c r="A3037"/>
      <c r="C3037"/>
      <c r="D3037"/>
      <c r="L3037"/>
      <c r="R3037"/>
      <c r="S3037"/>
      <c r="T3037"/>
      <c r="U3037"/>
    </row>
    <row r="3038" spans="1:21">
      <c r="A3038"/>
      <c r="C3038"/>
      <c r="D3038"/>
      <c r="L3038"/>
      <c r="R3038"/>
      <c r="S3038"/>
      <c r="T3038"/>
      <c r="U3038"/>
    </row>
    <row r="3039" spans="1:21">
      <c r="A3039"/>
      <c r="C3039"/>
      <c r="D3039"/>
      <c r="L3039"/>
      <c r="R3039"/>
      <c r="S3039"/>
      <c r="T3039"/>
      <c r="U3039"/>
    </row>
    <row r="3040" spans="1:21">
      <c r="A3040"/>
      <c r="C3040"/>
      <c r="D3040"/>
      <c r="L3040"/>
      <c r="R3040"/>
      <c r="S3040"/>
      <c r="T3040"/>
      <c r="U3040"/>
    </row>
    <row r="3041" spans="1:21">
      <c r="A3041"/>
      <c r="C3041"/>
      <c r="D3041"/>
      <c r="L3041"/>
      <c r="R3041"/>
      <c r="S3041"/>
      <c r="T3041"/>
      <c r="U3041"/>
    </row>
    <row r="3042" spans="1:21">
      <c r="A3042"/>
      <c r="C3042"/>
      <c r="D3042"/>
      <c r="L3042"/>
      <c r="R3042"/>
      <c r="S3042"/>
      <c r="T3042"/>
      <c r="U3042"/>
    </row>
    <row r="3043" spans="1:21">
      <c r="A3043"/>
      <c r="C3043"/>
      <c r="D3043"/>
      <c r="L3043"/>
      <c r="R3043"/>
      <c r="S3043"/>
      <c r="T3043"/>
      <c r="U3043"/>
    </row>
    <row r="3044" spans="1:21">
      <c r="A3044"/>
      <c r="C3044"/>
      <c r="D3044"/>
      <c r="L3044"/>
      <c r="R3044"/>
      <c r="S3044"/>
      <c r="T3044"/>
      <c r="U3044"/>
    </row>
    <row r="3045" spans="1:21">
      <c r="A3045"/>
      <c r="C3045"/>
      <c r="D3045"/>
      <c r="L3045"/>
      <c r="R3045"/>
      <c r="S3045"/>
      <c r="T3045"/>
      <c r="U3045"/>
    </row>
    <row r="3046" spans="1:21">
      <c r="A3046"/>
      <c r="C3046"/>
      <c r="D3046"/>
      <c r="L3046"/>
      <c r="R3046"/>
      <c r="S3046"/>
      <c r="T3046"/>
      <c r="U3046"/>
    </row>
    <row r="3047" spans="1:21">
      <c r="A3047"/>
      <c r="C3047"/>
      <c r="D3047"/>
      <c r="L3047"/>
      <c r="R3047"/>
      <c r="S3047"/>
      <c r="T3047"/>
      <c r="U3047"/>
    </row>
    <row r="3048" spans="1:21">
      <c r="A3048"/>
      <c r="C3048"/>
      <c r="D3048"/>
      <c r="L3048"/>
      <c r="R3048"/>
      <c r="S3048"/>
      <c r="T3048"/>
      <c r="U3048"/>
    </row>
    <row r="3049" spans="1:21">
      <c r="A3049"/>
      <c r="C3049"/>
      <c r="D3049"/>
      <c r="L3049"/>
      <c r="R3049"/>
      <c r="S3049"/>
      <c r="T3049"/>
      <c r="U3049"/>
    </row>
    <row r="3050" spans="1:21">
      <c r="A3050"/>
      <c r="C3050"/>
      <c r="D3050"/>
      <c r="L3050"/>
      <c r="R3050"/>
      <c r="S3050"/>
      <c r="T3050"/>
      <c r="U3050"/>
    </row>
    <row r="3051" spans="1:21">
      <c r="A3051"/>
      <c r="C3051"/>
      <c r="D3051"/>
      <c r="L3051"/>
      <c r="R3051"/>
      <c r="S3051"/>
      <c r="T3051"/>
      <c r="U3051"/>
    </row>
    <row r="3052" spans="1:21">
      <c r="A3052"/>
      <c r="C3052"/>
      <c r="D3052"/>
      <c r="L3052"/>
      <c r="R3052"/>
      <c r="S3052"/>
      <c r="T3052"/>
      <c r="U3052"/>
    </row>
    <row r="3053" spans="1:21">
      <c r="A3053"/>
      <c r="C3053"/>
      <c r="D3053"/>
      <c r="L3053"/>
      <c r="R3053"/>
      <c r="S3053"/>
      <c r="T3053"/>
      <c r="U3053"/>
    </row>
    <row r="3054" spans="1:21">
      <c r="A3054"/>
      <c r="C3054"/>
      <c r="D3054"/>
      <c r="L3054"/>
      <c r="R3054"/>
      <c r="S3054"/>
      <c r="T3054"/>
      <c r="U3054"/>
    </row>
    <row r="3055" spans="1:21">
      <c r="A3055"/>
      <c r="C3055"/>
      <c r="D3055"/>
      <c r="L3055"/>
      <c r="R3055"/>
      <c r="S3055"/>
      <c r="T3055"/>
      <c r="U3055"/>
    </row>
    <row r="3056" spans="1:21">
      <c r="A3056"/>
      <c r="C3056"/>
      <c r="D3056"/>
      <c r="L3056"/>
      <c r="R3056"/>
      <c r="S3056"/>
      <c r="T3056"/>
      <c r="U3056"/>
    </row>
    <row r="3057" spans="1:21">
      <c r="A3057"/>
      <c r="C3057"/>
      <c r="D3057"/>
      <c r="L3057"/>
      <c r="R3057"/>
      <c r="S3057"/>
      <c r="T3057"/>
      <c r="U3057"/>
    </row>
    <row r="3058" spans="1:21">
      <c r="A3058"/>
      <c r="C3058"/>
      <c r="D3058"/>
      <c r="L3058"/>
      <c r="R3058"/>
      <c r="S3058"/>
      <c r="T3058"/>
      <c r="U3058"/>
    </row>
    <row r="3059" spans="1:21">
      <c r="A3059"/>
      <c r="C3059"/>
      <c r="D3059"/>
      <c r="L3059"/>
      <c r="R3059"/>
      <c r="S3059"/>
      <c r="T3059"/>
      <c r="U3059"/>
    </row>
    <row r="3060" spans="1:21">
      <c r="A3060"/>
      <c r="C3060"/>
      <c r="D3060"/>
      <c r="L3060"/>
      <c r="R3060"/>
      <c r="S3060"/>
      <c r="T3060"/>
      <c r="U3060"/>
    </row>
    <row r="3061" spans="1:21">
      <c r="A3061"/>
      <c r="C3061"/>
      <c r="D3061"/>
      <c r="L3061"/>
      <c r="R3061"/>
      <c r="S3061"/>
      <c r="T3061"/>
      <c r="U3061"/>
    </row>
    <row r="3062" spans="1:21">
      <c r="A3062"/>
      <c r="C3062"/>
      <c r="D3062"/>
      <c r="L3062"/>
      <c r="R3062"/>
      <c r="S3062"/>
      <c r="T3062"/>
      <c r="U3062"/>
    </row>
    <row r="3063" spans="1:21">
      <c r="A3063"/>
      <c r="C3063"/>
      <c r="D3063"/>
      <c r="L3063"/>
      <c r="R3063"/>
      <c r="S3063"/>
      <c r="T3063"/>
      <c r="U3063"/>
    </row>
    <row r="3064" spans="1:21">
      <c r="A3064"/>
      <c r="C3064"/>
      <c r="D3064"/>
      <c r="L3064"/>
      <c r="R3064"/>
      <c r="S3064"/>
      <c r="T3064"/>
      <c r="U3064"/>
    </row>
    <row r="3065" spans="1:21">
      <c r="A3065"/>
      <c r="C3065"/>
      <c r="D3065"/>
      <c r="L3065"/>
      <c r="R3065"/>
      <c r="S3065"/>
      <c r="T3065"/>
      <c r="U3065"/>
    </row>
    <row r="3066" spans="1:21">
      <c r="A3066"/>
      <c r="C3066"/>
      <c r="D3066"/>
      <c r="L3066"/>
      <c r="R3066"/>
      <c r="S3066"/>
      <c r="T3066"/>
      <c r="U3066"/>
    </row>
    <row r="3067" spans="1:21">
      <c r="A3067"/>
      <c r="C3067"/>
      <c r="D3067"/>
      <c r="L3067"/>
      <c r="R3067"/>
      <c r="S3067"/>
      <c r="T3067"/>
      <c r="U3067"/>
    </row>
    <row r="3068" spans="1:21">
      <c r="A3068"/>
      <c r="C3068"/>
      <c r="D3068"/>
      <c r="L3068"/>
      <c r="R3068"/>
      <c r="S3068"/>
      <c r="T3068"/>
      <c r="U3068"/>
    </row>
    <row r="3069" spans="1:21">
      <c r="A3069"/>
      <c r="C3069"/>
      <c r="D3069"/>
      <c r="L3069"/>
      <c r="R3069"/>
      <c r="S3069"/>
      <c r="T3069"/>
      <c r="U3069"/>
    </row>
    <row r="3070" spans="1:21">
      <c r="A3070"/>
      <c r="C3070"/>
      <c r="D3070"/>
      <c r="L3070"/>
      <c r="R3070"/>
      <c r="S3070"/>
      <c r="T3070"/>
      <c r="U3070"/>
    </row>
    <row r="3071" spans="1:21">
      <c r="A3071"/>
      <c r="C3071"/>
      <c r="D3071"/>
      <c r="L3071"/>
      <c r="R3071"/>
      <c r="S3071"/>
      <c r="T3071"/>
      <c r="U3071"/>
    </row>
    <row r="3072" spans="1:21">
      <c r="A3072"/>
      <c r="C3072"/>
      <c r="D3072"/>
      <c r="L3072"/>
      <c r="R3072"/>
      <c r="S3072"/>
      <c r="T3072"/>
      <c r="U3072"/>
    </row>
    <row r="3073" spans="1:21">
      <c r="A3073"/>
      <c r="C3073"/>
      <c r="D3073"/>
      <c r="L3073"/>
      <c r="R3073"/>
      <c r="S3073"/>
      <c r="T3073"/>
      <c r="U3073"/>
    </row>
    <row r="3074" spans="1:21">
      <c r="A3074"/>
      <c r="C3074"/>
      <c r="D3074"/>
      <c r="L3074"/>
      <c r="R3074"/>
      <c r="S3074"/>
      <c r="T3074"/>
      <c r="U3074"/>
    </row>
    <row r="3075" spans="1:21">
      <c r="A3075"/>
      <c r="C3075"/>
      <c r="D3075"/>
      <c r="L3075"/>
      <c r="R3075"/>
      <c r="S3075"/>
      <c r="T3075"/>
      <c r="U3075"/>
    </row>
    <row r="3076" spans="1:21">
      <c r="A3076"/>
      <c r="C3076"/>
      <c r="D3076"/>
      <c r="L3076"/>
      <c r="R3076"/>
      <c r="S3076"/>
      <c r="T3076"/>
      <c r="U3076"/>
    </row>
    <row r="3077" spans="1:21">
      <c r="A3077"/>
      <c r="C3077"/>
      <c r="D3077"/>
      <c r="L3077"/>
      <c r="R3077"/>
      <c r="S3077"/>
      <c r="T3077"/>
      <c r="U3077"/>
    </row>
    <row r="3078" spans="1:21">
      <c r="A3078"/>
      <c r="C3078"/>
      <c r="D3078"/>
      <c r="L3078"/>
      <c r="R3078"/>
      <c r="S3078"/>
      <c r="T3078"/>
      <c r="U3078"/>
    </row>
    <row r="3079" spans="1:21">
      <c r="A3079"/>
      <c r="C3079"/>
      <c r="D3079"/>
      <c r="L3079"/>
      <c r="R3079"/>
      <c r="S3079"/>
      <c r="T3079"/>
      <c r="U3079"/>
    </row>
    <row r="3080" spans="1:21">
      <c r="A3080"/>
      <c r="C3080"/>
      <c r="D3080"/>
      <c r="L3080"/>
      <c r="R3080"/>
      <c r="S3080"/>
      <c r="T3080"/>
      <c r="U3080"/>
    </row>
    <row r="3081" spans="1:21">
      <c r="A3081"/>
      <c r="C3081"/>
      <c r="D3081"/>
      <c r="L3081"/>
      <c r="R3081"/>
      <c r="S3081"/>
      <c r="T3081"/>
      <c r="U3081"/>
    </row>
    <row r="3082" spans="1:21">
      <c r="A3082"/>
      <c r="C3082"/>
      <c r="D3082"/>
      <c r="L3082"/>
      <c r="R3082"/>
      <c r="S3082"/>
      <c r="T3082"/>
      <c r="U3082"/>
    </row>
    <row r="3083" spans="1:21">
      <c r="A3083"/>
      <c r="C3083"/>
      <c r="D3083"/>
      <c r="L3083"/>
      <c r="R3083"/>
      <c r="S3083"/>
      <c r="T3083"/>
      <c r="U3083"/>
    </row>
    <row r="3084" spans="1:21">
      <c r="A3084"/>
      <c r="C3084"/>
      <c r="D3084"/>
      <c r="L3084"/>
      <c r="R3084"/>
      <c r="S3084"/>
      <c r="T3084"/>
      <c r="U3084"/>
    </row>
    <row r="3085" spans="1:21">
      <c r="A3085"/>
      <c r="C3085"/>
      <c r="D3085"/>
      <c r="L3085"/>
      <c r="R3085"/>
      <c r="S3085"/>
      <c r="T3085"/>
      <c r="U3085"/>
    </row>
    <row r="3086" spans="1:21">
      <c r="A3086"/>
      <c r="C3086"/>
      <c r="D3086"/>
      <c r="L3086"/>
      <c r="R3086"/>
      <c r="S3086"/>
      <c r="T3086"/>
      <c r="U3086"/>
    </row>
    <row r="3087" spans="1:21">
      <c r="A3087"/>
      <c r="C3087"/>
      <c r="D3087"/>
      <c r="L3087"/>
      <c r="R3087"/>
      <c r="S3087"/>
      <c r="T3087"/>
      <c r="U3087"/>
    </row>
    <row r="3088" spans="1:21">
      <c r="A3088"/>
      <c r="C3088"/>
      <c r="D3088"/>
      <c r="L3088"/>
      <c r="R3088"/>
      <c r="S3088"/>
      <c r="T3088"/>
      <c r="U3088"/>
    </row>
    <row r="3089" spans="1:21">
      <c r="A3089"/>
      <c r="C3089"/>
      <c r="D3089"/>
      <c r="L3089"/>
      <c r="R3089"/>
      <c r="S3089"/>
      <c r="T3089"/>
      <c r="U3089"/>
    </row>
    <row r="3090" spans="1:21">
      <c r="A3090"/>
      <c r="C3090"/>
      <c r="D3090"/>
      <c r="L3090"/>
      <c r="R3090"/>
      <c r="S3090"/>
      <c r="T3090"/>
      <c r="U3090"/>
    </row>
    <row r="3091" spans="1:21">
      <c r="A3091"/>
      <c r="C3091"/>
      <c r="D3091"/>
      <c r="L3091"/>
      <c r="R3091"/>
      <c r="S3091"/>
      <c r="T3091"/>
      <c r="U3091"/>
    </row>
    <row r="3092" spans="1:21">
      <c r="A3092"/>
      <c r="C3092"/>
      <c r="D3092"/>
      <c r="L3092"/>
      <c r="R3092"/>
      <c r="S3092"/>
      <c r="T3092"/>
      <c r="U3092"/>
    </row>
    <row r="3093" spans="1:21">
      <c r="A3093"/>
      <c r="C3093"/>
      <c r="D3093"/>
      <c r="L3093"/>
      <c r="R3093"/>
      <c r="S3093"/>
      <c r="T3093"/>
      <c r="U3093"/>
    </row>
    <row r="3094" spans="1:21">
      <c r="A3094"/>
      <c r="C3094"/>
      <c r="D3094"/>
      <c r="L3094"/>
      <c r="R3094"/>
      <c r="S3094"/>
      <c r="T3094"/>
      <c r="U3094"/>
    </row>
    <row r="3095" spans="1:21">
      <c r="A3095"/>
      <c r="C3095"/>
      <c r="D3095"/>
      <c r="L3095"/>
      <c r="R3095"/>
      <c r="S3095"/>
      <c r="T3095"/>
      <c r="U3095"/>
    </row>
    <row r="3096" spans="1:21">
      <c r="A3096"/>
      <c r="C3096"/>
      <c r="D3096"/>
      <c r="L3096"/>
      <c r="R3096"/>
      <c r="S3096"/>
      <c r="T3096"/>
      <c r="U3096"/>
    </row>
    <row r="3097" spans="1:21">
      <c r="A3097"/>
      <c r="C3097"/>
      <c r="D3097"/>
      <c r="L3097"/>
      <c r="R3097"/>
      <c r="S3097"/>
      <c r="T3097"/>
      <c r="U3097"/>
    </row>
    <row r="3098" spans="1:21">
      <c r="A3098"/>
      <c r="C3098"/>
      <c r="D3098"/>
      <c r="L3098"/>
      <c r="R3098"/>
      <c r="S3098"/>
      <c r="T3098"/>
      <c r="U3098"/>
    </row>
    <row r="3099" spans="1:21">
      <c r="A3099"/>
      <c r="C3099"/>
      <c r="D3099"/>
      <c r="L3099"/>
      <c r="R3099"/>
      <c r="S3099"/>
      <c r="T3099"/>
      <c r="U3099"/>
    </row>
    <row r="3100" spans="1:21">
      <c r="A3100"/>
      <c r="C3100"/>
      <c r="D3100"/>
      <c r="L3100"/>
      <c r="R3100"/>
      <c r="S3100"/>
      <c r="T3100"/>
      <c r="U3100"/>
    </row>
    <row r="3101" spans="1:21">
      <c r="A3101"/>
      <c r="C3101"/>
      <c r="D3101"/>
      <c r="L3101"/>
      <c r="R3101"/>
      <c r="S3101"/>
      <c r="T3101"/>
      <c r="U3101"/>
    </row>
    <row r="3102" spans="1:21">
      <c r="A3102"/>
      <c r="C3102"/>
      <c r="D3102"/>
      <c r="L3102"/>
      <c r="R3102"/>
      <c r="S3102"/>
      <c r="T3102"/>
      <c r="U3102"/>
    </row>
    <row r="3103" spans="1:21">
      <c r="A3103"/>
      <c r="C3103"/>
      <c r="D3103"/>
      <c r="L3103"/>
      <c r="R3103"/>
      <c r="S3103"/>
      <c r="T3103"/>
      <c r="U3103"/>
    </row>
    <row r="3104" spans="1:21">
      <c r="A3104"/>
      <c r="C3104"/>
      <c r="D3104"/>
      <c r="L3104"/>
      <c r="R3104"/>
      <c r="S3104"/>
      <c r="T3104"/>
      <c r="U3104"/>
    </row>
    <row r="3105" spans="1:21">
      <c r="A3105"/>
      <c r="C3105"/>
      <c r="D3105"/>
      <c r="L3105"/>
      <c r="R3105"/>
      <c r="S3105"/>
      <c r="T3105"/>
      <c r="U3105"/>
    </row>
    <row r="3106" spans="1:21">
      <c r="A3106"/>
      <c r="C3106"/>
      <c r="D3106"/>
      <c r="L3106"/>
      <c r="R3106"/>
      <c r="S3106"/>
      <c r="T3106"/>
      <c r="U3106"/>
    </row>
    <row r="3107" spans="1:21">
      <c r="A3107"/>
      <c r="C3107"/>
      <c r="D3107"/>
      <c r="L3107"/>
      <c r="R3107"/>
      <c r="S3107"/>
      <c r="T3107"/>
      <c r="U3107"/>
    </row>
    <row r="3108" spans="1:21">
      <c r="A3108"/>
      <c r="C3108"/>
      <c r="D3108"/>
      <c r="L3108"/>
      <c r="R3108"/>
      <c r="S3108"/>
      <c r="T3108"/>
      <c r="U3108"/>
    </row>
    <row r="3109" spans="1:21">
      <c r="A3109"/>
      <c r="C3109"/>
      <c r="D3109"/>
      <c r="L3109"/>
      <c r="R3109"/>
      <c r="S3109"/>
      <c r="T3109"/>
      <c r="U3109"/>
    </row>
    <row r="3110" spans="1:21">
      <c r="A3110"/>
      <c r="C3110"/>
      <c r="D3110"/>
      <c r="L3110"/>
      <c r="R3110"/>
      <c r="S3110"/>
      <c r="T3110"/>
      <c r="U3110"/>
    </row>
    <row r="3111" spans="1:21">
      <c r="A3111"/>
      <c r="C3111"/>
      <c r="D3111"/>
      <c r="L3111"/>
      <c r="R3111"/>
      <c r="S3111"/>
      <c r="T3111"/>
      <c r="U3111"/>
    </row>
    <row r="3112" spans="1:21">
      <c r="A3112"/>
      <c r="C3112"/>
      <c r="D3112"/>
      <c r="L3112"/>
      <c r="R3112"/>
      <c r="S3112"/>
      <c r="T3112"/>
      <c r="U3112"/>
    </row>
    <row r="3113" spans="1:21">
      <c r="A3113"/>
      <c r="C3113"/>
      <c r="D3113"/>
      <c r="L3113"/>
      <c r="R3113"/>
      <c r="S3113"/>
      <c r="T3113"/>
      <c r="U3113"/>
    </row>
    <row r="3114" spans="1:21">
      <c r="A3114"/>
      <c r="C3114"/>
      <c r="D3114"/>
      <c r="L3114"/>
      <c r="R3114"/>
      <c r="S3114"/>
      <c r="T3114"/>
      <c r="U3114"/>
    </row>
    <row r="3115" spans="1:21">
      <c r="A3115"/>
      <c r="C3115"/>
      <c r="D3115"/>
      <c r="L3115"/>
      <c r="R3115"/>
      <c r="S3115"/>
      <c r="T3115"/>
      <c r="U3115"/>
    </row>
    <row r="3116" spans="1:21">
      <c r="A3116"/>
      <c r="C3116"/>
      <c r="D3116"/>
      <c r="L3116"/>
      <c r="R3116"/>
      <c r="S3116"/>
      <c r="T3116"/>
      <c r="U3116"/>
    </row>
    <row r="3117" spans="1:21">
      <c r="A3117"/>
      <c r="C3117"/>
      <c r="D3117"/>
      <c r="L3117"/>
      <c r="R3117"/>
      <c r="S3117"/>
      <c r="T3117"/>
      <c r="U3117"/>
    </row>
    <row r="3118" spans="1:21">
      <c r="A3118"/>
      <c r="C3118"/>
      <c r="D3118"/>
      <c r="L3118"/>
      <c r="R3118"/>
      <c r="S3118"/>
      <c r="T3118"/>
      <c r="U3118"/>
    </row>
    <row r="3119" spans="1:21">
      <c r="A3119"/>
      <c r="C3119"/>
      <c r="D3119"/>
      <c r="L3119"/>
      <c r="R3119"/>
      <c r="S3119"/>
      <c r="T3119"/>
      <c r="U3119"/>
    </row>
    <row r="3120" spans="1:21">
      <c r="A3120"/>
      <c r="C3120"/>
      <c r="D3120"/>
      <c r="L3120"/>
      <c r="R3120"/>
      <c r="S3120"/>
      <c r="T3120"/>
      <c r="U3120"/>
    </row>
    <row r="3121" spans="1:21">
      <c r="A3121"/>
      <c r="C3121"/>
      <c r="D3121"/>
      <c r="L3121"/>
      <c r="R3121"/>
      <c r="S3121"/>
      <c r="T3121"/>
      <c r="U3121"/>
    </row>
    <row r="3122" spans="1:21">
      <c r="A3122"/>
      <c r="C3122"/>
      <c r="D3122"/>
      <c r="L3122"/>
      <c r="R3122"/>
      <c r="S3122"/>
      <c r="T3122"/>
      <c r="U3122"/>
    </row>
    <row r="3123" spans="1:21">
      <c r="A3123"/>
      <c r="C3123"/>
      <c r="D3123"/>
      <c r="L3123"/>
      <c r="R3123"/>
      <c r="S3123"/>
      <c r="T3123"/>
      <c r="U3123"/>
    </row>
    <row r="3124" spans="1:21">
      <c r="A3124"/>
      <c r="C3124"/>
      <c r="D3124"/>
      <c r="L3124"/>
      <c r="R3124"/>
      <c r="S3124"/>
      <c r="T3124"/>
      <c r="U3124"/>
    </row>
    <row r="3125" spans="1:21">
      <c r="A3125"/>
      <c r="C3125"/>
      <c r="D3125"/>
      <c r="L3125"/>
      <c r="R3125"/>
      <c r="S3125"/>
      <c r="T3125"/>
      <c r="U3125"/>
    </row>
    <row r="3126" spans="1:21">
      <c r="A3126"/>
      <c r="C3126"/>
      <c r="D3126"/>
      <c r="L3126"/>
      <c r="R3126"/>
      <c r="S3126"/>
      <c r="T3126"/>
      <c r="U3126"/>
    </row>
    <row r="3127" spans="1:21">
      <c r="A3127"/>
      <c r="C3127"/>
      <c r="D3127"/>
      <c r="L3127"/>
      <c r="R3127"/>
      <c r="S3127"/>
      <c r="T3127"/>
      <c r="U3127"/>
    </row>
    <row r="3128" spans="1:21">
      <c r="A3128"/>
      <c r="C3128"/>
      <c r="D3128"/>
      <c r="L3128"/>
      <c r="R3128"/>
      <c r="S3128"/>
      <c r="T3128"/>
      <c r="U3128"/>
    </row>
    <row r="3129" spans="1:21">
      <c r="A3129"/>
      <c r="C3129"/>
      <c r="D3129"/>
      <c r="L3129"/>
      <c r="R3129"/>
      <c r="S3129"/>
      <c r="T3129"/>
      <c r="U3129"/>
    </row>
    <row r="3130" spans="1:21">
      <c r="A3130"/>
      <c r="C3130"/>
      <c r="D3130"/>
      <c r="L3130"/>
      <c r="R3130"/>
      <c r="S3130"/>
      <c r="T3130"/>
      <c r="U3130"/>
    </row>
    <row r="3131" spans="1:21">
      <c r="A3131"/>
      <c r="C3131"/>
      <c r="D3131"/>
      <c r="L3131"/>
      <c r="R3131"/>
      <c r="S3131"/>
      <c r="T3131"/>
      <c r="U3131"/>
    </row>
    <row r="3132" spans="1:21">
      <c r="A3132"/>
      <c r="C3132"/>
      <c r="D3132"/>
      <c r="L3132"/>
      <c r="R3132"/>
      <c r="S3132"/>
      <c r="T3132"/>
      <c r="U3132"/>
    </row>
    <row r="3133" spans="1:21">
      <c r="A3133"/>
      <c r="C3133"/>
      <c r="D3133"/>
      <c r="L3133"/>
      <c r="R3133"/>
      <c r="S3133"/>
      <c r="T3133"/>
      <c r="U3133"/>
    </row>
    <row r="3134" spans="1:21">
      <c r="A3134"/>
      <c r="C3134"/>
      <c r="D3134"/>
      <c r="L3134"/>
      <c r="R3134"/>
      <c r="S3134"/>
      <c r="T3134"/>
      <c r="U3134"/>
    </row>
    <row r="3135" spans="1:21">
      <c r="A3135"/>
      <c r="C3135"/>
      <c r="D3135"/>
      <c r="L3135"/>
      <c r="R3135"/>
      <c r="S3135"/>
      <c r="T3135"/>
      <c r="U3135"/>
    </row>
    <row r="3136" spans="1:21">
      <c r="A3136"/>
      <c r="C3136"/>
      <c r="D3136"/>
      <c r="L3136"/>
      <c r="R3136"/>
      <c r="S3136"/>
      <c r="T3136"/>
      <c r="U3136"/>
    </row>
    <row r="3137" spans="1:21">
      <c r="A3137"/>
      <c r="C3137"/>
      <c r="D3137"/>
      <c r="L3137"/>
      <c r="R3137"/>
      <c r="S3137"/>
      <c r="T3137"/>
      <c r="U3137"/>
    </row>
    <row r="3138" spans="1:21">
      <c r="A3138"/>
      <c r="C3138"/>
      <c r="D3138"/>
      <c r="L3138"/>
      <c r="R3138"/>
      <c r="S3138"/>
      <c r="T3138"/>
      <c r="U3138"/>
    </row>
    <row r="3139" spans="1:21">
      <c r="A3139"/>
      <c r="C3139"/>
      <c r="D3139"/>
      <c r="L3139"/>
      <c r="R3139"/>
      <c r="S3139"/>
      <c r="T3139"/>
      <c r="U3139"/>
    </row>
    <row r="3140" spans="1:21">
      <c r="A3140"/>
      <c r="C3140"/>
      <c r="D3140"/>
      <c r="L3140"/>
      <c r="R3140"/>
      <c r="S3140"/>
      <c r="T3140"/>
      <c r="U3140"/>
    </row>
    <row r="3141" spans="1:21">
      <c r="A3141"/>
      <c r="C3141"/>
      <c r="D3141"/>
      <c r="L3141"/>
      <c r="R3141"/>
      <c r="S3141"/>
      <c r="T3141"/>
      <c r="U3141"/>
    </row>
    <row r="3142" spans="1:21">
      <c r="A3142"/>
      <c r="C3142"/>
      <c r="D3142"/>
      <c r="L3142"/>
      <c r="R3142"/>
      <c r="S3142"/>
      <c r="T3142"/>
      <c r="U3142"/>
    </row>
    <row r="3143" spans="1:21">
      <c r="A3143"/>
      <c r="C3143"/>
      <c r="D3143"/>
      <c r="L3143"/>
      <c r="R3143"/>
      <c r="S3143"/>
      <c r="T3143"/>
      <c r="U3143"/>
    </row>
    <row r="3144" spans="1:21">
      <c r="A3144"/>
      <c r="C3144"/>
      <c r="D3144"/>
      <c r="L3144"/>
      <c r="R3144"/>
      <c r="S3144"/>
      <c r="T3144"/>
      <c r="U3144"/>
    </row>
    <row r="3145" spans="1:21">
      <c r="A3145"/>
      <c r="C3145"/>
      <c r="D3145"/>
      <c r="L3145"/>
      <c r="R3145"/>
      <c r="S3145"/>
      <c r="T3145"/>
      <c r="U3145"/>
    </row>
    <row r="3146" spans="1:21">
      <c r="A3146"/>
      <c r="C3146"/>
      <c r="D3146"/>
      <c r="L3146"/>
      <c r="R3146"/>
      <c r="S3146"/>
      <c r="T3146"/>
      <c r="U3146"/>
    </row>
    <row r="3147" spans="1:21">
      <c r="A3147"/>
      <c r="C3147"/>
      <c r="D3147"/>
      <c r="L3147"/>
      <c r="R3147"/>
      <c r="S3147"/>
      <c r="T3147"/>
      <c r="U3147"/>
    </row>
    <row r="3148" spans="1:21">
      <c r="A3148"/>
      <c r="C3148"/>
      <c r="D3148"/>
      <c r="L3148"/>
      <c r="R3148"/>
      <c r="S3148"/>
      <c r="T3148"/>
      <c r="U3148"/>
    </row>
    <row r="3149" spans="1:21">
      <c r="A3149"/>
      <c r="C3149"/>
      <c r="D3149"/>
      <c r="L3149"/>
      <c r="R3149"/>
      <c r="S3149"/>
      <c r="T3149"/>
      <c r="U3149"/>
    </row>
    <row r="3150" spans="1:21">
      <c r="A3150"/>
      <c r="C3150"/>
      <c r="D3150"/>
      <c r="L3150"/>
      <c r="R3150"/>
      <c r="S3150"/>
      <c r="T3150"/>
      <c r="U3150"/>
    </row>
    <row r="3151" spans="1:21">
      <c r="A3151"/>
      <c r="C3151"/>
      <c r="D3151"/>
      <c r="L3151"/>
      <c r="R3151"/>
      <c r="S3151"/>
      <c r="T3151"/>
      <c r="U3151"/>
    </row>
    <row r="3152" spans="1:21">
      <c r="A3152"/>
      <c r="C3152"/>
      <c r="D3152"/>
      <c r="L3152"/>
      <c r="R3152"/>
      <c r="S3152"/>
      <c r="T3152"/>
      <c r="U3152"/>
    </row>
    <row r="3153" spans="1:21">
      <c r="A3153"/>
      <c r="C3153"/>
      <c r="D3153"/>
      <c r="L3153"/>
      <c r="R3153"/>
      <c r="S3153"/>
      <c r="T3153"/>
      <c r="U3153"/>
    </row>
    <row r="3154" spans="1:21">
      <c r="A3154"/>
      <c r="C3154"/>
      <c r="D3154"/>
      <c r="L3154"/>
      <c r="R3154"/>
      <c r="S3154"/>
      <c r="T3154"/>
      <c r="U3154"/>
    </row>
    <row r="3155" spans="1:21">
      <c r="A3155"/>
      <c r="C3155"/>
      <c r="D3155"/>
      <c r="L3155"/>
      <c r="R3155"/>
      <c r="S3155"/>
      <c r="T3155"/>
      <c r="U3155"/>
    </row>
    <row r="3156" spans="1:21">
      <c r="A3156"/>
      <c r="C3156"/>
      <c r="D3156"/>
      <c r="L3156"/>
      <c r="R3156"/>
      <c r="S3156"/>
      <c r="T3156"/>
      <c r="U3156"/>
    </row>
    <row r="3157" spans="1:21">
      <c r="A3157"/>
      <c r="C3157"/>
      <c r="D3157"/>
      <c r="L3157"/>
      <c r="R3157"/>
      <c r="S3157"/>
      <c r="T3157"/>
      <c r="U3157"/>
    </row>
    <row r="3158" spans="1:21">
      <c r="A3158"/>
      <c r="C3158"/>
      <c r="D3158"/>
      <c r="L3158"/>
      <c r="R3158"/>
      <c r="S3158"/>
      <c r="T3158"/>
      <c r="U3158"/>
    </row>
    <row r="3159" spans="1:21">
      <c r="A3159"/>
      <c r="C3159"/>
      <c r="D3159"/>
      <c r="L3159"/>
      <c r="R3159"/>
      <c r="S3159"/>
      <c r="T3159"/>
      <c r="U3159"/>
    </row>
    <row r="3160" spans="1:21">
      <c r="A3160"/>
      <c r="C3160"/>
      <c r="D3160"/>
      <c r="L3160"/>
      <c r="R3160"/>
      <c r="S3160"/>
      <c r="T3160"/>
      <c r="U3160"/>
    </row>
    <row r="3161" spans="1:21">
      <c r="A3161"/>
      <c r="C3161"/>
      <c r="D3161"/>
      <c r="L3161"/>
      <c r="R3161"/>
      <c r="S3161"/>
      <c r="T3161"/>
      <c r="U3161"/>
    </row>
    <row r="3162" spans="1:21">
      <c r="A3162"/>
      <c r="C3162"/>
      <c r="D3162"/>
      <c r="L3162"/>
      <c r="R3162"/>
      <c r="S3162"/>
      <c r="T3162"/>
      <c r="U3162"/>
    </row>
    <row r="3163" spans="1:21">
      <c r="A3163"/>
      <c r="C3163"/>
      <c r="D3163"/>
      <c r="L3163"/>
      <c r="R3163"/>
      <c r="S3163"/>
      <c r="T3163"/>
      <c r="U3163"/>
    </row>
    <row r="3164" spans="1:21">
      <c r="A3164"/>
      <c r="C3164"/>
      <c r="D3164"/>
      <c r="L3164"/>
      <c r="R3164"/>
      <c r="S3164"/>
      <c r="T3164"/>
      <c r="U3164"/>
    </row>
    <row r="3165" spans="1:21">
      <c r="A3165"/>
      <c r="C3165"/>
      <c r="D3165"/>
      <c r="L3165"/>
      <c r="R3165"/>
      <c r="S3165"/>
      <c r="T3165"/>
      <c r="U3165"/>
    </row>
    <row r="3166" spans="1:21">
      <c r="A3166"/>
      <c r="C3166"/>
      <c r="D3166"/>
      <c r="L3166"/>
      <c r="R3166"/>
      <c r="S3166"/>
      <c r="T3166"/>
      <c r="U3166"/>
    </row>
    <row r="3167" spans="1:21">
      <c r="A3167"/>
      <c r="C3167"/>
      <c r="D3167"/>
      <c r="L3167"/>
      <c r="R3167"/>
      <c r="S3167"/>
      <c r="T3167"/>
      <c r="U3167"/>
    </row>
    <row r="3168" spans="1:21">
      <c r="A3168"/>
      <c r="C3168"/>
      <c r="D3168"/>
      <c r="L3168"/>
      <c r="R3168"/>
      <c r="S3168"/>
      <c r="T3168"/>
      <c r="U3168"/>
    </row>
    <row r="3169" spans="1:21">
      <c r="A3169"/>
      <c r="C3169"/>
      <c r="D3169"/>
      <c r="L3169"/>
      <c r="R3169"/>
      <c r="S3169"/>
      <c r="T3169"/>
      <c r="U3169"/>
    </row>
    <row r="3170" spans="1:21">
      <c r="A3170"/>
      <c r="C3170"/>
      <c r="D3170"/>
      <c r="L3170"/>
      <c r="R3170"/>
      <c r="S3170"/>
      <c r="T3170"/>
      <c r="U3170"/>
    </row>
    <row r="3171" spans="1:21">
      <c r="A3171"/>
      <c r="C3171"/>
      <c r="D3171"/>
      <c r="L3171"/>
      <c r="R3171"/>
      <c r="S3171"/>
      <c r="T3171"/>
      <c r="U3171"/>
    </row>
    <row r="3172" spans="1:21">
      <c r="A3172"/>
      <c r="C3172"/>
      <c r="D3172"/>
      <c r="L3172"/>
      <c r="R3172"/>
      <c r="S3172"/>
      <c r="T3172"/>
      <c r="U3172"/>
    </row>
    <row r="3173" spans="1:21">
      <c r="A3173"/>
      <c r="C3173"/>
      <c r="D3173"/>
      <c r="L3173"/>
      <c r="R3173"/>
      <c r="S3173"/>
      <c r="T3173"/>
      <c r="U3173"/>
    </row>
    <row r="3174" spans="1:21">
      <c r="A3174"/>
      <c r="C3174"/>
      <c r="D3174"/>
      <c r="L3174"/>
      <c r="R3174"/>
      <c r="S3174"/>
      <c r="T3174"/>
      <c r="U3174"/>
    </row>
    <row r="3175" spans="1:21">
      <c r="A3175"/>
      <c r="C3175"/>
      <c r="D3175"/>
      <c r="L3175"/>
      <c r="R3175"/>
      <c r="S3175"/>
      <c r="T3175"/>
      <c r="U3175"/>
    </row>
    <row r="3176" spans="1:21">
      <c r="A3176"/>
      <c r="C3176"/>
      <c r="D3176"/>
      <c r="L3176"/>
      <c r="R3176"/>
      <c r="S3176"/>
      <c r="T3176"/>
      <c r="U3176"/>
    </row>
    <row r="3177" spans="1:21">
      <c r="A3177"/>
      <c r="C3177"/>
      <c r="D3177"/>
      <c r="L3177"/>
      <c r="R3177"/>
      <c r="S3177"/>
      <c r="T3177"/>
      <c r="U3177"/>
    </row>
    <row r="3178" spans="1:21">
      <c r="A3178"/>
      <c r="C3178"/>
      <c r="D3178"/>
      <c r="L3178"/>
      <c r="R3178"/>
      <c r="S3178"/>
      <c r="T3178"/>
      <c r="U3178"/>
    </row>
    <row r="3179" spans="1:21">
      <c r="A3179"/>
      <c r="C3179"/>
      <c r="D3179"/>
      <c r="L3179"/>
      <c r="R3179"/>
      <c r="S3179"/>
      <c r="T3179"/>
      <c r="U3179"/>
    </row>
    <row r="3180" spans="1:21">
      <c r="A3180"/>
      <c r="C3180"/>
      <c r="D3180"/>
      <c r="L3180"/>
      <c r="R3180"/>
      <c r="S3180"/>
      <c r="T3180"/>
      <c r="U3180"/>
    </row>
    <row r="3181" spans="1:21">
      <c r="A3181"/>
      <c r="C3181"/>
      <c r="D3181"/>
      <c r="L3181"/>
      <c r="R3181"/>
      <c r="S3181"/>
      <c r="T3181"/>
      <c r="U3181"/>
    </row>
    <row r="3182" spans="1:21">
      <c r="A3182"/>
      <c r="C3182"/>
      <c r="D3182"/>
      <c r="L3182"/>
      <c r="R3182"/>
      <c r="S3182"/>
      <c r="T3182"/>
      <c r="U3182"/>
    </row>
    <row r="3183" spans="1:21">
      <c r="A3183"/>
      <c r="C3183"/>
      <c r="D3183"/>
      <c r="L3183"/>
      <c r="R3183"/>
      <c r="S3183"/>
      <c r="T3183"/>
      <c r="U3183"/>
    </row>
    <row r="3184" spans="1:21">
      <c r="A3184"/>
      <c r="C3184"/>
      <c r="D3184"/>
      <c r="L3184"/>
      <c r="R3184"/>
      <c r="S3184"/>
      <c r="T3184"/>
      <c r="U3184"/>
    </row>
    <row r="3185" spans="1:21">
      <c r="A3185"/>
      <c r="C3185"/>
      <c r="D3185"/>
      <c r="L3185"/>
      <c r="R3185"/>
      <c r="S3185"/>
      <c r="T3185"/>
      <c r="U3185"/>
    </row>
    <row r="3186" spans="1:21">
      <c r="A3186"/>
      <c r="C3186"/>
      <c r="D3186"/>
      <c r="L3186"/>
      <c r="R3186"/>
      <c r="S3186"/>
      <c r="T3186"/>
      <c r="U3186"/>
    </row>
    <row r="3187" spans="1:21">
      <c r="A3187"/>
      <c r="C3187"/>
      <c r="D3187"/>
      <c r="L3187"/>
      <c r="R3187"/>
      <c r="S3187"/>
      <c r="T3187"/>
      <c r="U3187"/>
    </row>
    <row r="3188" spans="1:21">
      <c r="A3188"/>
      <c r="C3188"/>
      <c r="D3188"/>
      <c r="L3188"/>
      <c r="R3188"/>
      <c r="S3188"/>
      <c r="T3188"/>
      <c r="U3188"/>
    </row>
    <row r="3189" spans="1:21">
      <c r="A3189"/>
      <c r="C3189"/>
      <c r="D3189"/>
      <c r="L3189"/>
      <c r="R3189"/>
      <c r="S3189"/>
      <c r="T3189"/>
      <c r="U3189"/>
    </row>
    <row r="3190" spans="1:21">
      <c r="A3190"/>
      <c r="C3190"/>
      <c r="D3190"/>
      <c r="L3190"/>
      <c r="R3190"/>
      <c r="S3190"/>
      <c r="T3190"/>
      <c r="U3190"/>
    </row>
    <row r="3191" spans="1:21">
      <c r="A3191"/>
      <c r="C3191"/>
      <c r="D3191"/>
      <c r="L3191"/>
      <c r="R3191"/>
      <c r="S3191"/>
      <c r="T3191"/>
      <c r="U3191"/>
    </row>
    <row r="3192" spans="1:21">
      <c r="A3192"/>
      <c r="C3192"/>
      <c r="D3192"/>
      <c r="L3192"/>
      <c r="R3192"/>
      <c r="S3192"/>
      <c r="T3192"/>
      <c r="U3192"/>
    </row>
    <row r="3193" spans="1:21">
      <c r="A3193"/>
      <c r="C3193"/>
      <c r="D3193"/>
      <c r="L3193"/>
      <c r="R3193"/>
      <c r="S3193"/>
      <c r="T3193"/>
      <c r="U3193"/>
    </row>
    <row r="3194" spans="1:21">
      <c r="A3194"/>
      <c r="C3194"/>
      <c r="D3194"/>
      <c r="L3194"/>
      <c r="R3194"/>
      <c r="S3194"/>
      <c r="T3194"/>
      <c r="U3194"/>
    </row>
    <row r="3195" spans="1:21">
      <c r="A3195"/>
      <c r="C3195"/>
      <c r="D3195"/>
      <c r="L3195"/>
      <c r="R3195"/>
      <c r="S3195"/>
      <c r="T3195"/>
      <c r="U3195"/>
    </row>
    <row r="3196" spans="1:21">
      <c r="A3196"/>
      <c r="C3196"/>
      <c r="D3196"/>
      <c r="L3196"/>
      <c r="R3196"/>
      <c r="S3196"/>
      <c r="T3196"/>
      <c r="U3196"/>
    </row>
    <row r="3197" spans="1:21">
      <c r="A3197"/>
      <c r="C3197"/>
      <c r="D3197"/>
      <c r="L3197"/>
      <c r="R3197"/>
      <c r="S3197"/>
      <c r="T3197"/>
      <c r="U3197"/>
    </row>
    <row r="3198" spans="1:21">
      <c r="A3198"/>
      <c r="C3198"/>
      <c r="D3198"/>
      <c r="L3198"/>
      <c r="R3198"/>
      <c r="S3198"/>
      <c r="T3198"/>
      <c r="U3198"/>
    </row>
    <row r="3199" spans="1:21">
      <c r="A3199"/>
      <c r="C3199"/>
      <c r="D3199"/>
      <c r="L3199"/>
      <c r="R3199"/>
      <c r="S3199"/>
      <c r="T3199"/>
      <c r="U3199"/>
    </row>
    <row r="3200" spans="1:21">
      <c r="A3200"/>
      <c r="C3200"/>
      <c r="D3200"/>
      <c r="L3200"/>
      <c r="R3200"/>
      <c r="S3200"/>
      <c r="T3200"/>
      <c r="U3200"/>
    </row>
    <row r="3201" spans="1:21">
      <c r="A3201"/>
      <c r="C3201"/>
      <c r="D3201"/>
      <c r="L3201"/>
      <c r="R3201"/>
      <c r="S3201"/>
      <c r="T3201"/>
      <c r="U3201"/>
    </row>
    <row r="3202" spans="1:21">
      <c r="A3202"/>
      <c r="C3202"/>
      <c r="D3202"/>
      <c r="L3202"/>
      <c r="R3202"/>
      <c r="S3202"/>
      <c r="T3202"/>
      <c r="U3202"/>
    </row>
    <row r="3203" spans="1:21">
      <c r="A3203"/>
      <c r="C3203"/>
      <c r="D3203"/>
      <c r="L3203"/>
      <c r="R3203"/>
      <c r="S3203"/>
      <c r="T3203"/>
      <c r="U3203"/>
    </row>
    <row r="3204" spans="1:21">
      <c r="A3204"/>
      <c r="C3204"/>
      <c r="D3204"/>
      <c r="L3204"/>
      <c r="R3204"/>
      <c r="S3204"/>
      <c r="T3204"/>
      <c r="U3204"/>
    </row>
    <row r="3205" spans="1:21">
      <c r="A3205"/>
      <c r="C3205"/>
      <c r="D3205"/>
      <c r="L3205"/>
      <c r="R3205"/>
      <c r="S3205"/>
      <c r="T3205"/>
      <c r="U3205"/>
    </row>
    <row r="3206" spans="1:21">
      <c r="A3206"/>
      <c r="C3206"/>
      <c r="D3206"/>
      <c r="L3206"/>
      <c r="R3206"/>
      <c r="S3206"/>
      <c r="T3206"/>
      <c r="U3206"/>
    </row>
    <row r="3207" spans="1:21">
      <c r="A3207"/>
      <c r="C3207"/>
      <c r="D3207"/>
      <c r="L3207"/>
      <c r="R3207"/>
      <c r="S3207"/>
      <c r="T3207"/>
      <c r="U3207"/>
    </row>
    <row r="3208" spans="1:21">
      <c r="A3208"/>
      <c r="C3208"/>
      <c r="D3208"/>
      <c r="L3208"/>
      <c r="R3208"/>
      <c r="S3208"/>
      <c r="T3208"/>
      <c r="U3208"/>
    </row>
    <row r="3209" spans="1:21">
      <c r="A3209"/>
      <c r="C3209"/>
      <c r="D3209"/>
      <c r="L3209"/>
      <c r="R3209"/>
      <c r="S3209"/>
      <c r="T3209"/>
      <c r="U3209"/>
    </row>
    <row r="3210" spans="1:21">
      <c r="A3210"/>
      <c r="C3210"/>
      <c r="D3210"/>
      <c r="L3210"/>
      <c r="R3210"/>
      <c r="S3210"/>
      <c r="T3210"/>
      <c r="U3210"/>
    </row>
    <row r="3211" spans="1:21">
      <c r="A3211"/>
      <c r="C3211"/>
      <c r="D3211"/>
      <c r="L3211"/>
      <c r="R3211"/>
      <c r="S3211"/>
      <c r="T3211"/>
      <c r="U3211"/>
    </row>
    <row r="3212" spans="1:21">
      <c r="A3212"/>
      <c r="C3212"/>
      <c r="D3212"/>
      <c r="L3212"/>
      <c r="R3212"/>
      <c r="S3212"/>
      <c r="T3212"/>
      <c r="U3212"/>
    </row>
    <row r="3213" spans="1:21">
      <c r="A3213"/>
      <c r="C3213"/>
      <c r="D3213"/>
      <c r="L3213"/>
      <c r="R3213"/>
      <c r="S3213"/>
      <c r="T3213"/>
      <c r="U3213"/>
    </row>
    <row r="3214" spans="1:21">
      <c r="A3214"/>
      <c r="C3214"/>
      <c r="D3214"/>
      <c r="L3214"/>
      <c r="R3214"/>
      <c r="S3214"/>
      <c r="T3214"/>
      <c r="U3214"/>
    </row>
    <row r="3215" spans="1:21">
      <c r="A3215"/>
      <c r="C3215"/>
      <c r="D3215"/>
      <c r="L3215"/>
      <c r="R3215"/>
      <c r="S3215"/>
      <c r="T3215"/>
      <c r="U3215"/>
    </row>
    <row r="3216" spans="1:21">
      <c r="A3216"/>
      <c r="C3216"/>
      <c r="D3216"/>
      <c r="L3216"/>
      <c r="R3216"/>
      <c r="S3216"/>
      <c r="T3216"/>
      <c r="U3216"/>
    </row>
    <row r="3217" spans="1:21">
      <c r="A3217"/>
      <c r="C3217"/>
      <c r="D3217"/>
      <c r="L3217"/>
      <c r="R3217"/>
      <c r="S3217"/>
      <c r="T3217"/>
      <c r="U3217"/>
    </row>
    <row r="3218" spans="1:21">
      <c r="A3218"/>
      <c r="C3218"/>
      <c r="D3218"/>
      <c r="L3218"/>
      <c r="R3218"/>
      <c r="S3218"/>
      <c r="T3218"/>
      <c r="U3218"/>
    </row>
    <row r="3219" spans="1:21">
      <c r="A3219"/>
      <c r="C3219"/>
      <c r="D3219"/>
      <c r="L3219"/>
      <c r="R3219"/>
      <c r="S3219"/>
      <c r="T3219"/>
      <c r="U3219"/>
    </row>
    <row r="3220" spans="1:21">
      <c r="A3220"/>
      <c r="C3220"/>
      <c r="D3220"/>
      <c r="L3220"/>
      <c r="R3220"/>
      <c r="S3220"/>
      <c r="T3220"/>
      <c r="U3220"/>
    </row>
    <row r="3221" spans="1:21">
      <c r="A3221"/>
      <c r="C3221"/>
      <c r="D3221"/>
      <c r="L3221"/>
      <c r="R3221"/>
      <c r="S3221"/>
      <c r="T3221"/>
      <c r="U3221"/>
    </row>
    <row r="3222" spans="1:21">
      <c r="A3222"/>
      <c r="C3222"/>
      <c r="D3222"/>
      <c r="L3222"/>
      <c r="R3222"/>
      <c r="S3222"/>
      <c r="T3222"/>
      <c r="U3222"/>
    </row>
    <row r="3223" spans="1:21">
      <c r="A3223"/>
      <c r="C3223"/>
      <c r="D3223"/>
      <c r="L3223"/>
      <c r="R3223"/>
      <c r="S3223"/>
      <c r="T3223"/>
      <c r="U3223"/>
    </row>
    <row r="3224" spans="1:21">
      <c r="A3224"/>
      <c r="C3224"/>
      <c r="D3224"/>
      <c r="L3224"/>
      <c r="R3224"/>
      <c r="S3224"/>
      <c r="T3224"/>
      <c r="U3224"/>
    </row>
    <row r="3225" spans="1:21">
      <c r="A3225"/>
      <c r="C3225"/>
      <c r="D3225"/>
      <c r="L3225"/>
      <c r="R3225"/>
      <c r="S3225"/>
      <c r="T3225"/>
      <c r="U3225"/>
    </row>
    <row r="3226" spans="1:21">
      <c r="A3226"/>
      <c r="C3226"/>
      <c r="D3226"/>
      <c r="L3226"/>
      <c r="R3226"/>
      <c r="S3226"/>
      <c r="T3226"/>
      <c r="U3226"/>
    </row>
    <row r="3227" spans="1:21">
      <c r="A3227"/>
      <c r="C3227"/>
      <c r="D3227"/>
      <c r="L3227"/>
      <c r="R3227"/>
      <c r="S3227"/>
      <c r="T3227"/>
      <c r="U3227"/>
    </row>
    <row r="3228" spans="1:21">
      <c r="A3228"/>
      <c r="C3228"/>
      <c r="D3228"/>
      <c r="L3228"/>
      <c r="R3228"/>
      <c r="S3228"/>
      <c r="T3228"/>
      <c r="U3228"/>
    </row>
    <row r="3229" spans="1:21">
      <c r="A3229"/>
      <c r="C3229"/>
      <c r="D3229"/>
      <c r="L3229"/>
      <c r="R3229"/>
      <c r="S3229"/>
      <c r="T3229"/>
      <c r="U3229"/>
    </row>
    <row r="3230" spans="1:21">
      <c r="A3230"/>
      <c r="C3230"/>
      <c r="D3230"/>
      <c r="L3230"/>
      <c r="R3230"/>
      <c r="S3230"/>
      <c r="T3230"/>
      <c r="U3230"/>
    </row>
    <row r="3231" spans="1:21">
      <c r="A3231"/>
      <c r="C3231"/>
      <c r="D3231"/>
      <c r="L3231"/>
      <c r="R3231"/>
      <c r="S3231"/>
      <c r="T3231"/>
      <c r="U3231"/>
    </row>
    <row r="3232" spans="1:21">
      <c r="A3232"/>
      <c r="C3232"/>
      <c r="D3232"/>
      <c r="L3232"/>
      <c r="R3232"/>
      <c r="S3232"/>
      <c r="T3232"/>
      <c r="U3232"/>
    </row>
    <row r="3233" spans="1:21">
      <c r="A3233"/>
      <c r="C3233"/>
      <c r="D3233"/>
      <c r="L3233"/>
      <c r="R3233"/>
      <c r="S3233"/>
      <c r="T3233"/>
      <c r="U3233"/>
    </row>
    <row r="3234" spans="1:21">
      <c r="A3234"/>
      <c r="C3234"/>
      <c r="D3234"/>
      <c r="L3234"/>
      <c r="R3234"/>
      <c r="S3234"/>
      <c r="T3234"/>
      <c r="U3234"/>
    </row>
    <row r="3235" spans="1:21">
      <c r="A3235"/>
      <c r="C3235"/>
      <c r="D3235"/>
      <c r="L3235"/>
      <c r="R3235"/>
      <c r="S3235"/>
      <c r="T3235"/>
      <c r="U3235"/>
    </row>
    <row r="3236" spans="1:21">
      <c r="A3236"/>
      <c r="C3236"/>
      <c r="D3236"/>
      <c r="L3236"/>
      <c r="R3236"/>
      <c r="S3236"/>
      <c r="T3236"/>
      <c r="U3236"/>
    </row>
    <row r="3237" spans="1:21">
      <c r="A3237"/>
      <c r="C3237"/>
      <c r="D3237"/>
      <c r="L3237"/>
      <c r="R3237"/>
      <c r="S3237"/>
      <c r="T3237"/>
      <c r="U3237"/>
    </row>
    <row r="3238" spans="1:21">
      <c r="A3238"/>
      <c r="C3238"/>
      <c r="D3238"/>
      <c r="L3238"/>
      <c r="R3238"/>
      <c r="S3238"/>
      <c r="T3238"/>
      <c r="U3238"/>
    </row>
    <row r="3239" spans="1:21">
      <c r="A3239"/>
      <c r="C3239"/>
      <c r="D3239"/>
      <c r="L3239"/>
      <c r="R3239"/>
      <c r="S3239"/>
      <c r="T3239"/>
      <c r="U3239"/>
    </row>
    <row r="3240" spans="1:21">
      <c r="A3240"/>
      <c r="C3240"/>
      <c r="D3240"/>
      <c r="L3240"/>
      <c r="R3240"/>
      <c r="S3240"/>
      <c r="T3240"/>
      <c r="U3240"/>
    </row>
    <row r="3241" spans="1:21">
      <c r="A3241"/>
      <c r="C3241"/>
      <c r="D3241"/>
      <c r="L3241"/>
      <c r="R3241"/>
      <c r="S3241"/>
      <c r="T3241"/>
      <c r="U3241"/>
    </row>
    <row r="3242" spans="1:21">
      <c r="A3242"/>
      <c r="C3242"/>
      <c r="D3242"/>
      <c r="L3242"/>
      <c r="R3242"/>
      <c r="S3242"/>
      <c r="T3242"/>
      <c r="U3242"/>
    </row>
    <row r="3243" spans="1:21">
      <c r="A3243"/>
      <c r="C3243"/>
      <c r="D3243"/>
      <c r="L3243"/>
      <c r="R3243"/>
      <c r="S3243"/>
      <c r="T3243"/>
      <c r="U3243"/>
    </row>
    <row r="3244" spans="1:21">
      <c r="A3244"/>
      <c r="C3244"/>
      <c r="D3244"/>
      <c r="L3244"/>
      <c r="R3244"/>
      <c r="S3244"/>
      <c r="T3244"/>
      <c r="U3244"/>
    </row>
    <row r="3245" spans="1:21">
      <c r="A3245"/>
      <c r="C3245"/>
      <c r="D3245"/>
      <c r="L3245"/>
      <c r="R3245"/>
      <c r="S3245"/>
      <c r="T3245"/>
      <c r="U3245"/>
    </row>
    <row r="3246" spans="1:21">
      <c r="A3246"/>
      <c r="C3246"/>
      <c r="D3246"/>
      <c r="L3246"/>
      <c r="R3246"/>
      <c r="S3246"/>
      <c r="T3246"/>
      <c r="U3246"/>
    </row>
    <row r="3247" spans="1:21">
      <c r="A3247"/>
      <c r="C3247"/>
      <c r="D3247"/>
      <c r="L3247"/>
      <c r="R3247"/>
      <c r="S3247"/>
      <c r="T3247"/>
      <c r="U3247"/>
    </row>
    <row r="3248" spans="1:21">
      <c r="A3248"/>
      <c r="C3248"/>
      <c r="D3248"/>
      <c r="L3248"/>
      <c r="R3248"/>
      <c r="S3248"/>
      <c r="T3248"/>
      <c r="U3248"/>
    </row>
    <row r="3249" spans="1:21">
      <c r="A3249"/>
      <c r="C3249"/>
      <c r="D3249"/>
      <c r="L3249"/>
      <c r="R3249"/>
      <c r="S3249"/>
      <c r="T3249"/>
      <c r="U3249"/>
    </row>
    <row r="3250" spans="1:21">
      <c r="A3250"/>
      <c r="C3250"/>
      <c r="D3250"/>
      <c r="L3250"/>
      <c r="R3250"/>
      <c r="S3250"/>
      <c r="T3250"/>
      <c r="U3250"/>
    </row>
    <row r="3251" spans="1:21">
      <c r="A3251"/>
      <c r="C3251"/>
      <c r="D3251"/>
      <c r="L3251"/>
      <c r="R3251"/>
      <c r="S3251"/>
      <c r="T3251"/>
      <c r="U3251"/>
    </row>
    <row r="3252" spans="1:21">
      <c r="A3252"/>
      <c r="C3252"/>
      <c r="D3252"/>
      <c r="L3252"/>
      <c r="R3252"/>
      <c r="S3252"/>
      <c r="T3252"/>
      <c r="U3252"/>
    </row>
    <row r="3253" spans="1:21">
      <c r="A3253"/>
      <c r="C3253"/>
      <c r="D3253"/>
      <c r="L3253"/>
      <c r="R3253"/>
      <c r="S3253"/>
      <c r="T3253"/>
      <c r="U3253"/>
    </row>
    <row r="3254" spans="1:21">
      <c r="A3254"/>
      <c r="C3254"/>
      <c r="D3254"/>
      <c r="L3254"/>
      <c r="R3254"/>
      <c r="S3254"/>
      <c r="T3254"/>
      <c r="U3254"/>
    </row>
    <row r="3255" spans="1:21">
      <c r="A3255"/>
      <c r="C3255"/>
      <c r="D3255"/>
      <c r="L3255"/>
      <c r="R3255"/>
      <c r="S3255"/>
      <c r="T3255"/>
      <c r="U3255"/>
    </row>
    <row r="3256" spans="1:21">
      <c r="A3256"/>
      <c r="C3256"/>
      <c r="D3256"/>
      <c r="L3256"/>
      <c r="R3256"/>
      <c r="S3256"/>
      <c r="T3256"/>
      <c r="U3256"/>
    </row>
    <row r="3257" spans="1:21">
      <c r="A3257"/>
      <c r="C3257"/>
      <c r="D3257"/>
      <c r="L3257"/>
      <c r="R3257"/>
      <c r="S3257"/>
      <c r="T3257"/>
      <c r="U3257"/>
    </row>
    <row r="3258" spans="1:21">
      <c r="A3258"/>
      <c r="C3258"/>
      <c r="D3258"/>
      <c r="L3258"/>
      <c r="R3258"/>
      <c r="S3258"/>
      <c r="T3258"/>
      <c r="U3258"/>
    </row>
    <row r="3259" spans="1:21">
      <c r="A3259"/>
      <c r="C3259"/>
      <c r="D3259"/>
      <c r="L3259"/>
      <c r="R3259"/>
      <c r="S3259"/>
      <c r="T3259"/>
      <c r="U3259"/>
    </row>
    <row r="3260" spans="1:21">
      <c r="A3260"/>
      <c r="C3260"/>
      <c r="D3260"/>
      <c r="L3260"/>
      <c r="R3260"/>
      <c r="S3260"/>
      <c r="T3260"/>
      <c r="U3260"/>
    </row>
    <row r="3261" spans="1:21">
      <c r="A3261"/>
      <c r="C3261"/>
      <c r="D3261"/>
      <c r="L3261"/>
      <c r="R3261"/>
      <c r="S3261"/>
      <c r="T3261"/>
      <c r="U3261"/>
    </row>
    <row r="3262" spans="1:21">
      <c r="A3262"/>
      <c r="C3262"/>
      <c r="D3262"/>
      <c r="L3262"/>
      <c r="R3262"/>
      <c r="S3262"/>
      <c r="T3262"/>
      <c r="U3262"/>
    </row>
    <row r="3263" spans="1:21">
      <c r="A3263"/>
      <c r="C3263"/>
      <c r="D3263"/>
      <c r="L3263"/>
      <c r="R3263"/>
      <c r="S3263"/>
      <c r="T3263"/>
      <c r="U3263"/>
    </row>
    <row r="3264" spans="1:21">
      <c r="A3264"/>
      <c r="C3264"/>
      <c r="D3264"/>
      <c r="L3264"/>
      <c r="R3264"/>
      <c r="S3264"/>
      <c r="T3264"/>
      <c r="U3264"/>
    </row>
    <row r="3265" spans="1:21">
      <c r="A3265"/>
      <c r="C3265"/>
      <c r="D3265"/>
      <c r="L3265"/>
      <c r="R3265"/>
      <c r="S3265"/>
      <c r="T3265"/>
      <c r="U3265"/>
    </row>
    <row r="3266" spans="1:21">
      <c r="A3266"/>
      <c r="C3266"/>
      <c r="D3266"/>
      <c r="L3266"/>
      <c r="R3266"/>
      <c r="S3266"/>
      <c r="T3266"/>
      <c r="U3266"/>
    </row>
    <row r="3267" spans="1:21">
      <c r="A3267"/>
      <c r="C3267"/>
      <c r="D3267"/>
      <c r="L3267"/>
      <c r="R3267"/>
      <c r="S3267"/>
      <c r="T3267"/>
      <c r="U3267"/>
    </row>
    <row r="3268" spans="1:21">
      <c r="A3268"/>
      <c r="C3268"/>
      <c r="D3268"/>
      <c r="L3268"/>
      <c r="R3268"/>
      <c r="S3268"/>
      <c r="T3268"/>
      <c r="U3268"/>
    </row>
    <row r="3269" spans="1:21">
      <c r="A3269"/>
      <c r="C3269"/>
      <c r="D3269"/>
      <c r="L3269"/>
      <c r="R3269"/>
      <c r="S3269"/>
      <c r="T3269"/>
      <c r="U3269"/>
    </row>
    <row r="3270" spans="1:21">
      <c r="A3270"/>
      <c r="C3270"/>
      <c r="D3270"/>
      <c r="L3270"/>
      <c r="R3270"/>
      <c r="S3270"/>
      <c r="T3270"/>
      <c r="U3270"/>
    </row>
    <row r="3271" spans="1:21">
      <c r="A3271"/>
      <c r="C3271"/>
      <c r="D3271"/>
      <c r="L3271"/>
      <c r="R3271"/>
      <c r="S3271"/>
      <c r="T3271"/>
      <c r="U3271"/>
    </row>
    <row r="3272" spans="1:21">
      <c r="A3272"/>
      <c r="C3272"/>
      <c r="D3272"/>
      <c r="L3272"/>
      <c r="R3272"/>
      <c r="S3272"/>
      <c r="T3272"/>
      <c r="U3272"/>
    </row>
    <row r="3273" spans="1:21">
      <c r="A3273"/>
      <c r="C3273"/>
      <c r="D3273"/>
      <c r="L3273"/>
      <c r="R3273"/>
      <c r="S3273"/>
      <c r="T3273"/>
      <c r="U3273"/>
    </row>
    <row r="3274" spans="1:21">
      <c r="A3274"/>
      <c r="C3274"/>
      <c r="D3274"/>
      <c r="L3274"/>
      <c r="R3274"/>
      <c r="S3274"/>
      <c r="T3274"/>
      <c r="U3274"/>
    </row>
    <row r="3275" spans="1:21">
      <c r="A3275"/>
      <c r="C3275"/>
      <c r="D3275"/>
      <c r="L3275"/>
      <c r="R3275"/>
      <c r="S3275"/>
      <c r="T3275"/>
      <c r="U3275"/>
    </row>
    <row r="3276" spans="1:21">
      <c r="A3276"/>
      <c r="C3276"/>
      <c r="D3276"/>
      <c r="L3276"/>
      <c r="R3276"/>
      <c r="S3276"/>
      <c r="T3276"/>
      <c r="U3276"/>
    </row>
    <row r="3277" spans="1:21">
      <c r="A3277"/>
      <c r="C3277"/>
      <c r="D3277"/>
      <c r="L3277"/>
      <c r="R3277"/>
      <c r="S3277"/>
      <c r="T3277"/>
      <c r="U3277"/>
    </row>
    <row r="3278" spans="1:21">
      <c r="A3278"/>
      <c r="C3278"/>
      <c r="D3278"/>
      <c r="L3278"/>
      <c r="R3278"/>
      <c r="S3278"/>
      <c r="T3278"/>
      <c r="U3278"/>
    </row>
    <row r="3279" spans="1:21">
      <c r="A3279"/>
      <c r="C3279"/>
      <c r="D3279"/>
      <c r="L3279"/>
      <c r="R3279"/>
      <c r="S3279"/>
      <c r="T3279"/>
      <c r="U3279"/>
    </row>
    <row r="3280" spans="1:21">
      <c r="A3280"/>
      <c r="C3280"/>
      <c r="D3280"/>
      <c r="L3280"/>
      <c r="R3280"/>
      <c r="S3280"/>
      <c r="T3280"/>
      <c r="U3280"/>
    </row>
    <row r="3281" spans="1:21">
      <c r="A3281"/>
      <c r="C3281"/>
      <c r="D3281"/>
      <c r="L3281"/>
      <c r="R3281"/>
      <c r="S3281"/>
      <c r="T3281"/>
      <c r="U3281"/>
    </row>
    <row r="3282" spans="1:21">
      <c r="A3282"/>
      <c r="C3282"/>
      <c r="D3282"/>
      <c r="L3282"/>
      <c r="R3282"/>
      <c r="S3282"/>
      <c r="T3282"/>
      <c r="U3282"/>
    </row>
    <row r="3283" spans="1:21">
      <c r="A3283"/>
      <c r="C3283"/>
      <c r="D3283"/>
      <c r="L3283"/>
      <c r="R3283"/>
      <c r="S3283"/>
      <c r="T3283"/>
      <c r="U3283"/>
    </row>
    <row r="3284" spans="1:21">
      <c r="A3284"/>
      <c r="C3284"/>
      <c r="D3284"/>
      <c r="L3284"/>
      <c r="R3284"/>
      <c r="S3284"/>
      <c r="T3284"/>
      <c r="U3284"/>
    </row>
    <row r="3285" spans="1:21">
      <c r="A3285"/>
      <c r="C3285"/>
      <c r="D3285"/>
      <c r="L3285"/>
      <c r="R3285"/>
      <c r="S3285"/>
      <c r="T3285"/>
      <c r="U3285"/>
    </row>
    <row r="3286" spans="1:21">
      <c r="A3286"/>
      <c r="C3286"/>
      <c r="D3286"/>
      <c r="L3286"/>
      <c r="R3286"/>
      <c r="S3286"/>
      <c r="T3286"/>
      <c r="U3286"/>
    </row>
    <row r="3287" spans="1:21">
      <c r="A3287"/>
      <c r="C3287"/>
      <c r="D3287"/>
      <c r="L3287"/>
      <c r="R3287"/>
      <c r="S3287"/>
      <c r="T3287"/>
      <c r="U3287"/>
    </row>
    <row r="3288" spans="1:21">
      <c r="A3288"/>
      <c r="C3288"/>
      <c r="D3288"/>
      <c r="L3288"/>
      <c r="R3288"/>
      <c r="S3288"/>
      <c r="T3288"/>
      <c r="U3288"/>
    </row>
    <row r="3289" spans="1:21">
      <c r="A3289"/>
      <c r="C3289"/>
      <c r="D3289"/>
      <c r="L3289"/>
      <c r="R3289"/>
      <c r="S3289"/>
      <c r="T3289"/>
      <c r="U3289"/>
    </row>
    <row r="3290" spans="1:21">
      <c r="A3290"/>
      <c r="C3290"/>
      <c r="D3290"/>
      <c r="L3290"/>
      <c r="R3290"/>
      <c r="S3290"/>
      <c r="T3290"/>
      <c r="U3290"/>
    </row>
    <row r="3291" spans="1:21">
      <c r="A3291"/>
      <c r="C3291"/>
      <c r="D3291"/>
      <c r="L3291"/>
      <c r="R3291"/>
      <c r="S3291"/>
      <c r="T3291"/>
      <c r="U3291"/>
    </row>
    <row r="3292" spans="1:21">
      <c r="A3292"/>
      <c r="C3292"/>
      <c r="D3292"/>
      <c r="L3292"/>
      <c r="R3292"/>
      <c r="S3292"/>
      <c r="T3292"/>
      <c r="U3292"/>
    </row>
    <row r="3293" spans="1:21">
      <c r="A3293"/>
      <c r="C3293"/>
      <c r="D3293"/>
      <c r="L3293"/>
      <c r="R3293"/>
      <c r="S3293"/>
      <c r="T3293"/>
      <c r="U3293"/>
    </row>
    <row r="3294" spans="1:21">
      <c r="A3294"/>
      <c r="C3294"/>
      <c r="D3294"/>
      <c r="L3294"/>
      <c r="R3294"/>
      <c r="S3294"/>
      <c r="T3294"/>
      <c r="U3294"/>
    </row>
    <row r="3295" spans="1:21">
      <c r="A3295"/>
      <c r="C3295"/>
      <c r="D3295"/>
      <c r="L3295"/>
      <c r="R3295"/>
      <c r="S3295"/>
      <c r="T3295"/>
      <c r="U3295"/>
    </row>
    <row r="3296" spans="1:21">
      <c r="A3296"/>
      <c r="C3296"/>
      <c r="D3296"/>
      <c r="L3296"/>
      <c r="R3296"/>
      <c r="S3296"/>
      <c r="T3296"/>
      <c r="U3296"/>
    </row>
    <row r="3297" spans="1:21">
      <c r="A3297"/>
      <c r="C3297"/>
      <c r="D3297"/>
      <c r="L3297"/>
      <c r="R3297"/>
      <c r="S3297"/>
      <c r="T3297"/>
      <c r="U3297"/>
    </row>
    <row r="3298" spans="1:21">
      <c r="A3298"/>
      <c r="C3298"/>
      <c r="D3298"/>
      <c r="L3298"/>
      <c r="R3298"/>
      <c r="S3298"/>
      <c r="T3298"/>
      <c r="U3298"/>
    </row>
    <row r="3299" spans="1:21">
      <c r="A3299"/>
      <c r="C3299"/>
      <c r="D3299"/>
      <c r="L3299"/>
      <c r="R3299"/>
      <c r="S3299"/>
      <c r="T3299"/>
      <c r="U3299"/>
    </row>
    <row r="3300" spans="1:21">
      <c r="A3300"/>
      <c r="C3300"/>
      <c r="D3300"/>
      <c r="L3300"/>
      <c r="R3300"/>
      <c r="S3300"/>
      <c r="T3300"/>
      <c r="U3300"/>
    </row>
    <row r="3301" spans="1:21">
      <c r="A3301"/>
      <c r="C3301"/>
      <c r="D3301"/>
      <c r="L3301"/>
      <c r="R3301"/>
      <c r="S3301"/>
      <c r="T3301"/>
      <c r="U3301"/>
    </row>
    <row r="3302" spans="1:21">
      <c r="A3302"/>
      <c r="C3302"/>
      <c r="D3302"/>
      <c r="L3302"/>
      <c r="R3302"/>
      <c r="S3302"/>
      <c r="T3302"/>
      <c r="U3302"/>
    </row>
    <row r="3303" spans="1:21">
      <c r="A3303"/>
      <c r="C3303"/>
      <c r="D3303"/>
      <c r="L3303"/>
      <c r="R3303"/>
      <c r="S3303"/>
      <c r="T3303"/>
      <c r="U3303"/>
    </row>
    <row r="3304" spans="1:21">
      <c r="A3304"/>
      <c r="C3304"/>
      <c r="D3304"/>
      <c r="L3304"/>
      <c r="R3304"/>
      <c r="S3304"/>
      <c r="T3304"/>
      <c r="U3304"/>
    </row>
    <row r="3305" spans="1:21">
      <c r="A3305"/>
      <c r="C3305"/>
      <c r="D3305"/>
      <c r="L3305"/>
      <c r="R3305"/>
      <c r="S3305"/>
      <c r="T3305"/>
      <c r="U3305"/>
    </row>
    <row r="3306" spans="1:21">
      <c r="A3306"/>
      <c r="C3306"/>
      <c r="D3306"/>
      <c r="L3306"/>
      <c r="R3306"/>
      <c r="S3306"/>
      <c r="T3306"/>
      <c r="U3306"/>
    </row>
    <row r="3307" spans="1:21">
      <c r="A3307"/>
      <c r="C3307"/>
      <c r="D3307"/>
      <c r="L3307"/>
      <c r="R3307"/>
      <c r="S3307"/>
      <c r="T3307"/>
      <c r="U3307"/>
    </row>
    <row r="3308" spans="1:21">
      <c r="A3308"/>
      <c r="C3308"/>
      <c r="D3308"/>
      <c r="L3308"/>
      <c r="R3308"/>
      <c r="S3308"/>
      <c r="T3308"/>
      <c r="U3308"/>
    </row>
    <row r="3309" spans="1:21">
      <c r="A3309"/>
      <c r="C3309"/>
      <c r="D3309"/>
      <c r="L3309"/>
      <c r="R3309"/>
      <c r="S3309"/>
      <c r="T3309"/>
      <c r="U3309"/>
    </row>
    <row r="3310" spans="1:21">
      <c r="A3310"/>
      <c r="C3310"/>
      <c r="D3310"/>
      <c r="L3310"/>
      <c r="R3310"/>
      <c r="S3310"/>
      <c r="T3310"/>
      <c r="U3310"/>
    </row>
    <row r="3311" spans="1:21">
      <c r="A3311"/>
      <c r="C3311"/>
      <c r="D3311"/>
      <c r="L3311"/>
      <c r="R3311"/>
      <c r="S3311"/>
      <c r="T3311"/>
      <c r="U3311"/>
    </row>
    <row r="3312" spans="1:21">
      <c r="A3312"/>
      <c r="C3312"/>
      <c r="D3312"/>
      <c r="L3312"/>
      <c r="R3312"/>
      <c r="S3312"/>
      <c r="T3312"/>
      <c r="U3312"/>
    </row>
    <row r="3313" spans="1:21">
      <c r="A3313"/>
      <c r="C3313"/>
      <c r="D3313"/>
      <c r="L3313"/>
      <c r="R3313"/>
      <c r="S3313"/>
      <c r="T3313"/>
      <c r="U3313"/>
    </row>
    <row r="3314" spans="1:21">
      <c r="A3314"/>
      <c r="C3314"/>
      <c r="D3314"/>
      <c r="L3314"/>
      <c r="R3314"/>
      <c r="S3314"/>
      <c r="T3314"/>
      <c r="U3314"/>
    </row>
    <row r="3315" spans="1:21">
      <c r="A3315"/>
      <c r="C3315"/>
      <c r="D3315"/>
      <c r="L3315"/>
      <c r="R3315"/>
      <c r="S3315"/>
      <c r="T3315"/>
      <c r="U3315"/>
    </row>
    <row r="3316" spans="1:21">
      <c r="A3316"/>
      <c r="C3316"/>
      <c r="D3316"/>
      <c r="L3316"/>
      <c r="R3316"/>
      <c r="S3316"/>
      <c r="T3316"/>
      <c r="U3316"/>
    </row>
    <row r="3317" spans="1:21">
      <c r="A3317"/>
      <c r="C3317"/>
      <c r="D3317"/>
      <c r="L3317"/>
      <c r="R3317"/>
      <c r="S3317"/>
      <c r="T3317"/>
      <c r="U3317"/>
    </row>
    <row r="3318" spans="1:21">
      <c r="A3318"/>
      <c r="C3318"/>
      <c r="D3318"/>
      <c r="L3318"/>
      <c r="R3318"/>
      <c r="S3318"/>
      <c r="T3318"/>
      <c r="U3318"/>
    </row>
    <row r="3319" spans="1:21">
      <c r="A3319"/>
      <c r="C3319"/>
      <c r="D3319"/>
      <c r="L3319"/>
      <c r="R3319"/>
      <c r="S3319"/>
      <c r="T3319"/>
      <c r="U3319"/>
    </row>
    <row r="3320" spans="1:21">
      <c r="A3320"/>
      <c r="C3320"/>
      <c r="D3320"/>
      <c r="L3320"/>
      <c r="R3320"/>
      <c r="S3320"/>
      <c r="T3320"/>
      <c r="U3320"/>
    </row>
    <row r="3321" spans="1:21">
      <c r="A3321"/>
      <c r="C3321"/>
      <c r="D3321"/>
      <c r="L3321"/>
      <c r="R3321"/>
      <c r="S3321"/>
      <c r="T3321"/>
      <c r="U3321"/>
    </row>
    <row r="3322" spans="1:21">
      <c r="A3322"/>
      <c r="C3322"/>
      <c r="D3322"/>
      <c r="L3322"/>
      <c r="R3322"/>
      <c r="S3322"/>
      <c r="T3322"/>
      <c r="U3322"/>
    </row>
    <row r="3323" spans="1:21">
      <c r="A3323"/>
      <c r="C3323"/>
      <c r="D3323"/>
      <c r="L3323"/>
      <c r="R3323"/>
      <c r="S3323"/>
      <c r="T3323"/>
      <c r="U3323"/>
    </row>
    <row r="3324" spans="1:21">
      <c r="A3324"/>
      <c r="C3324"/>
      <c r="D3324"/>
      <c r="L3324"/>
      <c r="R3324"/>
      <c r="S3324"/>
      <c r="T3324"/>
      <c r="U3324"/>
    </row>
    <row r="3325" spans="1:21">
      <c r="A3325"/>
      <c r="C3325"/>
      <c r="D3325"/>
      <c r="L3325"/>
      <c r="R3325"/>
      <c r="S3325"/>
      <c r="T3325"/>
      <c r="U3325"/>
    </row>
    <row r="3326" spans="1:21">
      <c r="A3326"/>
      <c r="C3326"/>
      <c r="D3326"/>
      <c r="L3326"/>
      <c r="R3326"/>
      <c r="S3326"/>
      <c r="T3326"/>
      <c r="U3326"/>
    </row>
    <row r="3327" spans="1:21">
      <c r="A3327"/>
      <c r="C3327"/>
      <c r="D3327"/>
      <c r="L3327"/>
      <c r="R3327"/>
      <c r="S3327"/>
      <c r="T3327"/>
      <c r="U3327"/>
    </row>
    <row r="3328" spans="1:21">
      <c r="A3328"/>
      <c r="C3328"/>
      <c r="D3328"/>
      <c r="L3328"/>
      <c r="R3328"/>
      <c r="S3328"/>
      <c r="T3328"/>
      <c r="U3328"/>
    </row>
    <row r="3329" spans="1:21">
      <c r="A3329"/>
      <c r="C3329"/>
      <c r="D3329"/>
      <c r="L3329"/>
      <c r="R3329"/>
      <c r="S3329"/>
      <c r="T3329"/>
      <c r="U3329"/>
    </row>
    <row r="3330" spans="1:21">
      <c r="A3330"/>
      <c r="C3330"/>
      <c r="D3330"/>
      <c r="L3330"/>
      <c r="R3330"/>
      <c r="S3330"/>
      <c r="T3330"/>
      <c r="U3330"/>
    </row>
    <row r="3331" spans="1:21">
      <c r="A3331"/>
      <c r="C3331"/>
      <c r="D3331"/>
      <c r="L3331"/>
      <c r="R3331"/>
      <c r="S3331"/>
      <c r="T3331"/>
      <c r="U3331"/>
    </row>
    <row r="3332" spans="1:21">
      <c r="A3332"/>
      <c r="C3332"/>
      <c r="D3332"/>
      <c r="L3332"/>
      <c r="R3332"/>
      <c r="S3332"/>
      <c r="T3332"/>
      <c r="U3332"/>
    </row>
    <row r="3333" spans="1:21">
      <c r="A3333"/>
      <c r="C3333"/>
      <c r="D3333"/>
      <c r="L3333"/>
      <c r="R3333"/>
      <c r="S3333"/>
      <c r="T3333"/>
      <c r="U3333"/>
    </row>
    <row r="3334" spans="1:21">
      <c r="A3334"/>
      <c r="C3334"/>
      <c r="D3334"/>
      <c r="L3334"/>
      <c r="R3334"/>
      <c r="S3334"/>
      <c r="T3334"/>
      <c r="U3334"/>
    </row>
    <row r="3335" spans="1:21">
      <c r="A3335"/>
      <c r="C3335"/>
      <c r="D3335"/>
      <c r="L3335"/>
      <c r="R3335"/>
      <c r="S3335"/>
      <c r="T3335"/>
      <c r="U3335"/>
    </row>
    <row r="3336" spans="1:21">
      <c r="A3336"/>
      <c r="C3336"/>
      <c r="D3336"/>
      <c r="L3336"/>
      <c r="R3336"/>
      <c r="S3336"/>
      <c r="T3336"/>
      <c r="U3336"/>
    </row>
    <row r="3337" spans="1:21">
      <c r="A3337"/>
      <c r="C3337"/>
      <c r="D3337"/>
      <c r="L3337"/>
      <c r="R3337"/>
      <c r="S3337"/>
      <c r="T3337"/>
      <c r="U3337"/>
    </row>
    <row r="3338" spans="1:21">
      <c r="A3338"/>
      <c r="C3338"/>
      <c r="D3338"/>
      <c r="L3338"/>
      <c r="R3338"/>
      <c r="S3338"/>
      <c r="T3338"/>
      <c r="U3338"/>
    </row>
    <row r="3339" spans="1:21">
      <c r="A3339"/>
      <c r="C3339"/>
      <c r="D3339"/>
      <c r="L3339"/>
      <c r="R3339"/>
      <c r="S3339"/>
      <c r="T3339"/>
      <c r="U3339"/>
    </row>
    <row r="3340" spans="1:21">
      <c r="A3340"/>
      <c r="C3340"/>
      <c r="D3340"/>
      <c r="L3340"/>
      <c r="R3340"/>
      <c r="S3340"/>
      <c r="T3340"/>
      <c r="U3340"/>
    </row>
    <row r="3341" spans="1:21">
      <c r="A3341"/>
      <c r="C3341"/>
      <c r="D3341"/>
      <c r="L3341"/>
      <c r="R3341"/>
      <c r="S3341"/>
      <c r="T3341"/>
      <c r="U3341"/>
    </row>
    <row r="3342" spans="1:21">
      <c r="A3342"/>
      <c r="C3342"/>
      <c r="D3342"/>
      <c r="L3342"/>
      <c r="R3342"/>
      <c r="S3342"/>
      <c r="T3342"/>
      <c r="U3342"/>
    </row>
    <row r="3343" spans="1:21">
      <c r="A3343"/>
      <c r="C3343"/>
      <c r="D3343"/>
      <c r="L3343"/>
      <c r="R3343"/>
      <c r="S3343"/>
      <c r="T3343"/>
      <c r="U3343"/>
    </row>
    <row r="3344" spans="1:21">
      <c r="A3344"/>
      <c r="C3344"/>
      <c r="D3344"/>
      <c r="L3344"/>
      <c r="R3344"/>
      <c r="S3344"/>
      <c r="T3344"/>
      <c r="U3344"/>
    </row>
    <row r="3345" spans="1:21">
      <c r="A3345"/>
      <c r="C3345"/>
      <c r="D3345"/>
      <c r="L3345"/>
      <c r="R3345"/>
      <c r="S3345"/>
      <c r="T3345"/>
      <c r="U3345"/>
    </row>
    <row r="3346" spans="1:21">
      <c r="A3346"/>
      <c r="C3346"/>
      <c r="D3346"/>
      <c r="L3346"/>
      <c r="R3346"/>
      <c r="S3346"/>
      <c r="T3346"/>
      <c r="U3346"/>
    </row>
    <row r="3347" spans="1:21">
      <c r="A3347"/>
      <c r="C3347"/>
      <c r="D3347"/>
      <c r="L3347"/>
      <c r="R3347"/>
      <c r="S3347"/>
      <c r="T3347"/>
      <c r="U3347"/>
    </row>
    <row r="3348" spans="1:21">
      <c r="A3348"/>
      <c r="C3348"/>
      <c r="D3348"/>
      <c r="L3348"/>
      <c r="R3348"/>
      <c r="S3348"/>
      <c r="T3348"/>
      <c r="U3348"/>
    </row>
    <row r="3349" spans="1:21">
      <c r="A3349"/>
      <c r="C3349"/>
      <c r="D3349"/>
      <c r="L3349"/>
      <c r="R3349"/>
      <c r="S3349"/>
      <c r="T3349"/>
      <c r="U3349"/>
    </row>
    <row r="3350" spans="1:21">
      <c r="A3350"/>
      <c r="C3350"/>
      <c r="D3350"/>
      <c r="L3350"/>
      <c r="R3350"/>
      <c r="S3350"/>
      <c r="T3350"/>
      <c r="U3350"/>
    </row>
    <row r="3351" spans="1:21">
      <c r="A3351"/>
      <c r="C3351"/>
      <c r="D3351"/>
      <c r="L3351"/>
      <c r="R3351"/>
      <c r="S3351"/>
      <c r="T3351"/>
      <c r="U3351"/>
    </row>
    <row r="3352" spans="1:21">
      <c r="A3352"/>
      <c r="C3352"/>
      <c r="D3352"/>
      <c r="L3352"/>
      <c r="R3352"/>
      <c r="S3352"/>
      <c r="T3352"/>
      <c r="U3352"/>
    </row>
    <row r="3353" spans="1:21">
      <c r="A3353"/>
      <c r="C3353"/>
      <c r="D3353"/>
      <c r="L3353"/>
      <c r="R3353"/>
      <c r="S3353"/>
      <c r="T3353"/>
      <c r="U3353"/>
    </row>
    <row r="3354" spans="1:21">
      <c r="A3354"/>
      <c r="C3354"/>
      <c r="D3354"/>
      <c r="L3354"/>
      <c r="R3354"/>
      <c r="S3354"/>
      <c r="T3354"/>
      <c r="U3354"/>
    </row>
    <row r="3355" spans="1:21">
      <c r="A3355"/>
      <c r="C3355"/>
      <c r="D3355"/>
      <c r="L3355"/>
      <c r="R3355"/>
      <c r="S3355"/>
      <c r="T3355"/>
      <c r="U3355"/>
    </row>
    <row r="3356" spans="1:21">
      <c r="A3356"/>
      <c r="C3356"/>
      <c r="D3356"/>
      <c r="L3356"/>
      <c r="R3356"/>
      <c r="S3356"/>
      <c r="T3356"/>
      <c r="U3356"/>
    </row>
    <row r="3357" spans="1:21">
      <c r="A3357"/>
      <c r="C3357"/>
      <c r="D3357"/>
      <c r="L3357"/>
      <c r="R3357"/>
      <c r="S3357"/>
      <c r="T3357"/>
      <c r="U3357"/>
    </row>
    <row r="3358" spans="1:21">
      <c r="A3358"/>
      <c r="C3358"/>
      <c r="D3358"/>
      <c r="L3358"/>
      <c r="R3358"/>
      <c r="S3358"/>
      <c r="T3358"/>
      <c r="U3358"/>
    </row>
    <row r="3359" spans="1:21">
      <c r="A3359"/>
      <c r="C3359"/>
      <c r="D3359"/>
      <c r="L3359"/>
      <c r="R3359"/>
      <c r="S3359"/>
      <c r="T3359"/>
      <c r="U3359"/>
    </row>
    <row r="3360" spans="1:21">
      <c r="A3360"/>
      <c r="C3360"/>
      <c r="D3360"/>
      <c r="L3360"/>
      <c r="R3360"/>
      <c r="S3360"/>
      <c r="T3360"/>
      <c r="U3360"/>
    </row>
    <row r="3361" spans="1:21">
      <c r="A3361"/>
      <c r="C3361"/>
      <c r="D3361"/>
      <c r="L3361"/>
      <c r="R3361"/>
      <c r="S3361"/>
      <c r="T3361"/>
      <c r="U3361"/>
    </row>
    <row r="3362" spans="1:21">
      <c r="A3362"/>
      <c r="C3362"/>
      <c r="D3362"/>
      <c r="L3362"/>
      <c r="R3362"/>
      <c r="S3362"/>
      <c r="T3362"/>
      <c r="U3362"/>
    </row>
    <row r="3363" spans="1:21">
      <c r="A3363"/>
      <c r="C3363"/>
      <c r="D3363"/>
      <c r="L3363"/>
      <c r="R3363"/>
      <c r="S3363"/>
      <c r="T3363"/>
      <c r="U3363"/>
    </row>
    <row r="3364" spans="1:21">
      <c r="A3364"/>
      <c r="C3364"/>
      <c r="D3364"/>
      <c r="L3364"/>
      <c r="R3364"/>
      <c r="S3364"/>
      <c r="T3364"/>
      <c r="U3364"/>
    </row>
    <row r="3365" spans="1:21">
      <c r="A3365"/>
      <c r="C3365"/>
      <c r="D3365"/>
      <c r="L3365"/>
      <c r="R3365"/>
      <c r="S3365"/>
      <c r="T3365"/>
      <c r="U3365"/>
    </row>
    <row r="3366" spans="1:21">
      <c r="A3366"/>
      <c r="C3366"/>
      <c r="D3366"/>
      <c r="L3366"/>
      <c r="R3366"/>
      <c r="S3366"/>
      <c r="T3366"/>
      <c r="U3366"/>
    </row>
    <row r="3367" spans="1:21">
      <c r="A3367"/>
      <c r="C3367"/>
      <c r="D3367"/>
      <c r="L3367"/>
      <c r="R3367"/>
      <c r="S3367"/>
      <c r="T3367"/>
      <c r="U3367"/>
    </row>
    <row r="3368" spans="1:21">
      <c r="A3368"/>
      <c r="C3368"/>
      <c r="D3368"/>
      <c r="L3368"/>
      <c r="R3368"/>
      <c r="S3368"/>
      <c r="T3368"/>
      <c r="U3368"/>
    </row>
    <row r="3369" spans="1:21">
      <c r="A3369"/>
      <c r="C3369"/>
      <c r="D3369"/>
      <c r="L3369"/>
      <c r="R3369"/>
      <c r="S3369"/>
      <c r="T3369"/>
      <c r="U3369"/>
    </row>
    <row r="3370" spans="1:21">
      <c r="A3370"/>
      <c r="C3370"/>
      <c r="D3370"/>
      <c r="L3370"/>
      <c r="R3370"/>
      <c r="S3370"/>
      <c r="T3370"/>
      <c r="U3370"/>
    </row>
    <row r="3371" spans="1:21">
      <c r="A3371"/>
      <c r="C3371"/>
      <c r="D3371"/>
      <c r="L3371"/>
      <c r="R3371"/>
      <c r="S3371"/>
      <c r="T3371"/>
      <c r="U3371"/>
    </row>
    <row r="3372" spans="1:21">
      <c r="A3372"/>
      <c r="C3372"/>
      <c r="D3372"/>
      <c r="L3372"/>
      <c r="R3372"/>
      <c r="S3372"/>
      <c r="T3372"/>
      <c r="U3372"/>
    </row>
    <row r="3373" spans="1:21">
      <c r="A3373"/>
      <c r="C3373"/>
      <c r="D3373"/>
      <c r="L3373"/>
      <c r="R3373"/>
      <c r="S3373"/>
      <c r="T3373"/>
      <c r="U3373"/>
    </row>
    <row r="3374" spans="1:21">
      <c r="A3374"/>
      <c r="C3374"/>
      <c r="D3374"/>
      <c r="L3374"/>
      <c r="R3374"/>
      <c r="S3374"/>
      <c r="T3374"/>
      <c r="U3374"/>
    </row>
    <row r="3375" spans="1:21">
      <c r="A3375"/>
      <c r="C3375"/>
      <c r="D3375"/>
      <c r="L3375"/>
      <c r="R3375"/>
      <c r="S3375"/>
      <c r="T3375"/>
      <c r="U3375"/>
    </row>
    <row r="3376" spans="1:21">
      <c r="A3376"/>
      <c r="C3376"/>
      <c r="D3376"/>
      <c r="L3376"/>
      <c r="R3376"/>
      <c r="S3376"/>
      <c r="T3376"/>
      <c r="U3376"/>
    </row>
    <row r="3377" spans="1:21">
      <c r="A3377"/>
      <c r="C3377"/>
      <c r="D3377"/>
      <c r="L3377"/>
      <c r="R3377"/>
      <c r="S3377"/>
      <c r="T3377"/>
      <c r="U3377"/>
    </row>
    <row r="3378" spans="1:21">
      <c r="A3378"/>
      <c r="C3378"/>
      <c r="D3378"/>
      <c r="L3378"/>
      <c r="R3378"/>
      <c r="S3378"/>
      <c r="T3378"/>
      <c r="U3378"/>
    </row>
    <row r="3379" spans="1:21">
      <c r="A3379"/>
      <c r="C3379"/>
      <c r="D3379"/>
      <c r="L3379"/>
      <c r="R3379"/>
      <c r="S3379"/>
      <c r="T3379"/>
      <c r="U3379"/>
    </row>
    <row r="3380" spans="1:21">
      <c r="A3380"/>
      <c r="C3380"/>
      <c r="D3380"/>
      <c r="L3380"/>
      <c r="R3380"/>
      <c r="S3380"/>
      <c r="T3380"/>
      <c r="U3380"/>
    </row>
    <row r="3381" spans="1:21">
      <c r="A3381"/>
      <c r="C3381"/>
      <c r="D3381"/>
      <c r="L3381"/>
      <c r="R3381"/>
      <c r="S3381"/>
      <c r="T3381"/>
      <c r="U3381"/>
    </row>
    <row r="3382" spans="1:21">
      <c r="A3382"/>
      <c r="C3382"/>
      <c r="D3382"/>
      <c r="L3382"/>
      <c r="R3382"/>
      <c r="S3382"/>
      <c r="T3382"/>
      <c r="U3382"/>
    </row>
    <row r="3383" spans="1:21">
      <c r="A3383"/>
      <c r="C3383"/>
      <c r="D3383"/>
      <c r="L3383"/>
      <c r="R3383"/>
      <c r="S3383"/>
      <c r="T3383"/>
      <c r="U3383"/>
    </row>
    <row r="3384" spans="1:21">
      <c r="A3384"/>
      <c r="C3384"/>
      <c r="D3384"/>
      <c r="L3384"/>
      <c r="R3384"/>
      <c r="S3384"/>
      <c r="T3384"/>
      <c r="U3384"/>
    </row>
    <row r="3385" spans="1:21">
      <c r="A3385"/>
      <c r="C3385"/>
      <c r="D3385"/>
      <c r="L3385"/>
      <c r="R3385"/>
      <c r="S3385"/>
      <c r="T3385"/>
      <c r="U3385"/>
    </row>
    <row r="3386" spans="1:21">
      <c r="A3386"/>
      <c r="C3386"/>
      <c r="D3386"/>
      <c r="L3386"/>
      <c r="R3386"/>
      <c r="S3386"/>
      <c r="T3386"/>
      <c r="U3386"/>
    </row>
    <row r="3387" spans="1:21">
      <c r="A3387"/>
      <c r="C3387"/>
      <c r="D3387"/>
      <c r="L3387"/>
      <c r="R3387"/>
      <c r="S3387"/>
      <c r="T3387"/>
      <c r="U3387"/>
    </row>
    <row r="3388" spans="1:21">
      <c r="A3388"/>
      <c r="C3388"/>
      <c r="D3388"/>
      <c r="L3388"/>
      <c r="R3388"/>
      <c r="S3388"/>
      <c r="T3388"/>
      <c r="U3388"/>
    </row>
    <row r="3389" spans="1:21">
      <c r="A3389"/>
      <c r="C3389"/>
      <c r="D3389"/>
      <c r="L3389"/>
      <c r="R3389"/>
      <c r="S3389"/>
      <c r="T3389"/>
      <c r="U3389"/>
    </row>
    <row r="3390" spans="1:21">
      <c r="A3390"/>
      <c r="C3390"/>
      <c r="D3390"/>
      <c r="L3390"/>
      <c r="R3390"/>
      <c r="S3390"/>
      <c r="T3390"/>
      <c r="U3390"/>
    </row>
    <row r="3391" spans="1:21">
      <c r="A3391"/>
      <c r="C3391"/>
      <c r="D3391"/>
      <c r="L3391"/>
      <c r="R3391"/>
      <c r="S3391"/>
      <c r="T3391"/>
      <c r="U3391"/>
    </row>
    <row r="3392" spans="1:21">
      <c r="A3392"/>
      <c r="C3392"/>
      <c r="D3392"/>
      <c r="L3392"/>
      <c r="R3392"/>
      <c r="S3392"/>
      <c r="T3392"/>
      <c r="U3392"/>
    </row>
    <row r="3393" spans="1:21">
      <c r="A3393"/>
      <c r="C3393"/>
      <c r="D3393"/>
      <c r="L3393"/>
      <c r="R3393"/>
      <c r="S3393"/>
      <c r="T3393"/>
      <c r="U3393"/>
    </row>
    <row r="3394" spans="1:21">
      <c r="A3394"/>
      <c r="C3394"/>
      <c r="D3394"/>
      <c r="L3394"/>
      <c r="R3394"/>
      <c r="S3394"/>
      <c r="T3394"/>
      <c r="U3394"/>
    </row>
    <row r="3395" spans="1:21">
      <c r="A3395"/>
      <c r="C3395"/>
      <c r="D3395"/>
      <c r="L3395"/>
      <c r="R3395"/>
      <c r="S3395"/>
      <c r="T3395"/>
      <c r="U3395"/>
    </row>
    <row r="3396" spans="1:21">
      <c r="A3396"/>
      <c r="C3396"/>
      <c r="D3396"/>
      <c r="L3396"/>
      <c r="R3396"/>
      <c r="S3396"/>
      <c r="T3396"/>
      <c r="U3396"/>
    </row>
    <row r="3397" spans="1:21">
      <c r="A3397"/>
      <c r="C3397"/>
      <c r="D3397"/>
      <c r="L3397"/>
      <c r="R3397"/>
      <c r="S3397"/>
      <c r="T3397"/>
      <c r="U3397"/>
    </row>
    <row r="3398" spans="1:21">
      <c r="A3398"/>
      <c r="C3398"/>
      <c r="D3398"/>
      <c r="L3398"/>
      <c r="R3398"/>
      <c r="S3398"/>
      <c r="T3398"/>
      <c r="U3398"/>
    </row>
    <row r="3399" spans="1:21">
      <c r="A3399"/>
      <c r="C3399"/>
      <c r="D3399"/>
      <c r="L3399"/>
      <c r="R3399"/>
      <c r="S3399"/>
      <c r="T3399"/>
      <c r="U3399"/>
    </row>
    <row r="3400" spans="1:21">
      <c r="A3400"/>
      <c r="C3400"/>
      <c r="D3400"/>
      <c r="L3400"/>
      <c r="R3400"/>
      <c r="S3400"/>
      <c r="T3400"/>
      <c r="U3400"/>
    </row>
    <row r="3401" spans="1:21">
      <c r="A3401"/>
      <c r="C3401"/>
      <c r="D3401"/>
      <c r="L3401"/>
      <c r="R3401"/>
      <c r="S3401"/>
      <c r="T3401"/>
      <c r="U3401"/>
    </row>
    <row r="3402" spans="1:21">
      <c r="A3402"/>
      <c r="C3402"/>
      <c r="D3402"/>
      <c r="L3402"/>
      <c r="R3402"/>
      <c r="S3402"/>
      <c r="T3402"/>
      <c r="U3402"/>
    </row>
    <row r="3403" spans="1:21">
      <c r="A3403"/>
      <c r="C3403"/>
      <c r="D3403"/>
      <c r="L3403"/>
      <c r="R3403"/>
      <c r="S3403"/>
      <c r="T3403"/>
      <c r="U3403"/>
    </row>
    <row r="3404" spans="1:21">
      <c r="A3404"/>
      <c r="C3404"/>
      <c r="D3404"/>
      <c r="L3404"/>
      <c r="R3404"/>
      <c r="S3404"/>
      <c r="T3404"/>
      <c r="U3404"/>
    </row>
    <row r="3405" spans="1:21">
      <c r="A3405"/>
      <c r="C3405"/>
      <c r="D3405"/>
      <c r="L3405"/>
      <c r="R3405"/>
      <c r="S3405"/>
      <c r="T3405"/>
      <c r="U3405"/>
    </row>
    <row r="3406" spans="1:21">
      <c r="A3406"/>
      <c r="C3406"/>
      <c r="D3406"/>
      <c r="L3406"/>
      <c r="R3406"/>
      <c r="S3406"/>
      <c r="T3406"/>
      <c r="U3406"/>
    </row>
    <row r="3407" spans="1:21">
      <c r="A3407"/>
      <c r="C3407"/>
      <c r="D3407"/>
      <c r="L3407"/>
      <c r="R3407"/>
      <c r="S3407"/>
      <c r="T3407"/>
      <c r="U3407"/>
    </row>
    <row r="3408" spans="1:21">
      <c r="A3408"/>
      <c r="C3408"/>
      <c r="D3408"/>
      <c r="L3408"/>
      <c r="R3408"/>
      <c r="S3408"/>
      <c r="T3408"/>
      <c r="U3408"/>
    </row>
    <row r="3409" spans="1:21">
      <c r="A3409"/>
      <c r="C3409"/>
      <c r="D3409"/>
      <c r="L3409"/>
      <c r="R3409"/>
      <c r="S3409"/>
      <c r="T3409"/>
      <c r="U3409"/>
    </row>
    <row r="3410" spans="1:21">
      <c r="A3410"/>
      <c r="C3410"/>
      <c r="D3410"/>
      <c r="L3410"/>
      <c r="R3410"/>
      <c r="S3410"/>
      <c r="T3410"/>
      <c r="U3410"/>
    </row>
    <row r="3411" spans="1:21">
      <c r="A3411"/>
      <c r="C3411"/>
      <c r="D3411"/>
      <c r="L3411"/>
      <c r="R3411"/>
      <c r="S3411"/>
      <c r="T3411"/>
      <c r="U3411"/>
    </row>
    <row r="3412" spans="1:21">
      <c r="A3412"/>
      <c r="C3412"/>
      <c r="D3412"/>
      <c r="L3412"/>
      <c r="R3412"/>
      <c r="S3412"/>
      <c r="T3412"/>
      <c r="U3412"/>
    </row>
    <row r="3413" spans="1:21">
      <c r="A3413"/>
      <c r="C3413"/>
      <c r="D3413"/>
      <c r="L3413"/>
      <c r="R3413"/>
      <c r="S3413"/>
      <c r="T3413"/>
      <c r="U3413"/>
    </row>
    <row r="3414" spans="1:21">
      <c r="A3414"/>
      <c r="C3414"/>
      <c r="D3414"/>
      <c r="L3414"/>
      <c r="R3414"/>
      <c r="S3414"/>
      <c r="T3414"/>
      <c r="U3414"/>
    </row>
    <row r="3415" spans="1:21">
      <c r="A3415"/>
      <c r="C3415"/>
      <c r="D3415"/>
      <c r="L3415"/>
      <c r="R3415"/>
      <c r="S3415"/>
      <c r="T3415"/>
      <c r="U3415"/>
    </row>
    <row r="3416" spans="1:21">
      <c r="A3416"/>
      <c r="C3416"/>
      <c r="D3416"/>
      <c r="L3416"/>
      <c r="R3416"/>
      <c r="S3416"/>
      <c r="T3416"/>
      <c r="U3416"/>
    </row>
    <row r="3417" spans="1:21">
      <c r="A3417"/>
      <c r="C3417"/>
      <c r="D3417"/>
      <c r="L3417"/>
      <c r="R3417"/>
      <c r="S3417"/>
      <c r="T3417"/>
      <c r="U3417"/>
    </row>
    <row r="3418" spans="1:21">
      <c r="A3418"/>
      <c r="C3418"/>
      <c r="D3418"/>
      <c r="L3418"/>
      <c r="R3418"/>
      <c r="S3418"/>
      <c r="T3418"/>
      <c r="U3418"/>
    </row>
    <row r="3419" spans="1:21">
      <c r="A3419"/>
      <c r="C3419"/>
      <c r="D3419"/>
      <c r="L3419"/>
      <c r="R3419"/>
      <c r="S3419"/>
      <c r="T3419"/>
      <c r="U3419"/>
    </row>
    <row r="3420" spans="1:21">
      <c r="A3420"/>
      <c r="C3420"/>
      <c r="D3420"/>
      <c r="L3420"/>
      <c r="R3420"/>
      <c r="S3420"/>
      <c r="T3420"/>
      <c r="U3420"/>
    </row>
    <row r="3421" spans="1:21">
      <c r="A3421"/>
      <c r="C3421"/>
      <c r="D3421"/>
      <c r="L3421"/>
      <c r="R3421"/>
      <c r="S3421"/>
      <c r="T3421"/>
      <c r="U3421"/>
    </row>
    <row r="3422" spans="1:21">
      <c r="A3422"/>
      <c r="C3422"/>
      <c r="D3422"/>
      <c r="L3422"/>
      <c r="R3422"/>
      <c r="S3422"/>
      <c r="T3422"/>
      <c r="U3422"/>
    </row>
    <row r="3423" spans="1:21">
      <c r="A3423"/>
      <c r="C3423"/>
      <c r="D3423"/>
      <c r="L3423"/>
      <c r="R3423"/>
      <c r="S3423"/>
      <c r="T3423"/>
      <c r="U3423"/>
    </row>
    <row r="3424" spans="1:21">
      <c r="A3424"/>
      <c r="C3424"/>
      <c r="D3424"/>
      <c r="L3424"/>
      <c r="R3424"/>
      <c r="S3424"/>
      <c r="T3424"/>
      <c r="U3424"/>
    </row>
    <row r="3425" spans="1:21">
      <c r="A3425"/>
      <c r="C3425"/>
      <c r="D3425"/>
      <c r="L3425"/>
      <c r="R3425"/>
      <c r="S3425"/>
      <c r="T3425"/>
      <c r="U3425"/>
    </row>
    <row r="3426" spans="1:21">
      <c r="A3426"/>
      <c r="C3426"/>
      <c r="D3426"/>
      <c r="L3426"/>
      <c r="R3426"/>
      <c r="S3426"/>
      <c r="T3426"/>
      <c r="U3426"/>
    </row>
    <row r="3427" spans="1:21">
      <c r="A3427"/>
      <c r="C3427"/>
      <c r="D3427"/>
      <c r="L3427"/>
      <c r="R3427"/>
      <c r="S3427"/>
      <c r="T3427"/>
      <c r="U3427"/>
    </row>
    <row r="3428" spans="1:21">
      <c r="A3428"/>
      <c r="C3428"/>
      <c r="D3428"/>
      <c r="L3428"/>
      <c r="R3428"/>
      <c r="S3428"/>
      <c r="T3428"/>
      <c r="U3428"/>
    </row>
    <row r="3429" spans="1:21">
      <c r="A3429"/>
      <c r="C3429"/>
      <c r="D3429"/>
      <c r="L3429"/>
      <c r="R3429"/>
      <c r="S3429"/>
      <c r="T3429"/>
      <c r="U3429"/>
    </row>
    <row r="3430" spans="1:21">
      <c r="A3430"/>
      <c r="C3430"/>
      <c r="D3430"/>
      <c r="L3430"/>
      <c r="R3430"/>
      <c r="S3430"/>
      <c r="T3430"/>
      <c r="U3430"/>
    </row>
    <row r="3431" spans="1:21">
      <c r="A3431"/>
      <c r="C3431"/>
      <c r="D3431"/>
      <c r="L3431"/>
      <c r="R3431"/>
      <c r="S3431"/>
      <c r="T3431"/>
      <c r="U3431"/>
    </row>
    <row r="3432" spans="1:21">
      <c r="A3432"/>
      <c r="C3432"/>
      <c r="D3432"/>
      <c r="L3432"/>
      <c r="R3432"/>
      <c r="S3432"/>
      <c r="T3432"/>
      <c r="U3432"/>
    </row>
    <row r="3433" spans="1:21">
      <c r="A3433"/>
      <c r="C3433"/>
      <c r="D3433"/>
      <c r="L3433"/>
      <c r="R3433"/>
      <c r="S3433"/>
      <c r="T3433"/>
      <c r="U3433"/>
    </row>
    <row r="3434" spans="1:21">
      <c r="A3434"/>
      <c r="C3434"/>
      <c r="D3434"/>
      <c r="L3434"/>
      <c r="R3434"/>
      <c r="S3434"/>
      <c r="T3434"/>
      <c r="U3434"/>
    </row>
    <row r="3435" spans="1:21">
      <c r="A3435"/>
      <c r="C3435"/>
      <c r="D3435"/>
      <c r="L3435"/>
      <c r="R3435"/>
      <c r="S3435"/>
      <c r="T3435"/>
      <c r="U3435"/>
    </row>
    <row r="3436" spans="1:21">
      <c r="A3436"/>
      <c r="C3436"/>
      <c r="D3436"/>
      <c r="L3436"/>
      <c r="R3436"/>
      <c r="S3436"/>
      <c r="T3436"/>
      <c r="U3436"/>
    </row>
    <row r="3437" spans="1:21">
      <c r="A3437"/>
      <c r="C3437"/>
      <c r="D3437"/>
      <c r="L3437"/>
      <c r="R3437"/>
      <c r="S3437"/>
      <c r="T3437"/>
      <c r="U3437"/>
    </row>
    <row r="3438" spans="1:21">
      <c r="A3438"/>
      <c r="C3438"/>
      <c r="D3438"/>
      <c r="L3438"/>
      <c r="R3438"/>
      <c r="S3438"/>
      <c r="T3438"/>
      <c r="U3438"/>
    </row>
    <row r="3439" spans="1:21">
      <c r="A3439"/>
      <c r="C3439"/>
      <c r="D3439"/>
      <c r="L3439"/>
      <c r="R3439"/>
      <c r="S3439"/>
      <c r="T3439"/>
      <c r="U3439"/>
    </row>
    <row r="3440" spans="1:21">
      <c r="A3440"/>
      <c r="C3440"/>
      <c r="D3440"/>
      <c r="L3440"/>
      <c r="R3440"/>
      <c r="S3440"/>
      <c r="T3440"/>
      <c r="U3440"/>
    </row>
    <row r="3441" spans="1:21">
      <c r="A3441"/>
      <c r="C3441"/>
      <c r="D3441"/>
      <c r="L3441"/>
      <c r="R3441"/>
      <c r="S3441"/>
      <c r="T3441"/>
      <c r="U3441"/>
    </row>
    <row r="3442" spans="1:21">
      <c r="A3442"/>
      <c r="C3442"/>
      <c r="D3442"/>
      <c r="L3442"/>
      <c r="R3442"/>
      <c r="S3442"/>
      <c r="T3442"/>
      <c r="U3442"/>
    </row>
    <row r="3443" spans="1:21">
      <c r="A3443"/>
      <c r="C3443"/>
      <c r="D3443"/>
      <c r="L3443"/>
      <c r="R3443"/>
      <c r="S3443"/>
      <c r="T3443"/>
      <c r="U3443"/>
    </row>
    <row r="3444" spans="1:21">
      <c r="A3444"/>
      <c r="C3444"/>
      <c r="D3444"/>
      <c r="L3444"/>
      <c r="R3444"/>
      <c r="S3444"/>
      <c r="T3444"/>
      <c r="U3444"/>
    </row>
    <row r="3445" spans="1:21">
      <c r="A3445"/>
      <c r="C3445"/>
      <c r="D3445"/>
      <c r="L3445"/>
      <c r="R3445"/>
      <c r="S3445"/>
      <c r="T3445"/>
      <c r="U3445"/>
    </row>
    <row r="3446" spans="1:21">
      <c r="A3446"/>
      <c r="C3446"/>
      <c r="D3446"/>
      <c r="L3446"/>
      <c r="R3446"/>
      <c r="S3446"/>
      <c r="T3446"/>
      <c r="U3446"/>
    </row>
    <row r="3447" spans="1:21">
      <c r="A3447"/>
      <c r="C3447"/>
      <c r="D3447"/>
      <c r="L3447"/>
      <c r="R3447"/>
      <c r="S3447"/>
      <c r="T3447"/>
      <c r="U3447"/>
    </row>
    <row r="3448" spans="1:21">
      <c r="A3448"/>
      <c r="C3448"/>
      <c r="D3448"/>
      <c r="L3448"/>
      <c r="R3448"/>
      <c r="S3448"/>
      <c r="T3448"/>
      <c r="U3448"/>
    </row>
    <row r="3449" spans="1:21">
      <c r="A3449"/>
      <c r="C3449"/>
      <c r="D3449"/>
      <c r="L3449"/>
      <c r="R3449"/>
      <c r="S3449"/>
      <c r="T3449"/>
      <c r="U3449"/>
    </row>
    <row r="3450" spans="1:21">
      <c r="A3450"/>
      <c r="C3450"/>
      <c r="D3450"/>
      <c r="L3450"/>
      <c r="R3450"/>
      <c r="S3450"/>
      <c r="T3450"/>
      <c r="U3450"/>
    </row>
    <row r="3451" spans="1:21">
      <c r="A3451"/>
      <c r="C3451"/>
      <c r="D3451"/>
      <c r="L3451"/>
      <c r="R3451"/>
      <c r="S3451"/>
      <c r="T3451"/>
      <c r="U3451"/>
    </row>
    <row r="3452" spans="1:21">
      <c r="A3452"/>
      <c r="C3452"/>
      <c r="D3452"/>
      <c r="L3452"/>
      <c r="R3452"/>
      <c r="S3452"/>
      <c r="T3452"/>
      <c r="U3452"/>
    </row>
    <row r="3453" spans="1:21">
      <c r="A3453"/>
      <c r="C3453"/>
      <c r="D3453"/>
      <c r="L3453"/>
      <c r="R3453"/>
      <c r="S3453"/>
      <c r="T3453"/>
      <c r="U3453"/>
    </row>
    <row r="3454" spans="1:21">
      <c r="A3454"/>
      <c r="C3454"/>
      <c r="D3454"/>
      <c r="L3454"/>
      <c r="R3454"/>
      <c r="S3454"/>
      <c r="T3454"/>
      <c r="U3454"/>
    </row>
    <row r="3455" spans="1:21">
      <c r="A3455"/>
      <c r="C3455"/>
      <c r="D3455"/>
      <c r="L3455"/>
      <c r="R3455"/>
      <c r="S3455"/>
      <c r="T3455"/>
      <c r="U3455"/>
    </row>
    <row r="3456" spans="1:21">
      <c r="A3456"/>
      <c r="C3456"/>
      <c r="D3456"/>
      <c r="L3456"/>
      <c r="R3456"/>
      <c r="S3456"/>
      <c r="T3456"/>
      <c r="U3456"/>
    </row>
    <row r="3457" spans="1:21">
      <c r="A3457"/>
      <c r="C3457"/>
      <c r="D3457"/>
      <c r="L3457"/>
      <c r="R3457"/>
      <c r="S3457"/>
      <c r="T3457"/>
      <c r="U3457"/>
    </row>
    <row r="3458" spans="1:21">
      <c r="A3458"/>
      <c r="C3458"/>
      <c r="D3458"/>
      <c r="L3458"/>
      <c r="R3458"/>
      <c r="S3458"/>
      <c r="T3458"/>
      <c r="U3458"/>
    </row>
    <row r="3459" spans="1:21">
      <c r="A3459"/>
      <c r="C3459"/>
      <c r="D3459"/>
      <c r="L3459"/>
      <c r="R3459"/>
      <c r="S3459"/>
      <c r="T3459"/>
      <c r="U3459"/>
    </row>
    <row r="3460" spans="1:21">
      <c r="A3460"/>
      <c r="C3460"/>
      <c r="D3460"/>
      <c r="L3460"/>
      <c r="R3460"/>
      <c r="S3460"/>
      <c r="T3460"/>
      <c r="U3460"/>
    </row>
    <row r="3461" spans="1:21">
      <c r="A3461"/>
      <c r="C3461"/>
      <c r="D3461"/>
      <c r="L3461"/>
      <c r="R3461"/>
      <c r="S3461"/>
      <c r="T3461"/>
      <c r="U3461"/>
    </row>
    <row r="3462" spans="1:21">
      <c r="A3462"/>
      <c r="C3462"/>
      <c r="D3462"/>
      <c r="L3462"/>
      <c r="R3462"/>
      <c r="S3462"/>
      <c r="T3462"/>
      <c r="U3462"/>
    </row>
    <row r="3463" spans="1:21">
      <c r="A3463"/>
      <c r="C3463"/>
      <c r="D3463"/>
      <c r="L3463"/>
      <c r="R3463"/>
      <c r="S3463"/>
      <c r="T3463"/>
      <c r="U3463"/>
    </row>
    <row r="3464" spans="1:21">
      <c r="A3464"/>
      <c r="C3464"/>
      <c r="D3464"/>
      <c r="L3464"/>
      <c r="R3464"/>
      <c r="S3464"/>
      <c r="T3464"/>
      <c r="U3464"/>
    </row>
    <row r="3465" spans="1:21">
      <c r="A3465"/>
      <c r="C3465"/>
      <c r="D3465"/>
      <c r="L3465"/>
      <c r="R3465"/>
      <c r="S3465"/>
      <c r="T3465"/>
      <c r="U3465"/>
    </row>
    <row r="3466" spans="1:21">
      <c r="A3466"/>
      <c r="C3466"/>
      <c r="D3466"/>
      <c r="L3466"/>
      <c r="R3466"/>
      <c r="S3466"/>
      <c r="T3466"/>
      <c r="U3466"/>
    </row>
    <row r="3467" spans="1:21">
      <c r="A3467"/>
      <c r="C3467"/>
      <c r="D3467"/>
      <c r="L3467"/>
      <c r="R3467"/>
      <c r="S3467"/>
      <c r="T3467"/>
      <c r="U3467"/>
    </row>
    <row r="3468" spans="1:21">
      <c r="A3468"/>
      <c r="C3468"/>
      <c r="D3468"/>
      <c r="L3468"/>
      <c r="R3468"/>
      <c r="S3468"/>
      <c r="T3468"/>
      <c r="U3468"/>
    </row>
    <row r="3469" spans="1:21">
      <c r="A3469"/>
      <c r="C3469"/>
      <c r="D3469"/>
      <c r="L3469"/>
      <c r="R3469"/>
      <c r="S3469"/>
      <c r="T3469"/>
      <c r="U3469"/>
    </row>
    <row r="3470" spans="1:21">
      <c r="A3470"/>
      <c r="C3470"/>
      <c r="D3470"/>
      <c r="L3470"/>
      <c r="R3470"/>
      <c r="S3470"/>
      <c r="T3470"/>
      <c r="U3470"/>
    </row>
    <row r="3471" spans="1:21">
      <c r="A3471"/>
      <c r="C3471"/>
      <c r="D3471"/>
      <c r="L3471"/>
      <c r="R3471"/>
      <c r="S3471"/>
      <c r="T3471"/>
      <c r="U3471"/>
    </row>
    <row r="3472" spans="1:21">
      <c r="A3472"/>
      <c r="C3472"/>
      <c r="D3472"/>
      <c r="L3472"/>
      <c r="R3472"/>
      <c r="S3472"/>
      <c r="T3472"/>
      <c r="U3472"/>
    </row>
    <row r="3473" spans="1:21">
      <c r="A3473"/>
      <c r="C3473"/>
      <c r="D3473"/>
      <c r="L3473"/>
      <c r="R3473"/>
      <c r="S3473"/>
      <c r="T3473"/>
      <c r="U3473"/>
    </row>
    <row r="3474" spans="1:21">
      <c r="A3474"/>
      <c r="C3474"/>
      <c r="D3474"/>
      <c r="L3474"/>
      <c r="R3474"/>
      <c r="S3474"/>
      <c r="T3474"/>
      <c r="U3474"/>
    </row>
    <row r="3475" spans="1:21">
      <c r="A3475"/>
      <c r="C3475"/>
      <c r="D3475"/>
      <c r="L3475"/>
      <c r="R3475"/>
      <c r="S3475"/>
      <c r="T3475"/>
      <c r="U3475"/>
    </row>
    <row r="3476" spans="1:21">
      <c r="A3476"/>
      <c r="C3476"/>
      <c r="D3476"/>
      <c r="L3476"/>
      <c r="R3476"/>
      <c r="S3476"/>
      <c r="T3476"/>
      <c r="U3476"/>
    </row>
    <row r="3477" spans="1:21">
      <c r="A3477"/>
      <c r="C3477"/>
      <c r="D3477"/>
      <c r="L3477"/>
      <c r="R3477"/>
      <c r="S3477"/>
      <c r="T3477"/>
      <c r="U3477"/>
    </row>
    <row r="3478" spans="1:21">
      <c r="A3478"/>
      <c r="C3478"/>
      <c r="D3478"/>
      <c r="L3478"/>
      <c r="R3478"/>
      <c r="S3478"/>
      <c r="T3478"/>
      <c r="U3478"/>
    </row>
    <row r="3479" spans="1:21">
      <c r="A3479"/>
      <c r="C3479"/>
      <c r="D3479"/>
      <c r="L3479"/>
      <c r="R3479"/>
      <c r="S3479"/>
      <c r="T3479"/>
      <c r="U3479"/>
    </row>
    <row r="3480" spans="1:21">
      <c r="A3480"/>
      <c r="C3480"/>
      <c r="D3480"/>
      <c r="L3480"/>
      <c r="R3480"/>
      <c r="S3480"/>
      <c r="T3480"/>
      <c r="U3480"/>
    </row>
    <row r="3481" spans="1:21">
      <c r="A3481"/>
      <c r="C3481"/>
      <c r="D3481"/>
      <c r="L3481"/>
      <c r="R3481"/>
      <c r="S3481"/>
      <c r="T3481"/>
      <c r="U3481"/>
    </row>
    <row r="3482" spans="1:21">
      <c r="A3482"/>
      <c r="C3482"/>
      <c r="D3482"/>
      <c r="L3482"/>
      <c r="R3482"/>
      <c r="S3482"/>
      <c r="T3482"/>
      <c r="U3482"/>
    </row>
    <row r="3483" spans="1:21">
      <c r="A3483"/>
      <c r="C3483"/>
      <c r="D3483"/>
      <c r="L3483"/>
      <c r="R3483"/>
      <c r="S3483"/>
      <c r="T3483"/>
      <c r="U3483"/>
    </row>
    <row r="3484" spans="1:21">
      <c r="A3484"/>
      <c r="C3484"/>
      <c r="D3484"/>
      <c r="L3484"/>
      <c r="R3484"/>
      <c r="S3484"/>
      <c r="T3484"/>
      <c r="U3484"/>
    </row>
    <row r="3485" spans="1:21">
      <c r="A3485"/>
      <c r="C3485"/>
      <c r="D3485"/>
      <c r="L3485"/>
      <c r="R3485"/>
      <c r="S3485"/>
      <c r="T3485"/>
      <c r="U3485"/>
    </row>
    <row r="3486" spans="1:21">
      <c r="A3486"/>
      <c r="C3486"/>
      <c r="D3486"/>
      <c r="L3486"/>
      <c r="R3486"/>
      <c r="S3486"/>
      <c r="T3486"/>
      <c r="U3486"/>
    </row>
    <row r="3487" spans="1:21">
      <c r="A3487"/>
      <c r="C3487"/>
      <c r="D3487"/>
      <c r="L3487"/>
      <c r="R3487"/>
      <c r="S3487"/>
      <c r="T3487"/>
      <c r="U3487"/>
    </row>
    <row r="3488" spans="1:21">
      <c r="A3488"/>
      <c r="C3488"/>
      <c r="D3488"/>
      <c r="L3488"/>
      <c r="R3488"/>
      <c r="S3488"/>
      <c r="T3488"/>
      <c r="U3488"/>
    </row>
    <row r="3489" spans="1:21">
      <c r="A3489"/>
      <c r="C3489"/>
      <c r="D3489"/>
      <c r="L3489"/>
      <c r="R3489"/>
      <c r="S3489"/>
      <c r="T3489"/>
      <c r="U3489"/>
    </row>
    <row r="3490" spans="1:21">
      <c r="A3490"/>
      <c r="C3490"/>
      <c r="D3490"/>
      <c r="L3490"/>
      <c r="R3490"/>
      <c r="S3490"/>
      <c r="T3490"/>
      <c r="U3490"/>
    </row>
    <row r="3491" spans="1:21">
      <c r="A3491"/>
      <c r="C3491"/>
      <c r="D3491"/>
      <c r="L3491"/>
      <c r="R3491"/>
      <c r="S3491"/>
      <c r="T3491"/>
      <c r="U3491"/>
    </row>
    <row r="3492" spans="1:21">
      <c r="A3492"/>
      <c r="C3492"/>
      <c r="D3492"/>
      <c r="L3492"/>
      <c r="R3492"/>
      <c r="S3492"/>
      <c r="T3492"/>
      <c r="U3492"/>
    </row>
    <row r="3493" spans="1:21">
      <c r="A3493"/>
      <c r="C3493"/>
      <c r="D3493"/>
      <c r="L3493"/>
      <c r="R3493"/>
      <c r="S3493"/>
      <c r="T3493"/>
      <c r="U3493"/>
    </row>
    <row r="3494" spans="1:21">
      <c r="A3494"/>
      <c r="C3494"/>
      <c r="D3494"/>
      <c r="L3494"/>
      <c r="R3494"/>
      <c r="S3494"/>
      <c r="T3494"/>
      <c r="U3494"/>
    </row>
    <row r="3495" spans="1:21">
      <c r="A3495"/>
      <c r="C3495"/>
      <c r="D3495"/>
      <c r="L3495"/>
      <c r="R3495"/>
      <c r="S3495"/>
      <c r="T3495"/>
      <c r="U3495"/>
    </row>
    <row r="3496" spans="1:21">
      <c r="A3496"/>
      <c r="C3496"/>
      <c r="D3496"/>
      <c r="L3496"/>
      <c r="R3496"/>
      <c r="S3496"/>
      <c r="T3496"/>
      <c r="U3496"/>
    </row>
    <row r="3497" spans="1:21">
      <c r="A3497"/>
      <c r="C3497"/>
      <c r="D3497"/>
      <c r="L3497"/>
      <c r="R3497"/>
      <c r="S3497"/>
      <c r="T3497"/>
      <c r="U3497"/>
    </row>
    <row r="3498" spans="1:21">
      <c r="A3498"/>
      <c r="C3498"/>
      <c r="D3498"/>
      <c r="L3498"/>
      <c r="R3498"/>
      <c r="S3498"/>
      <c r="T3498"/>
      <c r="U3498"/>
    </row>
    <row r="3499" spans="1:21">
      <c r="A3499"/>
      <c r="C3499"/>
      <c r="D3499"/>
      <c r="L3499"/>
      <c r="R3499"/>
      <c r="S3499"/>
      <c r="T3499"/>
      <c r="U3499"/>
    </row>
    <row r="3500" spans="1:21">
      <c r="A3500"/>
      <c r="C3500"/>
      <c r="D3500"/>
      <c r="L3500"/>
      <c r="R3500"/>
      <c r="S3500"/>
      <c r="T3500"/>
      <c r="U3500"/>
    </row>
    <row r="3501" spans="1:21">
      <c r="A3501"/>
      <c r="C3501"/>
      <c r="D3501"/>
      <c r="L3501"/>
      <c r="R3501"/>
      <c r="S3501"/>
      <c r="T3501"/>
      <c r="U3501"/>
    </row>
    <row r="3502" spans="1:21">
      <c r="A3502"/>
      <c r="C3502"/>
      <c r="D3502"/>
      <c r="L3502"/>
      <c r="R3502"/>
      <c r="S3502"/>
      <c r="T3502"/>
      <c r="U3502"/>
    </row>
    <row r="3503" spans="1:21">
      <c r="A3503"/>
      <c r="C3503"/>
      <c r="D3503"/>
      <c r="L3503"/>
      <c r="R3503"/>
      <c r="S3503"/>
      <c r="T3503"/>
      <c r="U3503"/>
    </row>
    <row r="3504" spans="1:21">
      <c r="A3504"/>
      <c r="C3504"/>
      <c r="D3504"/>
      <c r="L3504"/>
      <c r="R3504"/>
      <c r="S3504"/>
      <c r="T3504"/>
      <c r="U3504"/>
    </row>
    <row r="3505" spans="1:21">
      <c r="A3505"/>
      <c r="C3505"/>
      <c r="D3505"/>
      <c r="L3505"/>
      <c r="R3505"/>
      <c r="S3505"/>
      <c r="T3505"/>
      <c r="U3505"/>
    </row>
    <row r="3506" spans="1:21">
      <c r="A3506"/>
      <c r="C3506"/>
      <c r="D3506"/>
      <c r="L3506"/>
      <c r="R3506"/>
      <c r="S3506"/>
      <c r="T3506"/>
      <c r="U3506"/>
    </row>
    <row r="3507" spans="1:21">
      <c r="A3507"/>
      <c r="C3507"/>
      <c r="D3507"/>
      <c r="L3507"/>
      <c r="R3507"/>
      <c r="S3507"/>
      <c r="T3507"/>
      <c r="U3507"/>
    </row>
    <row r="3508" spans="1:21">
      <c r="A3508"/>
      <c r="C3508"/>
      <c r="D3508"/>
      <c r="L3508"/>
      <c r="R3508"/>
      <c r="S3508"/>
      <c r="T3508"/>
      <c r="U3508"/>
    </row>
    <row r="3509" spans="1:21">
      <c r="A3509"/>
      <c r="C3509"/>
      <c r="D3509"/>
      <c r="L3509"/>
      <c r="R3509"/>
      <c r="S3509"/>
      <c r="T3509"/>
      <c r="U3509"/>
    </row>
    <row r="3510" spans="1:21">
      <c r="A3510"/>
      <c r="C3510"/>
      <c r="D3510"/>
      <c r="L3510"/>
      <c r="R3510"/>
      <c r="S3510"/>
      <c r="T3510"/>
      <c r="U3510"/>
    </row>
    <row r="3511" spans="1:21">
      <c r="A3511"/>
      <c r="C3511"/>
      <c r="D3511"/>
      <c r="L3511"/>
      <c r="R3511"/>
      <c r="S3511"/>
      <c r="T3511"/>
      <c r="U3511"/>
    </row>
    <row r="3512" spans="1:21">
      <c r="A3512"/>
      <c r="C3512"/>
      <c r="D3512"/>
      <c r="L3512"/>
      <c r="R3512"/>
      <c r="S3512"/>
      <c r="T3512"/>
      <c r="U3512"/>
    </row>
    <row r="3513" spans="1:21">
      <c r="A3513"/>
      <c r="C3513"/>
      <c r="D3513"/>
      <c r="L3513"/>
      <c r="R3513"/>
      <c r="S3513"/>
      <c r="T3513"/>
      <c r="U3513"/>
    </row>
    <row r="3514" spans="1:21">
      <c r="A3514"/>
      <c r="C3514"/>
      <c r="D3514"/>
      <c r="L3514"/>
      <c r="R3514"/>
      <c r="S3514"/>
      <c r="T3514"/>
      <c r="U3514"/>
    </row>
    <row r="3515" spans="1:21">
      <c r="A3515"/>
      <c r="C3515"/>
      <c r="D3515"/>
      <c r="L3515"/>
      <c r="R3515"/>
      <c r="S3515"/>
      <c r="T3515"/>
      <c r="U3515"/>
    </row>
    <row r="3516" spans="1:21">
      <c r="A3516"/>
      <c r="C3516"/>
      <c r="D3516"/>
      <c r="L3516"/>
      <c r="R3516"/>
      <c r="S3516"/>
      <c r="T3516"/>
      <c r="U3516"/>
    </row>
    <row r="3517" spans="1:21">
      <c r="A3517"/>
      <c r="C3517"/>
      <c r="D3517"/>
      <c r="L3517"/>
      <c r="R3517"/>
      <c r="S3517"/>
      <c r="T3517"/>
      <c r="U3517"/>
    </row>
    <row r="3518" spans="1:21">
      <c r="A3518"/>
      <c r="C3518"/>
      <c r="D3518"/>
      <c r="L3518"/>
      <c r="R3518"/>
      <c r="S3518"/>
      <c r="T3518"/>
      <c r="U3518"/>
    </row>
    <row r="3519" spans="1:21">
      <c r="A3519"/>
      <c r="C3519"/>
      <c r="D3519"/>
      <c r="L3519"/>
      <c r="R3519"/>
      <c r="S3519"/>
      <c r="T3519"/>
      <c r="U3519"/>
    </row>
    <row r="3520" spans="1:21">
      <c r="A3520"/>
      <c r="C3520"/>
      <c r="D3520"/>
      <c r="L3520"/>
      <c r="R3520"/>
      <c r="S3520"/>
      <c r="T3520"/>
      <c r="U3520"/>
    </row>
    <row r="3521" spans="1:21">
      <c r="A3521"/>
      <c r="C3521"/>
      <c r="D3521"/>
      <c r="L3521"/>
      <c r="R3521"/>
      <c r="S3521"/>
      <c r="T3521"/>
      <c r="U3521"/>
    </row>
    <row r="3522" spans="1:21">
      <c r="A3522"/>
      <c r="C3522"/>
      <c r="D3522"/>
      <c r="L3522"/>
      <c r="R3522"/>
      <c r="S3522"/>
      <c r="T3522"/>
      <c r="U3522"/>
    </row>
    <row r="3523" spans="1:21">
      <c r="A3523"/>
      <c r="C3523"/>
      <c r="D3523"/>
      <c r="L3523"/>
      <c r="R3523"/>
      <c r="S3523"/>
      <c r="T3523"/>
      <c r="U3523"/>
    </row>
    <row r="3524" spans="1:21">
      <c r="A3524"/>
      <c r="C3524"/>
      <c r="D3524"/>
      <c r="L3524"/>
      <c r="R3524"/>
      <c r="S3524"/>
      <c r="T3524"/>
      <c r="U3524"/>
    </row>
    <row r="3525" spans="1:21">
      <c r="A3525"/>
      <c r="C3525"/>
      <c r="D3525"/>
      <c r="L3525"/>
      <c r="R3525"/>
      <c r="S3525"/>
      <c r="T3525"/>
      <c r="U3525"/>
    </row>
    <row r="3526" spans="1:21">
      <c r="A3526"/>
      <c r="C3526"/>
      <c r="D3526"/>
      <c r="L3526"/>
      <c r="R3526"/>
      <c r="S3526"/>
      <c r="T3526"/>
      <c r="U3526"/>
    </row>
    <row r="3527" spans="1:21">
      <c r="A3527"/>
      <c r="C3527"/>
      <c r="D3527"/>
      <c r="L3527"/>
      <c r="R3527"/>
      <c r="S3527"/>
      <c r="T3527"/>
      <c r="U3527"/>
    </row>
    <row r="3528" spans="1:21">
      <c r="A3528"/>
      <c r="C3528"/>
      <c r="D3528"/>
      <c r="L3528"/>
      <c r="R3528"/>
      <c r="S3528"/>
      <c r="T3528"/>
      <c r="U3528"/>
    </row>
    <row r="3529" spans="1:21">
      <c r="A3529"/>
      <c r="C3529"/>
      <c r="D3529"/>
      <c r="L3529"/>
      <c r="R3529"/>
      <c r="S3529"/>
      <c r="T3529"/>
      <c r="U3529"/>
    </row>
    <row r="3530" spans="1:21">
      <c r="A3530"/>
      <c r="C3530"/>
      <c r="D3530"/>
      <c r="L3530"/>
      <c r="R3530"/>
      <c r="S3530"/>
      <c r="T3530"/>
      <c r="U3530"/>
    </row>
    <row r="3531" spans="1:21">
      <c r="A3531"/>
      <c r="C3531"/>
      <c r="D3531"/>
      <c r="L3531"/>
      <c r="R3531"/>
      <c r="S3531"/>
      <c r="T3531"/>
      <c r="U3531"/>
    </row>
    <row r="3532" spans="1:21">
      <c r="A3532"/>
      <c r="C3532"/>
      <c r="D3532"/>
      <c r="L3532"/>
      <c r="R3532"/>
      <c r="S3532"/>
      <c r="T3532"/>
      <c r="U3532"/>
    </row>
    <row r="3533" spans="1:21">
      <c r="A3533"/>
      <c r="C3533"/>
      <c r="D3533"/>
      <c r="L3533"/>
      <c r="R3533"/>
      <c r="S3533"/>
      <c r="T3533"/>
      <c r="U3533"/>
    </row>
    <row r="3534" spans="1:21">
      <c r="A3534"/>
      <c r="C3534"/>
      <c r="D3534"/>
      <c r="L3534"/>
      <c r="R3534"/>
      <c r="S3534"/>
      <c r="T3534"/>
      <c r="U3534"/>
    </row>
    <row r="3535" spans="1:21">
      <c r="A3535"/>
      <c r="C3535"/>
      <c r="D3535"/>
      <c r="L3535"/>
      <c r="R3535"/>
      <c r="S3535"/>
      <c r="T3535"/>
      <c r="U3535"/>
    </row>
    <row r="3536" spans="1:21">
      <c r="A3536"/>
      <c r="C3536"/>
      <c r="D3536"/>
      <c r="L3536"/>
      <c r="R3536"/>
      <c r="S3536"/>
      <c r="T3536"/>
      <c r="U3536"/>
    </row>
    <row r="3537" spans="1:21">
      <c r="A3537"/>
      <c r="C3537"/>
      <c r="D3537"/>
      <c r="L3537"/>
      <c r="R3537"/>
      <c r="S3537"/>
      <c r="T3537"/>
      <c r="U3537"/>
    </row>
    <row r="3538" spans="1:21">
      <c r="A3538"/>
      <c r="C3538"/>
      <c r="D3538"/>
      <c r="L3538"/>
      <c r="R3538"/>
      <c r="S3538"/>
      <c r="T3538"/>
      <c r="U3538"/>
    </row>
    <row r="3539" spans="1:21">
      <c r="A3539"/>
      <c r="C3539"/>
      <c r="D3539"/>
      <c r="L3539"/>
      <c r="R3539"/>
      <c r="S3539"/>
      <c r="T3539"/>
      <c r="U3539"/>
    </row>
    <row r="3540" spans="1:21">
      <c r="A3540"/>
      <c r="C3540"/>
      <c r="D3540"/>
      <c r="L3540"/>
      <c r="R3540"/>
      <c r="S3540"/>
      <c r="T3540"/>
      <c r="U3540"/>
    </row>
    <row r="3541" spans="1:21">
      <c r="A3541"/>
      <c r="C3541"/>
      <c r="D3541"/>
      <c r="L3541"/>
      <c r="R3541"/>
      <c r="S3541"/>
      <c r="T3541"/>
      <c r="U3541"/>
    </row>
    <row r="3542" spans="1:21">
      <c r="A3542"/>
      <c r="C3542"/>
      <c r="D3542"/>
      <c r="L3542"/>
      <c r="R3542"/>
      <c r="S3542"/>
      <c r="T3542"/>
      <c r="U3542"/>
    </row>
    <row r="3543" spans="1:21">
      <c r="A3543"/>
      <c r="C3543"/>
      <c r="D3543"/>
      <c r="L3543"/>
      <c r="R3543"/>
      <c r="S3543"/>
      <c r="T3543"/>
      <c r="U3543"/>
    </row>
    <row r="3544" spans="1:21">
      <c r="A3544"/>
      <c r="C3544"/>
      <c r="D3544"/>
      <c r="L3544"/>
      <c r="R3544"/>
      <c r="S3544"/>
      <c r="T3544"/>
      <c r="U3544"/>
    </row>
    <row r="3545" spans="1:21">
      <c r="A3545"/>
      <c r="C3545"/>
      <c r="D3545"/>
      <c r="L3545"/>
      <c r="R3545"/>
      <c r="S3545"/>
      <c r="T3545"/>
      <c r="U3545"/>
    </row>
    <row r="3546" spans="1:21">
      <c r="A3546"/>
      <c r="C3546"/>
      <c r="D3546"/>
      <c r="L3546"/>
      <c r="R3546"/>
      <c r="S3546"/>
      <c r="T3546"/>
      <c r="U3546"/>
    </row>
    <row r="3547" spans="1:21">
      <c r="A3547"/>
      <c r="C3547"/>
      <c r="D3547"/>
      <c r="L3547"/>
      <c r="R3547"/>
      <c r="S3547"/>
      <c r="T3547"/>
      <c r="U3547"/>
    </row>
    <row r="3548" spans="1:21">
      <c r="A3548"/>
      <c r="C3548"/>
      <c r="D3548"/>
      <c r="L3548"/>
      <c r="R3548"/>
      <c r="S3548"/>
      <c r="T3548"/>
      <c r="U3548"/>
    </row>
    <row r="3549" spans="1:21">
      <c r="A3549"/>
      <c r="C3549"/>
      <c r="D3549"/>
      <c r="L3549"/>
      <c r="R3549"/>
      <c r="S3549"/>
      <c r="T3549"/>
      <c r="U3549"/>
    </row>
    <row r="3550" spans="1:21">
      <c r="A3550"/>
      <c r="C3550"/>
      <c r="D3550"/>
      <c r="L3550"/>
      <c r="R3550"/>
      <c r="S3550"/>
      <c r="T3550"/>
      <c r="U3550"/>
    </row>
    <row r="3551" spans="1:21">
      <c r="A3551"/>
      <c r="C3551"/>
      <c r="D3551"/>
      <c r="L3551"/>
      <c r="R3551"/>
      <c r="S3551"/>
      <c r="T3551"/>
      <c r="U3551"/>
    </row>
    <row r="3552" spans="1:21">
      <c r="A3552"/>
      <c r="C3552"/>
      <c r="D3552"/>
      <c r="L3552"/>
      <c r="R3552"/>
      <c r="S3552"/>
      <c r="T3552"/>
      <c r="U3552"/>
    </row>
    <row r="3553" spans="1:21">
      <c r="A3553"/>
      <c r="C3553"/>
      <c r="D3553"/>
      <c r="L3553"/>
      <c r="R3553"/>
      <c r="S3553"/>
      <c r="T3553"/>
      <c r="U3553"/>
    </row>
    <row r="3554" spans="1:21">
      <c r="A3554"/>
      <c r="C3554"/>
      <c r="D3554"/>
      <c r="L3554"/>
      <c r="R3554"/>
      <c r="S3554"/>
      <c r="T3554"/>
      <c r="U3554"/>
    </row>
    <row r="3555" spans="1:21">
      <c r="A3555"/>
      <c r="C3555"/>
      <c r="D3555"/>
      <c r="L3555"/>
      <c r="R3555"/>
      <c r="S3555"/>
      <c r="T3555"/>
      <c r="U3555"/>
    </row>
    <row r="3556" spans="1:21">
      <c r="A3556"/>
      <c r="C3556"/>
      <c r="D3556"/>
      <c r="L3556"/>
      <c r="R3556"/>
      <c r="S3556"/>
      <c r="T3556"/>
      <c r="U3556"/>
    </row>
    <row r="3557" spans="1:21">
      <c r="A3557"/>
      <c r="C3557"/>
      <c r="D3557"/>
      <c r="L3557"/>
      <c r="R3557"/>
      <c r="S3557"/>
      <c r="T3557"/>
      <c r="U3557"/>
    </row>
    <row r="3558" spans="1:21">
      <c r="A3558"/>
      <c r="C3558"/>
      <c r="D3558"/>
      <c r="L3558"/>
      <c r="R3558"/>
      <c r="S3558"/>
      <c r="T3558"/>
      <c r="U3558"/>
    </row>
    <row r="3559" spans="1:21">
      <c r="A3559"/>
      <c r="C3559"/>
      <c r="D3559"/>
      <c r="L3559"/>
      <c r="R3559"/>
      <c r="S3559"/>
      <c r="T3559"/>
      <c r="U3559"/>
    </row>
    <row r="3560" spans="1:21">
      <c r="A3560"/>
      <c r="C3560"/>
      <c r="D3560"/>
      <c r="L3560"/>
      <c r="R3560"/>
      <c r="S3560"/>
      <c r="T3560"/>
      <c r="U3560"/>
    </row>
    <row r="3561" spans="1:21">
      <c r="A3561"/>
      <c r="C3561"/>
      <c r="D3561"/>
      <c r="L3561"/>
      <c r="R3561"/>
      <c r="S3561"/>
      <c r="T3561"/>
      <c r="U3561"/>
    </row>
    <row r="3562" spans="1:21">
      <c r="A3562"/>
      <c r="C3562"/>
      <c r="D3562"/>
      <c r="L3562"/>
      <c r="R3562"/>
      <c r="S3562"/>
      <c r="T3562"/>
      <c r="U3562"/>
    </row>
    <row r="3563" spans="1:21">
      <c r="A3563"/>
      <c r="C3563"/>
      <c r="D3563"/>
      <c r="L3563"/>
      <c r="R3563"/>
      <c r="S3563"/>
      <c r="T3563"/>
      <c r="U3563"/>
    </row>
    <row r="3564" spans="1:21">
      <c r="A3564"/>
      <c r="C3564"/>
      <c r="D3564"/>
      <c r="L3564"/>
      <c r="R3564"/>
      <c r="S3564"/>
      <c r="T3564"/>
      <c r="U3564"/>
    </row>
    <row r="3565" spans="1:21">
      <c r="A3565"/>
      <c r="C3565"/>
      <c r="D3565"/>
      <c r="L3565"/>
      <c r="R3565"/>
      <c r="S3565"/>
      <c r="T3565"/>
      <c r="U3565"/>
    </row>
    <row r="3566" spans="1:21">
      <c r="A3566"/>
      <c r="C3566"/>
      <c r="D3566"/>
      <c r="L3566"/>
      <c r="R3566"/>
      <c r="S3566"/>
      <c r="T3566"/>
      <c r="U3566"/>
    </row>
    <row r="3567" spans="1:21">
      <c r="A3567"/>
      <c r="C3567"/>
      <c r="D3567"/>
      <c r="L3567"/>
      <c r="R3567"/>
      <c r="S3567"/>
      <c r="T3567"/>
      <c r="U3567"/>
    </row>
    <row r="3568" spans="1:21">
      <c r="A3568"/>
      <c r="C3568"/>
      <c r="D3568"/>
      <c r="L3568"/>
      <c r="R3568"/>
      <c r="S3568"/>
      <c r="T3568"/>
      <c r="U3568"/>
    </row>
    <row r="3569" spans="1:21">
      <c r="A3569"/>
      <c r="C3569"/>
      <c r="D3569"/>
      <c r="L3569"/>
      <c r="R3569"/>
      <c r="S3569"/>
      <c r="T3569"/>
      <c r="U3569"/>
    </row>
    <row r="3570" spans="1:21">
      <c r="A3570"/>
      <c r="C3570"/>
      <c r="D3570"/>
      <c r="L3570"/>
      <c r="R3570"/>
      <c r="S3570"/>
      <c r="T3570"/>
      <c r="U3570"/>
    </row>
    <row r="3571" spans="1:21">
      <c r="A3571"/>
      <c r="C3571"/>
      <c r="D3571"/>
      <c r="L3571"/>
      <c r="R3571"/>
      <c r="S3571"/>
      <c r="T3571"/>
      <c r="U3571"/>
    </row>
    <row r="3572" spans="1:21">
      <c r="A3572"/>
      <c r="C3572"/>
      <c r="D3572"/>
      <c r="L3572"/>
      <c r="R3572"/>
      <c r="S3572"/>
      <c r="T3572"/>
      <c r="U3572"/>
    </row>
    <row r="3573" spans="1:21">
      <c r="A3573"/>
      <c r="C3573"/>
      <c r="D3573"/>
      <c r="L3573"/>
      <c r="R3573"/>
      <c r="S3573"/>
      <c r="T3573"/>
      <c r="U3573"/>
    </row>
    <row r="3574" spans="1:21">
      <c r="A3574"/>
      <c r="C3574"/>
      <c r="D3574"/>
      <c r="L3574"/>
      <c r="R3574"/>
      <c r="S3574"/>
      <c r="T3574"/>
      <c r="U3574"/>
    </row>
    <row r="3575" spans="1:21">
      <c r="A3575"/>
      <c r="C3575"/>
      <c r="D3575"/>
      <c r="L3575"/>
      <c r="R3575"/>
      <c r="S3575"/>
      <c r="T3575"/>
      <c r="U3575"/>
    </row>
    <row r="3576" spans="1:21">
      <c r="A3576"/>
      <c r="C3576"/>
      <c r="D3576"/>
      <c r="L3576"/>
      <c r="R3576"/>
      <c r="S3576"/>
      <c r="T3576"/>
      <c r="U3576"/>
    </row>
    <row r="3577" spans="1:21">
      <c r="A3577"/>
      <c r="C3577"/>
      <c r="D3577"/>
      <c r="L3577"/>
      <c r="R3577"/>
      <c r="S3577"/>
      <c r="T3577"/>
      <c r="U3577"/>
    </row>
    <row r="3578" spans="1:21">
      <c r="A3578"/>
      <c r="C3578"/>
      <c r="D3578"/>
      <c r="L3578"/>
      <c r="R3578"/>
      <c r="S3578"/>
      <c r="T3578"/>
      <c r="U3578"/>
    </row>
    <row r="3579" spans="1:21">
      <c r="A3579"/>
      <c r="C3579"/>
      <c r="D3579"/>
      <c r="L3579"/>
      <c r="R3579"/>
      <c r="S3579"/>
      <c r="T3579"/>
      <c r="U3579"/>
    </row>
    <row r="3580" spans="1:21">
      <c r="A3580"/>
      <c r="C3580"/>
      <c r="D3580"/>
      <c r="L3580"/>
      <c r="R3580"/>
      <c r="S3580"/>
      <c r="T3580"/>
      <c r="U3580"/>
    </row>
    <row r="3581" spans="1:21">
      <c r="A3581"/>
      <c r="C3581"/>
      <c r="D3581"/>
      <c r="L3581"/>
      <c r="R3581"/>
      <c r="S3581"/>
      <c r="T3581"/>
      <c r="U3581"/>
    </row>
    <row r="3582" spans="1:21">
      <c r="A3582"/>
      <c r="C3582"/>
      <c r="D3582"/>
      <c r="L3582"/>
      <c r="R3582"/>
      <c r="S3582"/>
      <c r="T3582"/>
      <c r="U3582"/>
    </row>
    <row r="3583" spans="1:21">
      <c r="A3583"/>
      <c r="C3583"/>
      <c r="D3583"/>
      <c r="L3583"/>
      <c r="R3583"/>
      <c r="S3583"/>
      <c r="T3583"/>
      <c r="U3583"/>
    </row>
    <row r="3584" spans="1:21">
      <c r="A3584"/>
      <c r="C3584"/>
      <c r="D3584"/>
      <c r="L3584"/>
      <c r="R3584"/>
      <c r="S3584"/>
      <c r="T3584"/>
      <c r="U3584"/>
    </row>
    <row r="3585" spans="1:21">
      <c r="A3585"/>
      <c r="C3585"/>
      <c r="D3585"/>
      <c r="L3585"/>
      <c r="R3585"/>
      <c r="S3585"/>
      <c r="T3585"/>
      <c r="U3585"/>
    </row>
    <row r="3586" spans="1:21">
      <c r="A3586"/>
      <c r="C3586"/>
      <c r="D3586"/>
      <c r="L3586"/>
      <c r="R3586"/>
      <c r="S3586"/>
      <c r="T3586"/>
      <c r="U3586"/>
    </row>
    <row r="3587" spans="1:21">
      <c r="A3587"/>
      <c r="C3587"/>
      <c r="D3587"/>
      <c r="L3587"/>
      <c r="R3587"/>
      <c r="S3587"/>
      <c r="T3587"/>
      <c r="U3587"/>
    </row>
    <row r="3588" spans="1:21">
      <c r="A3588"/>
      <c r="C3588"/>
      <c r="D3588"/>
      <c r="L3588"/>
      <c r="R3588"/>
      <c r="S3588"/>
      <c r="T3588"/>
      <c r="U3588"/>
    </row>
    <row r="3589" spans="1:21">
      <c r="A3589"/>
      <c r="C3589"/>
      <c r="D3589"/>
      <c r="L3589"/>
      <c r="R3589"/>
      <c r="S3589"/>
      <c r="T3589"/>
      <c r="U3589"/>
    </row>
    <row r="3590" spans="1:21">
      <c r="A3590"/>
      <c r="C3590"/>
      <c r="D3590"/>
      <c r="L3590"/>
      <c r="R3590"/>
      <c r="S3590"/>
      <c r="T3590"/>
      <c r="U3590"/>
    </row>
    <row r="3591" spans="1:21">
      <c r="A3591"/>
      <c r="C3591"/>
      <c r="D3591"/>
      <c r="L3591"/>
      <c r="R3591"/>
      <c r="S3591"/>
      <c r="T3591"/>
      <c r="U3591"/>
    </row>
    <row r="3592" spans="1:21">
      <c r="A3592"/>
      <c r="C3592"/>
      <c r="D3592"/>
      <c r="L3592"/>
      <c r="R3592"/>
      <c r="S3592"/>
      <c r="T3592"/>
      <c r="U3592"/>
    </row>
    <row r="3593" spans="1:21">
      <c r="A3593"/>
      <c r="C3593"/>
      <c r="D3593"/>
      <c r="L3593"/>
      <c r="R3593"/>
      <c r="S3593"/>
      <c r="T3593"/>
      <c r="U3593"/>
    </row>
    <row r="3594" spans="1:21">
      <c r="A3594"/>
      <c r="C3594"/>
      <c r="D3594"/>
      <c r="L3594"/>
      <c r="R3594"/>
      <c r="S3594"/>
      <c r="T3594"/>
      <c r="U3594"/>
    </row>
    <row r="3595" spans="1:21">
      <c r="A3595"/>
      <c r="C3595"/>
      <c r="D3595"/>
      <c r="L3595"/>
      <c r="R3595"/>
      <c r="S3595"/>
      <c r="T3595"/>
      <c r="U3595"/>
    </row>
    <row r="3596" spans="1:21">
      <c r="A3596"/>
      <c r="C3596"/>
      <c r="D3596"/>
      <c r="L3596"/>
      <c r="R3596"/>
      <c r="S3596"/>
      <c r="T3596"/>
      <c r="U3596"/>
    </row>
    <row r="3597" spans="1:21">
      <c r="A3597"/>
      <c r="C3597"/>
      <c r="D3597"/>
      <c r="L3597"/>
      <c r="R3597"/>
      <c r="S3597"/>
      <c r="T3597"/>
      <c r="U3597"/>
    </row>
    <row r="3598" spans="1:21">
      <c r="A3598"/>
      <c r="C3598"/>
      <c r="D3598"/>
      <c r="L3598"/>
      <c r="R3598"/>
      <c r="S3598"/>
      <c r="T3598"/>
      <c r="U3598"/>
    </row>
    <row r="3599" spans="1:21">
      <c r="A3599"/>
      <c r="C3599"/>
      <c r="D3599"/>
      <c r="L3599"/>
      <c r="R3599"/>
      <c r="S3599"/>
      <c r="T3599"/>
      <c r="U3599"/>
    </row>
    <row r="3600" spans="1:21">
      <c r="A3600"/>
      <c r="C3600"/>
      <c r="D3600"/>
      <c r="L3600"/>
      <c r="R3600"/>
      <c r="S3600"/>
      <c r="T3600"/>
      <c r="U3600"/>
    </row>
    <row r="3601" spans="1:21">
      <c r="A3601"/>
      <c r="C3601"/>
      <c r="D3601"/>
      <c r="L3601"/>
      <c r="R3601"/>
      <c r="S3601"/>
      <c r="T3601"/>
      <c r="U3601"/>
    </row>
    <row r="3602" spans="1:21">
      <c r="A3602"/>
      <c r="C3602"/>
      <c r="D3602"/>
      <c r="L3602"/>
      <c r="R3602"/>
      <c r="S3602"/>
      <c r="T3602"/>
      <c r="U3602"/>
    </row>
    <row r="3603" spans="1:21">
      <c r="A3603"/>
      <c r="C3603"/>
      <c r="D3603"/>
      <c r="L3603"/>
      <c r="R3603"/>
      <c r="S3603"/>
      <c r="T3603"/>
      <c r="U3603"/>
    </row>
    <row r="3604" spans="1:21">
      <c r="A3604"/>
      <c r="C3604"/>
      <c r="D3604"/>
      <c r="L3604"/>
      <c r="R3604"/>
      <c r="S3604"/>
      <c r="T3604"/>
      <c r="U3604"/>
    </row>
    <row r="3605" spans="1:21">
      <c r="A3605"/>
      <c r="C3605"/>
      <c r="D3605"/>
      <c r="L3605"/>
      <c r="R3605"/>
      <c r="S3605"/>
      <c r="T3605"/>
      <c r="U3605"/>
    </row>
    <row r="3606" spans="1:21">
      <c r="A3606"/>
      <c r="C3606"/>
      <c r="D3606"/>
      <c r="L3606"/>
      <c r="R3606"/>
      <c r="S3606"/>
      <c r="T3606"/>
      <c r="U3606"/>
    </row>
    <row r="3607" spans="1:21">
      <c r="A3607"/>
      <c r="C3607"/>
      <c r="D3607"/>
      <c r="L3607"/>
      <c r="R3607"/>
      <c r="S3607"/>
      <c r="T3607"/>
      <c r="U3607"/>
    </row>
    <row r="3608" spans="1:21">
      <c r="A3608"/>
      <c r="C3608"/>
      <c r="D3608"/>
      <c r="L3608"/>
      <c r="R3608"/>
      <c r="S3608"/>
      <c r="T3608"/>
      <c r="U3608"/>
    </row>
    <row r="3609" spans="1:21">
      <c r="A3609"/>
      <c r="C3609"/>
      <c r="D3609"/>
      <c r="L3609"/>
      <c r="R3609"/>
      <c r="S3609"/>
      <c r="T3609"/>
      <c r="U3609"/>
    </row>
    <row r="3610" spans="1:21">
      <c r="A3610"/>
      <c r="C3610"/>
      <c r="D3610"/>
      <c r="L3610"/>
      <c r="R3610"/>
      <c r="S3610"/>
      <c r="T3610"/>
      <c r="U3610"/>
    </row>
    <row r="3611" spans="1:21">
      <c r="A3611"/>
      <c r="C3611"/>
      <c r="D3611"/>
      <c r="L3611"/>
      <c r="R3611"/>
      <c r="S3611"/>
      <c r="T3611"/>
      <c r="U3611"/>
    </row>
    <row r="3612" spans="1:21">
      <c r="A3612"/>
      <c r="C3612"/>
      <c r="D3612"/>
      <c r="L3612"/>
      <c r="R3612"/>
      <c r="S3612"/>
      <c r="T3612"/>
      <c r="U3612"/>
    </row>
    <row r="3613" spans="1:21">
      <c r="A3613"/>
      <c r="C3613"/>
      <c r="D3613"/>
      <c r="L3613"/>
      <c r="R3613"/>
      <c r="S3613"/>
      <c r="T3613"/>
      <c r="U3613"/>
    </row>
    <row r="3614" spans="1:21">
      <c r="A3614"/>
      <c r="C3614"/>
      <c r="D3614"/>
      <c r="L3614"/>
      <c r="R3614"/>
      <c r="S3614"/>
      <c r="T3614"/>
      <c r="U3614"/>
    </row>
    <row r="3615" spans="1:21">
      <c r="A3615"/>
      <c r="C3615"/>
      <c r="D3615"/>
      <c r="L3615"/>
      <c r="R3615"/>
      <c r="S3615"/>
      <c r="T3615"/>
      <c r="U3615"/>
    </row>
    <row r="3616" spans="1:21">
      <c r="A3616"/>
      <c r="C3616"/>
      <c r="D3616"/>
      <c r="L3616"/>
      <c r="R3616"/>
      <c r="S3616"/>
      <c r="T3616"/>
      <c r="U3616"/>
    </row>
    <row r="3617" spans="1:21">
      <c r="A3617"/>
      <c r="C3617"/>
      <c r="D3617"/>
      <c r="L3617"/>
      <c r="R3617"/>
      <c r="S3617"/>
      <c r="T3617"/>
      <c r="U3617"/>
    </row>
    <row r="3618" spans="1:21">
      <c r="A3618"/>
      <c r="C3618"/>
      <c r="D3618"/>
      <c r="L3618"/>
      <c r="R3618"/>
      <c r="S3618"/>
      <c r="T3618"/>
      <c r="U3618"/>
    </row>
    <row r="3619" spans="1:21">
      <c r="A3619"/>
      <c r="C3619"/>
      <c r="D3619"/>
      <c r="L3619"/>
      <c r="R3619"/>
      <c r="S3619"/>
      <c r="T3619"/>
      <c r="U3619"/>
    </row>
    <row r="3620" spans="1:21">
      <c r="A3620"/>
      <c r="C3620"/>
      <c r="D3620"/>
      <c r="L3620"/>
      <c r="R3620"/>
      <c r="S3620"/>
      <c r="T3620"/>
      <c r="U3620"/>
    </row>
    <row r="3621" spans="1:21">
      <c r="A3621"/>
      <c r="C3621"/>
      <c r="D3621"/>
      <c r="L3621"/>
      <c r="R3621"/>
      <c r="S3621"/>
      <c r="T3621"/>
      <c r="U3621"/>
    </row>
    <row r="3622" spans="1:21">
      <c r="A3622"/>
      <c r="C3622"/>
      <c r="D3622"/>
      <c r="L3622"/>
      <c r="R3622"/>
      <c r="S3622"/>
      <c r="T3622"/>
      <c r="U3622"/>
    </row>
    <row r="3623" spans="1:21">
      <c r="A3623"/>
      <c r="C3623"/>
      <c r="D3623"/>
      <c r="L3623"/>
      <c r="R3623"/>
      <c r="S3623"/>
      <c r="T3623"/>
      <c r="U3623"/>
    </row>
    <row r="3624" spans="1:21">
      <c r="A3624"/>
      <c r="C3624"/>
      <c r="D3624"/>
      <c r="L3624"/>
      <c r="R3624"/>
      <c r="S3624"/>
      <c r="T3624"/>
      <c r="U3624"/>
    </row>
    <row r="3625" spans="1:21">
      <c r="A3625"/>
      <c r="C3625"/>
      <c r="D3625"/>
      <c r="L3625"/>
      <c r="R3625"/>
      <c r="S3625"/>
      <c r="T3625"/>
      <c r="U3625"/>
    </row>
    <row r="3626" spans="1:21">
      <c r="A3626"/>
      <c r="C3626"/>
      <c r="D3626"/>
      <c r="L3626"/>
      <c r="R3626"/>
      <c r="S3626"/>
      <c r="T3626"/>
      <c r="U3626"/>
    </row>
    <row r="3627" spans="1:21">
      <c r="A3627"/>
      <c r="C3627"/>
      <c r="D3627"/>
      <c r="L3627"/>
      <c r="R3627"/>
      <c r="S3627"/>
      <c r="T3627"/>
      <c r="U3627"/>
    </row>
    <row r="3628" spans="1:21">
      <c r="A3628"/>
      <c r="C3628"/>
      <c r="D3628"/>
      <c r="L3628"/>
      <c r="R3628"/>
      <c r="S3628"/>
      <c r="T3628"/>
      <c r="U3628"/>
    </row>
    <row r="3629" spans="1:21">
      <c r="A3629"/>
      <c r="C3629"/>
      <c r="D3629"/>
      <c r="L3629"/>
      <c r="R3629"/>
      <c r="S3629"/>
      <c r="T3629"/>
      <c r="U3629"/>
    </row>
    <row r="3630" spans="1:21">
      <c r="A3630"/>
      <c r="C3630"/>
      <c r="D3630"/>
      <c r="L3630"/>
      <c r="R3630"/>
      <c r="S3630"/>
      <c r="T3630"/>
      <c r="U3630"/>
    </row>
    <row r="3631" spans="1:21">
      <c r="A3631"/>
      <c r="C3631"/>
      <c r="D3631"/>
      <c r="L3631"/>
      <c r="R3631"/>
      <c r="S3631"/>
      <c r="T3631"/>
      <c r="U3631"/>
    </row>
    <row r="3632" spans="1:21">
      <c r="A3632"/>
      <c r="C3632"/>
      <c r="D3632"/>
      <c r="L3632"/>
      <c r="R3632"/>
      <c r="S3632"/>
      <c r="T3632"/>
      <c r="U3632"/>
    </row>
    <row r="3633" spans="1:21">
      <c r="A3633"/>
      <c r="C3633"/>
      <c r="D3633"/>
      <c r="L3633"/>
      <c r="R3633"/>
      <c r="S3633"/>
      <c r="T3633"/>
      <c r="U3633"/>
    </row>
    <row r="3634" spans="1:21">
      <c r="A3634"/>
      <c r="C3634"/>
      <c r="D3634"/>
      <c r="L3634"/>
      <c r="R3634"/>
      <c r="S3634"/>
      <c r="T3634"/>
      <c r="U3634"/>
    </row>
    <row r="3635" spans="1:21">
      <c r="A3635"/>
      <c r="C3635"/>
      <c r="D3635"/>
      <c r="L3635"/>
      <c r="R3635"/>
      <c r="S3635"/>
      <c r="T3635"/>
      <c r="U3635"/>
    </row>
    <row r="3636" spans="1:21">
      <c r="A3636"/>
      <c r="C3636"/>
      <c r="D3636"/>
      <c r="L3636"/>
      <c r="R3636"/>
      <c r="S3636"/>
      <c r="T3636"/>
      <c r="U3636"/>
    </row>
    <row r="3637" spans="1:21">
      <c r="A3637"/>
      <c r="C3637"/>
      <c r="D3637"/>
      <c r="L3637"/>
      <c r="R3637"/>
      <c r="S3637"/>
      <c r="T3637"/>
      <c r="U3637"/>
    </row>
    <row r="3638" spans="1:21">
      <c r="A3638"/>
      <c r="C3638"/>
      <c r="D3638"/>
      <c r="L3638"/>
      <c r="R3638"/>
      <c r="S3638"/>
      <c r="T3638"/>
      <c r="U3638"/>
    </row>
    <row r="3639" spans="1:21">
      <c r="A3639"/>
      <c r="C3639"/>
      <c r="D3639"/>
      <c r="L3639"/>
      <c r="R3639"/>
      <c r="S3639"/>
      <c r="T3639"/>
      <c r="U3639"/>
    </row>
    <row r="3640" spans="1:21">
      <c r="A3640"/>
      <c r="C3640"/>
      <c r="D3640"/>
      <c r="L3640"/>
      <c r="R3640"/>
      <c r="S3640"/>
      <c r="T3640"/>
      <c r="U3640"/>
    </row>
    <row r="3641" spans="1:21">
      <c r="A3641"/>
      <c r="C3641"/>
      <c r="D3641"/>
      <c r="L3641"/>
      <c r="R3641"/>
      <c r="S3641"/>
      <c r="T3641"/>
      <c r="U3641"/>
    </row>
    <row r="3642" spans="1:21">
      <c r="A3642"/>
      <c r="C3642"/>
      <c r="D3642"/>
      <c r="L3642"/>
      <c r="R3642"/>
      <c r="S3642"/>
      <c r="T3642"/>
      <c r="U3642"/>
    </row>
    <row r="3643" spans="1:21">
      <c r="A3643"/>
      <c r="C3643"/>
      <c r="D3643"/>
      <c r="L3643"/>
      <c r="R3643"/>
      <c r="S3643"/>
      <c r="T3643"/>
      <c r="U3643"/>
    </row>
    <row r="3644" spans="1:21">
      <c r="A3644"/>
      <c r="C3644"/>
      <c r="D3644"/>
      <c r="L3644"/>
      <c r="R3644"/>
      <c r="S3644"/>
      <c r="T3644"/>
      <c r="U3644"/>
    </row>
    <row r="3645" spans="1:21">
      <c r="A3645"/>
      <c r="C3645"/>
      <c r="D3645"/>
      <c r="L3645"/>
      <c r="R3645"/>
      <c r="S3645"/>
      <c r="T3645"/>
      <c r="U3645"/>
    </row>
    <row r="3646" spans="1:21">
      <c r="A3646"/>
      <c r="C3646"/>
      <c r="D3646"/>
      <c r="L3646"/>
      <c r="R3646"/>
      <c r="S3646"/>
      <c r="T3646"/>
      <c r="U3646"/>
    </row>
    <row r="3647" spans="1:21">
      <c r="A3647"/>
      <c r="C3647"/>
      <c r="D3647"/>
      <c r="L3647"/>
      <c r="R3647"/>
      <c r="S3647"/>
      <c r="T3647"/>
      <c r="U3647"/>
    </row>
    <row r="3648" spans="1:21">
      <c r="A3648"/>
      <c r="C3648"/>
      <c r="D3648"/>
      <c r="L3648"/>
      <c r="R3648"/>
      <c r="S3648"/>
      <c r="T3648"/>
      <c r="U3648"/>
    </row>
    <row r="3649" spans="1:21">
      <c r="A3649"/>
      <c r="C3649"/>
      <c r="D3649"/>
      <c r="L3649"/>
      <c r="R3649"/>
      <c r="S3649"/>
      <c r="T3649"/>
      <c r="U3649"/>
    </row>
    <row r="3650" spans="1:21">
      <c r="A3650"/>
      <c r="C3650"/>
      <c r="D3650"/>
      <c r="L3650"/>
      <c r="R3650"/>
      <c r="S3650"/>
      <c r="T3650"/>
      <c r="U3650"/>
    </row>
    <row r="3651" spans="1:21">
      <c r="A3651"/>
      <c r="C3651"/>
      <c r="D3651"/>
      <c r="L3651"/>
      <c r="R3651"/>
      <c r="S3651"/>
      <c r="T3651"/>
      <c r="U3651"/>
    </row>
    <row r="3652" spans="1:21">
      <c r="A3652"/>
      <c r="C3652"/>
      <c r="D3652"/>
      <c r="L3652"/>
      <c r="R3652"/>
      <c r="S3652"/>
      <c r="T3652"/>
      <c r="U3652"/>
    </row>
    <row r="3653" spans="1:21">
      <c r="A3653"/>
      <c r="C3653"/>
      <c r="D3653"/>
      <c r="L3653"/>
      <c r="R3653"/>
      <c r="S3653"/>
      <c r="T3653"/>
      <c r="U3653"/>
    </row>
    <row r="3654" spans="1:21">
      <c r="A3654"/>
      <c r="C3654"/>
      <c r="D3654"/>
      <c r="L3654"/>
      <c r="R3654"/>
      <c r="S3654"/>
      <c r="T3654"/>
      <c r="U3654"/>
    </row>
    <row r="3655" spans="1:21">
      <c r="A3655"/>
      <c r="C3655"/>
      <c r="D3655"/>
      <c r="L3655"/>
      <c r="R3655"/>
      <c r="S3655"/>
      <c r="T3655"/>
      <c r="U3655"/>
    </row>
    <row r="3656" spans="1:21">
      <c r="A3656"/>
      <c r="C3656"/>
      <c r="D3656"/>
      <c r="L3656"/>
      <c r="R3656"/>
      <c r="S3656"/>
      <c r="T3656"/>
      <c r="U3656"/>
    </row>
    <row r="3657" spans="1:21">
      <c r="A3657"/>
      <c r="C3657"/>
      <c r="D3657"/>
      <c r="L3657"/>
      <c r="R3657"/>
      <c r="S3657"/>
      <c r="T3657"/>
      <c r="U3657"/>
    </row>
    <row r="3658" spans="1:21">
      <c r="A3658"/>
      <c r="C3658"/>
      <c r="D3658"/>
      <c r="L3658"/>
      <c r="R3658"/>
      <c r="S3658"/>
      <c r="T3658"/>
      <c r="U3658"/>
    </row>
    <row r="3659" spans="1:21">
      <c r="A3659"/>
      <c r="C3659"/>
      <c r="D3659"/>
      <c r="L3659"/>
      <c r="R3659"/>
      <c r="S3659"/>
      <c r="T3659"/>
      <c r="U3659"/>
    </row>
    <row r="3660" spans="1:21">
      <c r="A3660"/>
      <c r="C3660"/>
      <c r="D3660"/>
      <c r="L3660"/>
      <c r="R3660"/>
      <c r="S3660"/>
      <c r="T3660"/>
      <c r="U3660"/>
    </row>
    <row r="3661" spans="1:21">
      <c r="A3661"/>
      <c r="C3661"/>
      <c r="D3661"/>
      <c r="L3661"/>
      <c r="R3661"/>
      <c r="S3661"/>
      <c r="T3661"/>
      <c r="U3661"/>
    </row>
    <row r="3662" spans="1:21">
      <c r="A3662"/>
      <c r="C3662"/>
      <c r="D3662"/>
      <c r="L3662"/>
      <c r="R3662"/>
      <c r="S3662"/>
      <c r="T3662"/>
      <c r="U3662"/>
    </row>
    <row r="3663" spans="1:21">
      <c r="A3663"/>
      <c r="C3663"/>
      <c r="D3663"/>
      <c r="L3663"/>
      <c r="R3663"/>
      <c r="S3663"/>
      <c r="T3663"/>
      <c r="U3663"/>
    </row>
    <row r="3664" spans="1:21">
      <c r="A3664"/>
      <c r="C3664"/>
      <c r="D3664"/>
      <c r="L3664"/>
      <c r="R3664"/>
      <c r="S3664"/>
      <c r="T3664"/>
      <c r="U3664"/>
    </row>
    <row r="3665" spans="1:21">
      <c r="A3665"/>
      <c r="C3665"/>
      <c r="D3665"/>
      <c r="L3665"/>
      <c r="R3665"/>
      <c r="S3665"/>
      <c r="T3665"/>
      <c r="U3665"/>
    </row>
    <row r="3666" spans="1:21">
      <c r="A3666"/>
      <c r="C3666"/>
      <c r="D3666"/>
      <c r="L3666"/>
      <c r="R3666"/>
      <c r="S3666"/>
      <c r="T3666"/>
      <c r="U3666"/>
    </row>
    <row r="3667" spans="1:21">
      <c r="A3667"/>
      <c r="C3667"/>
      <c r="D3667"/>
      <c r="L3667"/>
      <c r="R3667"/>
      <c r="S3667"/>
      <c r="T3667"/>
      <c r="U3667"/>
    </row>
    <row r="3668" spans="1:21">
      <c r="A3668"/>
      <c r="C3668"/>
      <c r="D3668"/>
      <c r="L3668"/>
      <c r="R3668"/>
      <c r="S3668"/>
      <c r="T3668"/>
      <c r="U3668"/>
    </row>
    <row r="3669" spans="1:21">
      <c r="A3669"/>
      <c r="C3669"/>
      <c r="D3669"/>
      <c r="L3669"/>
      <c r="R3669"/>
      <c r="S3669"/>
      <c r="T3669"/>
      <c r="U3669"/>
    </row>
    <row r="3670" spans="1:21">
      <c r="A3670"/>
      <c r="C3670"/>
      <c r="D3670"/>
      <c r="L3670"/>
      <c r="R3670"/>
      <c r="S3670"/>
      <c r="T3670"/>
      <c r="U3670"/>
    </row>
    <row r="3671" spans="1:21">
      <c r="A3671"/>
      <c r="C3671"/>
      <c r="D3671"/>
      <c r="L3671"/>
      <c r="R3671"/>
      <c r="S3671"/>
      <c r="T3671"/>
      <c r="U3671"/>
    </row>
    <row r="3672" spans="1:21">
      <c r="A3672"/>
      <c r="C3672"/>
      <c r="D3672"/>
      <c r="L3672"/>
      <c r="R3672"/>
      <c r="S3672"/>
      <c r="T3672"/>
      <c r="U3672"/>
    </row>
    <row r="3673" spans="1:21">
      <c r="A3673"/>
      <c r="C3673"/>
      <c r="D3673"/>
      <c r="L3673"/>
      <c r="R3673"/>
      <c r="S3673"/>
      <c r="T3673"/>
      <c r="U3673"/>
    </row>
    <row r="3674" spans="1:21">
      <c r="A3674"/>
      <c r="C3674"/>
      <c r="D3674"/>
      <c r="L3674"/>
      <c r="R3674"/>
      <c r="S3674"/>
      <c r="T3674"/>
      <c r="U3674"/>
    </row>
    <row r="3675" spans="1:21">
      <c r="A3675"/>
      <c r="C3675"/>
      <c r="D3675"/>
      <c r="L3675"/>
      <c r="R3675"/>
      <c r="S3675"/>
      <c r="T3675"/>
      <c r="U3675"/>
    </row>
    <row r="3676" spans="1:21">
      <c r="A3676"/>
      <c r="C3676"/>
      <c r="D3676"/>
      <c r="L3676"/>
      <c r="R3676"/>
      <c r="S3676"/>
      <c r="T3676"/>
      <c r="U3676"/>
    </row>
    <row r="3677" spans="1:21">
      <c r="A3677"/>
      <c r="C3677"/>
      <c r="D3677"/>
      <c r="L3677"/>
      <c r="R3677"/>
      <c r="S3677"/>
      <c r="T3677"/>
      <c r="U3677"/>
    </row>
    <row r="3678" spans="1:21">
      <c r="A3678"/>
      <c r="C3678"/>
      <c r="D3678"/>
      <c r="L3678"/>
      <c r="R3678"/>
      <c r="S3678"/>
      <c r="T3678"/>
      <c r="U3678"/>
    </row>
    <row r="3679" spans="1:21">
      <c r="A3679"/>
      <c r="C3679"/>
      <c r="D3679"/>
      <c r="L3679"/>
      <c r="R3679"/>
      <c r="S3679"/>
      <c r="T3679"/>
      <c r="U3679"/>
    </row>
    <row r="3680" spans="1:21">
      <c r="A3680"/>
      <c r="C3680"/>
      <c r="D3680"/>
      <c r="L3680"/>
      <c r="R3680"/>
      <c r="S3680"/>
      <c r="T3680"/>
      <c r="U3680"/>
    </row>
    <row r="3681" spans="1:21">
      <c r="A3681"/>
      <c r="C3681"/>
      <c r="D3681"/>
      <c r="L3681"/>
      <c r="R3681"/>
      <c r="S3681"/>
      <c r="T3681"/>
      <c r="U3681"/>
    </row>
    <row r="3682" spans="1:21">
      <c r="A3682"/>
      <c r="C3682"/>
      <c r="D3682"/>
      <c r="L3682"/>
      <c r="R3682"/>
      <c r="S3682"/>
      <c r="T3682"/>
      <c r="U3682"/>
    </row>
    <row r="3683" spans="1:21">
      <c r="A3683"/>
      <c r="C3683"/>
      <c r="D3683"/>
      <c r="L3683"/>
      <c r="R3683"/>
      <c r="S3683"/>
      <c r="T3683"/>
      <c r="U3683"/>
    </row>
    <row r="3684" spans="1:21">
      <c r="A3684"/>
      <c r="C3684"/>
      <c r="D3684"/>
      <c r="L3684"/>
      <c r="R3684"/>
      <c r="S3684"/>
      <c r="T3684"/>
      <c r="U3684"/>
    </row>
    <row r="3685" spans="1:21">
      <c r="A3685"/>
      <c r="C3685"/>
      <c r="D3685"/>
      <c r="L3685"/>
      <c r="R3685"/>
      <c r="S3685"/>
      <c r="T3685"/>
      <c r="U3685"/>
    </row>
    <row r="3686" spans="1:21">
      <c r="A3686"/>
      <c r="C3686"/>
      <c r="D3686"/>
      <c r="L3686"/>
      <c r="R3686"/>
      <c r="S3686"/>
      <c r="T3686"/>
      <c r="U3686"/>
    </row>
    <row r="3687" spans="1:21">
      <c r="A3687"/>
      <c r="C3687"/>
      <c r="D3687"/>
      <c r="L3687"/>
      <c r="R3687"/>
      <c r="S3687"/>
      <c r="T3687"/>
      <c r="U3687"/>
    </row>
    <row r="3688" spans="1:21">
      <c r="A3688"/>
      <c r="C3688"/>
      <c r="D3688"/>
      <c r="L3688"/>
      <c r="R3688"/>
      <c r="S3688"/>
      <c r="T3688"/>
      <c r="U3688"/>
    </row>
    <row r="3689" spans="1:21">
      <c r="A3689"/>
      <c r="C3689"/>
      <c r="D3689"/>
      <c r="L3689"/>
      <c r="R3689"/>
      <c r="S3689"/>
      <c r="T3689"/>
      <c r="U3689"/>
    </row>
    <row r="3690" spans="1:21">
      <c r="A3690"/>
      <c r="C3690"/>
      <c r="D3690"/>
      <c r="L3690"/>
      <c r="R3690"/>
      <c r="S3690"/>
      <c r="T3690"/>
      <c r="U3690"/>
    </row>
    <row r="3691" spans="1:21">
      <c r="A3691"/>
      <c r="C3691"/>
      <c r="D3691"/>
      <c r="L3691"/>
      <c r="R3691"/>
      <c r="S3691"/>
      <c r="T3691"/>
      <c r="U3691"/>
    </row>
    <row r="3692" spans="1:21">
      <c r="A3692"/>
      <c r="C3692"/>
      <c r="D3692"/>
      <c r="L3692"/>
      <c r="R3692"/>
      <c r="S3692"/>
      <c r="T3692"/>
      <c r="U3692"/>
    </row>
    <row r="3693" spans="1:21">
      <c r="A3693"/>
      <c r="C3693"/>
      <c r="D3693"/>
      <c r="L3693"/>
      <c r="R3693"/>
      <c r="S3693"/>
      <c r="T3693"/>
      <c r="U3693"/>
    </row>
    <row r="3694" spans="1:21">
      <c r="A3694"/>
      <c r="C3694"/>
      <c r="D3694"/>
      <c r="L3694"/>
      <c r="R3694"/>
      <c r="S3694"/>
      <c r="T3694"/>
      <c r="U3694"/>
    </row>
    <row r="3695" spans="1:21">
      <c r="A3695"/>
      <c r="C3695"/>
      <c r="D3695"/>
      <c r="L3695"/>
      <c r="R3695"/>
      <c r="S3695"/>
      <c r="T3695"/>
      <c r="U3695"/>
    </row>
    <row r="3696" spans="1:21">
      <c r="A3696"/>
      <c r="C3696"/>
      <c r="D3696"/>
      <c r="L3696"/>
      <c r="R3696"/>
      <c r="S3696"/>
      <c r="T3696"/>
      <c r="U3696"/>
    </row>
    <row r="3697" spans="1:21">
      <c r="A3697"/>
      <c r="C3697"/>
      <c r="D3697"/>
      <c r="L3697"/>
      <c r="R3697"/>
      <c r="S3697"/>
      <c r="T3697"/>
      <c r="U3697"/>
    </row>
    <row r="3698" spans="1:21">
      <c r="A3698"/>
      <c r="C3698"/>
      <c r="D3698"/>
      <c r="L3698"/>
      <c r="R3698"/>
      <c r="S3698"/>
      <c r="T3698"/>
      <c r="U3698"/>
    </row>
    <row r="3699" spans="1:21">
      <c r="A3699"/>
      <c r="C3699"/>
      <c r="D3699"/>
      <c r="L3699"/>
      <c r="R3699"/>
      <c r="S3699"/>
      <c r="T3699"/>
      <c r="U3699"/>
    </row>
    <row r="3700" spans="1:21">
      <c r="A3700"/>
      <c r="C3700"/>
      <c r="D3700"/>
      <c r="L3700"/>
      <c r="R3700"/>
      <c r="S3700"/>
      <c r="T3700"/>
      <c r="U3700"/>
    </row>
    <row r="3701" spans="1:21">
      <c r="A3701"/>
      <c r="C3701"/>
      <c r="D3701"/>
      <c r="L3701"/>
      <c r="R3701"/>
      <c r="S3701"/>
      <c r="T3701"/>
      <c r="U3701"/>
    </row>
    <row r="3702" spans="1:21">
      <c r="A3702"/>
      <c r="C3702"/>
      <c r="D3702"/>
      <c r="L3702"/>
      <c r="R3702"/>
      <c r="S3702"/>
      <c r="T3702"/>
      <c r="U3702"/>
    </row>
    <row r="3703" spans="1:21">
      <c r="A3703"/>
      <c r="C3703"/>
      <c r="D3703"/>
      <c r="L3703"/>
      <c r="R3703"/>
      <c r="S3703"/>
      <c r="T3703"/>
      <c r="U3703"/>
    </row>
    <row r="3704" spans="1:21">
      <c r="A3704"/>
      <c r="C3704"/>
      <c r="D3704"/>
      <c r="L3704"/>
      <c r="R3704"/>
      <c r="S3704"/>
      <c r="T3704"/>
      <c r="U3704"/>
    </row>
    <row r="3705" spans="1:21">
      <c r="A3705"/>
      <c r="C3705"/>
      <c r="D3705"/>
      <c r="L3705"/>
      <c r="R3705"/>
      <c r="S3705"/>
      <c r="T3705"/>
      <c r="U3705"/>
    </row>
    <row r="3706" spans="1:21">
      <c r="A3706"/>
      <c r="C3706"/>
      <c r="D3706"/>
      <c r="L3706"/>
      <c r="R3706"/>
      <c r="S3706"/>
      <c r="T3706"/>
      <c r="U3706"/>
    </row>
    <row r="3707" spans="1:21">
      <c r="A3707"/>
      <c r="C3707"/>
      <c r="D3707"/>
      <c r="L3707"/>
      <c r="R3707"/>
      <c r="S3707"/>
      <c r="T3707"/>
      <c r="U3707"/>
    </row>
    <row r="3708" spans="1:21">
      <c r="A3708"/>
      <c r="C3708"/>
      <c r="D3708"/>
      <c r="L3708"/>
      <c r="R3708"/>
      <c r="S3708"/>
      <c r="T3708"/>
      <c r="U3708"/>
    </row>
    <row r="3709" spans="1:21">
      <c r="A3709"/>
      <c r="C3709"/>
      <c r="D3709"/>
      <c r="L3709"/>
      <c r="R3709"/>
      <c r="S3709"/>
      <c r="T3709"/>
      <c r="U3709"/>
    </row>
    <row r="3710" spans="1:21">
      <c r="A3710"/>
      <c r="C3710"/>
      <c r="D3710"/>
      <c r="L3710"/>
      <c r="R3710"/>
      <c r="S3710"/>
      <c r="T3710"/>
      <c r="U3710"/>
    </row>
    <row r="3711" spans="1:21">
      <c r="A3711"/>
      <c r="C3711"/>
      <c r="D3711"/>
      <c r="L3711"/>
      <c r="R3711"/>
      <c r="S3711"/>
      <c r="T3711"/>
      <c r="U3711"/>
    </row>
    <row r="3712" spans="1:21">
      <c r="A3712"/>
      <c r="C3712"/>
      <c r="D3712"/>
      <c r="L3712"/>
      <c r="R3712"/>
      <c r="S3712"/>
      <c r="T3712"/>
      <c r="U3712"/>
    </row>
    <row r="3713" spans="1:21">
      <c r="A3713"/>
      <c r="C3713"/>
      <c r="D3713"/>
      <c r="L3713"/>
      <c r="R3713"/>
      <c r="S3713"/>
      <c r="T3713"/>
      <c r="U3713"/>
    </row>
    <row r="3714" spans="1:21">
      <c r="A3714"/>
      <c r="C3714"/>
      <c r="D3714"/>
      <c r="L3714"/>
      <c r="R3714"/>
      <c r="S3714"/>
      <c r="T3714"/>
      <c r="U3714"/>
    </row>
    <row r="3715" spans="1:21">
      <c r="A3715"/>
      <c r="C3715"/>
      <c r="D3715"/>
      <c r="L3715"/>
      <c r="R3715"/>
      <c r="S3715"/>
      <c r="T3715"/>
      <c r="U3715"/>
    </row>
    <row r="3716" spans="1:21">
      <c r="A3716"/>
      <c r="C3716"/>
      <c r="D3716"/>
      <c r="L3716"/>
      <c r="R3716"/>
      <c r="S3716"/>
      <c r="T3716"/>
      <c r="U3716"/>
    </row>
    <row r="3717" spans="1:21">
      <c r="A3717"/>
      <c r="C3717"/>
      <c r="D3717"/>
      <c r="L3717"/>
      <c r="R3717"/>
      <c r="S3717"/>
      <c r="T3717"/>
      <c r="U3717"/>
    </row>
    <row r="3718" spans="1:21">
      <c r="A3718"/>
      <c r="C3718"/>
      <c r="D3718"/>
      <c r="L3718"/>
      <c r="R3718"/>
      <c r="S3718"/>
      <c r="T3718"/>
      <c r="U3718"/>
    </row>
    <row r="3719" spans="1:21">
      <c r="A3719"/>
      <c r="C3719"/>
      <c r="D3719"/>
      <c r="L3719"/>
      <c r="R3719"/>
      <c r="S3719"/>
      <c r="T3719"/>
      <c r="U3719"/>
    </row>
    <row r="3720" spans="1:21">
      <c r="A3720"/>
      <c r="C3720"/>
      <c r="D3720"/>
      <c r="L3720"/>
      <c r="R3720"/>
      <c r="S3720"/>
      <c r="T3720"/>
      <c r="U3720"/>
    </row>
    <row r="3721" spans="1:21">
      <c r="A3721"/>
      <c r="C3721"/>
      <c r="D3721"/>
      <c r="L3721"/>
      <c r="R3721"/>
      <c r="S3721"/>
      <c r="T3721"/>
      <c r="U3721"/>
    </row>
    <row r="3722" spans="1:21">
      <c r="A3722"/>
      <c r="C3722"/>
      <c r="D3722"/>
      <c r="L3722"/>
      <c r="R3722"/>
      <c r="S3722"/>
      <c r="T3722"/>
      <c r="U3722"/>
    </row>
    <row r="3723" spans="1:21">
      <c r="A3723"/>
      <c r="C3723"/>
      <c r="D3723"/>
      <c r="L3723"/>
      <c r="R3723"/>
      <c r="S3723"/>
      <c r="T3723"/>
      <c r="U3723"/>
    </row>
    <row r="3724" spans="1:21">
      <c r="A3724"/>
      <c r="C3724"/>
      <c r="D3724"/>
      <c r="L3724"/>
      <c r="R3724"/>
      <c r="S3724"/>
      <c r="T3724"/>
      <c r="U3724"/>
    </row>
    <row r="3725" spans="1:21">
      <c r="A3725"/>
      <c r="C3725"/>
      <c r="D3725"/>
      <c r="L3725"/>
      <c r="R3725"/>
      <c r="S3725"/>
      <c r="T3725"/>
      <c r="U3725"/>
    </row>
    <row r="3726" spans="1:21">
      <c r="A3726"/>
      <c r="C3726"/>
      <c r="D3726"/>
      <c r="L3726"/>
      <c r="R3726"/>
      <c r="S3726"/>
      <c r="T3726"/>
      <c r="U3726"/>
    </row>
    <row r="3727" spans="1:21">
      <c r="A3727"/>
      <c r="C3727"/>
      <c r="D3727"/>
      <c r="L3727"/>
      <c r="R3727"/>
      <c r="S3727"/>
      <c r="T3727"/>
      <c r="U3727"/>
    </row>
    <row r="3728" spans="1:21">
      <c r="A3728"/>
      <c r="C3728"/>
      <c r="D3728"/>
      <c r="L3728"/>
      <c r="R3728"/>
      <c r="S3728"/>
      <c r="T3728"/>
      <c r="U3728"/>
    </row>
    <row r="3729" spans="1:21">
      <c r="A3729"/>
      <c r="C3729"/>
      <c r="D3729"/>
      <c r="L3729"/>
      <c r="R3729"/>
      <c r="S3729"/>
      <c r="T3729"/>
      <c r="U3729"/>
    </row>
    <row r="3730" spans="1:21">
      <c r="A3730"/>
      <c r="C3730"/>
      <c r="D3730"/>
      <c r="L3730"/>
      <c r="R3730"/>
      <c r="S3730"/>
      <c r="T3730"/>
      <c r="U3730"/>
    </row>
    <row r="3731" spans="1:21">
      <c r="A3731"/>
      <c r="C3731"/>
      <c r="D3731"/>
      <c r="L3731"/>
      <c r="R3731"/>
      <c r="S3731"/>
      <c r="T3731"/>
      <c r="U3731"/>
    </row>
    <row r="3732" spans="1:21">
      <c r="A3732"/>
      <c r="C3732"/>
      <c r="D3732"/>
      <c r="L3732"/>
      <c r="R3732"/>
      <c r="S3732"/>
      <c r="T3732"/>
      <c r="U3732"/>
    </row>
    <row r="3733" spans="1:21">
      <c r="A3733"/>
      <c r="C3733"/>
      <c r="D3733"/>
      <c r="L3733"/>
      <c r="R3733"/>
      <c r="S3733"/>
      <c r="T3733"/>
      <c r="U3733"/>
    </row>
    <row r="3734" spans="1:21">
      <c r="A3734"/>
      <c r="C3734"/>
      <c r="D3734"/>
      <c r="L3734"/>
      <c r="R3734"/>
      <c r="S3734"/>
      <c r="T3734"/>
      <c r="U3734"/>
    </row>
    <row r="3735" spans="1:21">
      <c r="A3735"/>
      <c r="C3735"/>
      <c r="D3735"/>
      <c r="L3735"/>
      <c r="R3735"/>
      <c r="S3735"/>
      <c r="T3735"/>
      <c r="U3735"/>
    </row>
    <row r="3736" spans="1:21">
      <c r="A3736"/>
      <c r="C3736"/>
      <c r="D3736"/>
      <c r="L3736"/>
      <c r="R3736"/>
      <c r="S3736"/>
      <c r="T3736"/>
      <c r="U3736"/>
    </row>
    <row r="3737" spans="1:21">
      <c r="A3737"/>
      <c r="C3737"/>
      <c r="D3737"/>
      <c r="L3737"/>
      <c r="R3737"/>
      <c r="S3737"/>
      <c r="T3737"/>
      <c r="U3737"/>
    </row>
    <row r="3738" spans="1:21">
      <c r="A3738"/>
      <c r="C3738"/>
      <c r="D3738"/>
      <c r="L3738"/>
      <c r="R3738"/>
      <c r="S3738"/>
      <c r="T3738"/>
      <c r="U3738"/>
    </row>
    <row r="3739" spans="1:21">
      <c r="A3739"/>
      <c r="C3739"/>
      <c r="D3739"/>
      <c r="L3739"/>
      <c r="R3739"/>
      <c r="S3739"/>
      <c r="T3739"/>
      <c r="U3739"/>
    </row>
    <row r="3740" spans="1:21">
      <c r="A3740"/>
      <c r="C3740"/>
      <c r="D3740"/>
      <c r="L3740"/>
      <c r="R3740"/>
      <c r="S3740"/>
      <c r="T3740"/>
      <c r="U3740"/>
    </row>
    <row r="3741" spans="1:21">
      <c r="A3741"/>
      <c r="C3741"/>
      <c r="D3741"/>
      <c r="L3741"/>
      <c r="R3741"/>
      <c r="S3741"/>
      <c r="T3741"/>
      <c r="U3741"/>
    </row>
    <row r="3742" spans="1:21">
      <c r="A3742"/>
      <c r="C3742"/>
      <c r="D3742"/>
      <c r="L3742"/>
      <c r="R3742"/>
      <c r="S3742"/>
      <c r="T3742"/>
      <c r="U3742"/>
    </row>
    <row r="3743" spans="1:21">
      <c r="A3743"/>
      <c r="C3743"/>
      <c r="D3743"/>
      <c r="L3743"/>
      <c r="R3743"/>
      <c r="S3743"/>
      <c r="T3743"/>
      <c r="U3743"/>
    </row>
    <row r="3744" spans="1:21">
      <c r="A3744"/>
      <c r="C3744"/>
      <c r="D3744"/>
      <c r="L3744"/>
      <c r="R3744"/>
      <c r="S3744"/>
      <c r="T3744"/>
      <c r="U3744"/>
    </row>
    <row r="3745" spans="1:21">
      <c r="A3745"/>
      <c r="C3745"/>
      <c r="D3745"/>
      <c r="L3745"/>
      <c r="R3745"/>
      <c r="S3745"/>
      <c r="T3745"/>
      <c r="U3745"/>
    </row>
    <row r="3746" spans="1:21">
      <c r="A3746"/>
      <c r="C3746"/>
      <c r="D3746"/>
      <c r="L3746"/>
      <c r="R3746"/>
      <c r="S3746"/>
      <c r="T3746"/>
      <c r="U3746"/>
    </row>
    <row r="3747" spans="1:21">
      <c r="A3747"/>
      <c r="C3747"/>
      <c r="D3747"/>
      <c r="L3747"/>
      <c r="R3747"/>
      <c r="S3747"/>
      <c r="T3747"/>
      <c r="U3747"/>
    </row>
    <row r="3748" spans="1:21">
      <c r="A3748"/>
      <c r="C3748"/>
      <c r="D3748"/>
      <c r="L3748"/>
      <c r="R3748"/>
      <c r="S3748"/>
      <c r="T3748"/>
      <c r="U3748"/>
    </row>
    <row r="3749" spans="1:21">
      <c r="A3749"/>
      <c r="C3749"/>
      <c r="D3749"/>
      <c r="L3749"/>
      <c r="R3749"/>
      <c r="S3749"/>
      <c r="T3749"/>
      <c r="U3749"/>
    </row>
    <row r="3750" spans="1:21">
      <c r="A3750"/>
      <c r="C3750"/>
      <c r="D3750"/>
      <c r="L3750"/>
      <c r="R3750"/>
      <c r="S3750"/>
      <c r="T3750"/>
      <c r="U3750"/>
    </row>
    <row r="3751" spans="1:21">
      <c r="A3751"/>
      <c r="C3751"/>
      <c r="D3751"/>
      <c r="L3751"/>
      <c r="R3751"/>
      <c r="S3751"/>
      <c r="T3751"/>
      <c r="U3751"/>
    </row>
    <row r="3752" spans="1:21">
      <c r="A3752"/>
      <c r="C3752"/>
      <c r="D3752"/>
      <c r="L3752"/>
      <c r="R3752"/>
      <c r="S3752"/>
      <c r="T3752"/>
      <c r="U3752"/>
    </row>
    <row r="3753" spans="1:21">
      <c r="A3753"/>
      <c r="C3753"/>
      <c r="D3753"/>
      <c r="L3753"/>
      <c r="R3753"/>
      <c r="S3753"/>
      <c r="T3753"/>
      <c r="U3753"/>
    </row>
    <row r="3754" spans="1:21">
      <c r="A3754"/>
      <c r="C3754"/>
      <c r="D3754"/>
      <c r="L3754"/>
      <c r="R3754"/>
      <c r="S3754"/>
      <c r="T3754"/>
      <c r="U3754"/>
    </row>
    <row r="3755" spans="1:21">
      <c r="A3755"/>
      <c r="C3755"/>
      <c r="D3755"/>
      <c r="L3755"/>
      <c r="R3755"/>
      <c r="S3755"/>
      <c r="T3755"/>
      <c r="U3755"/>
    </row>
    <row r="3756" spans="1:21">
      <c r="A3756"/>
      <c r="C3756"/>
      <c r="D3756"/>
      <c r="L3756"/>
      <c r="R3756"/>
      <c r="S3756"/>
      <c r="T3756"/>
      <c r="U3756"/>
    </row>
    <row r="3757" spans="1:21">
      <c r="A3757"/>
      <c r="C3757"/>
      <c r="D3757"/>
      <c r="L3757"/>
      <c r="R3757"/>
      <c r="S3757"/>
      <c r="T3757"/>
      <c r="U3757"/>
    </row>
    <row r="3758" spans="1:21">
      <c r="A3758"/>
      <c r="C3758"/>
      <c r="D3758"/>
      <c r="L3758"/>
      <c r="R3758"/>
      <c r="S3758"/>
      <c r="T3758"/>
      <c r="U3758"/>
    </row>
    <row r="3759" spans="1:21">
      <c r="A3759"/>
      <c r="C3759"/>
      <c r="D3759"/>
      <c r="L3759"/>
      <c r="R3759"/>
      <c r="S3759"/>
      <c r="T3759"/>
      <c r="U3759"/>
    </row>
    <row r="3760" spans="1:21">
      <c r="A3760"/>
      <c r="C3760"/>
      <c r="D3760"/>
      <c r="L3760"/>
      <c r="R3760"/>
      <c r="S3760"/>
      <c r="T3760"/>
      <c r="U3760"/>
    </row>
    <row r="3761" spans="1:21">
      <c r="A3761"/>
      <c r="C3761"/>
      <c r="D3761"/>
      <c r="L3761"/>
      <c r="R3761"/>
      <c r="S3761"/>
      <c r="T3761"/>
      <c r="U3761"/>
    </row>
    <row r="3762" spans="1:21">
      <c r="A3762"/>
      <c r="C3762"/>
      <c r="D3762"/>
      <c r="L3762"/>
      <c r="R3762"/>
      <c r="S3762"/>
      <c r="T3762"/>
      <c r="U3762"/>
    </row>
    <row r="3763" spans="1:21">
      <c r="A3763"/>
      <c r="C3763"/>
      <c r="D3763"/>
      <c r="L3763"/>
      <c r="R3763"/>
      <c r="S3763"/>
      <c r="T3763"/>
      <c r="U3763"/>
    </row>
    <row r="3764" spans="1:21">
      <c r="A3764"/>
      <c r="C3764"/>
      <c r="D3764"/>
      <c r="L3764"/>
      <c r="R3764"/>
      <c r="S3764"/>
      <c r="T3764"/>
      <c r="U3764"/>
    </row>
    <row r="3765" spans="1:21">
      <c r="A3765"/>
      <c r="C3765"/>
      <c r="D3765"/>
      <c r="L3765"/>
      <c r="R3765"/>
      <c r="S3765"/>
      <c r="T3765"/>
      <c r="U3765"/>
    </row>
    <row r="3766" spans="1:21">
      <c r="A3766"/>
      <c r="C3766"/>
      <c r="D3766"/>
      <c r="L3766"/>
      <c r="R3766"/>
      <c r="S3766"/>
      <c r="T3766"/>
      <c r="U3766"/>
    </row>
    <row r="3767" spans="1:21">
      <c r="A3767"/>
      <c r="C3767"/>
      <c r="D3767"/>
      <c r="L3767"/>
      <c r="R3767"/>
      <c r="S3767"/>
      <c r="T3767"/>
      <c r="U3767"/>
    </row>
    <row r="3768" spans="1:21">
      <c r="A3768"/>
      <c r="C3768"/>
      <c r="D3768"/>
      <c r="L3768"/>
      <c r="R3768"/>
      <c r="S3768"/>
      <c r="T3768"/>
      <c r="U3768"/>
    </row>
    <row r="3769" spans="1:21">
      <c r="A3769"/>
      <c r="C3769"/>
      <c r="D3769"/>
      <c r="L3769"/>
      <c r="R3769"/>
      <c r="S3769"/>
      <c r="T3769"/>
      <c r="U3769"/>
    </row>
    <row r="3770" spans="1:21">
      <c r="A3770"/>
      <c r="C3770"/>
      <c r="D3770"/>
      <c r="L3770"/>
      <c r="R3770"/>
      <c r="S3770"/>
      <c r="T3770"/>
      <c r="U3770"/>
    </row>
    <row r="3771" spans="1:21">
      <c r="A3771"/>
      <c r="C3771"/>
      <c r="D3771"/>
      <c r="L3771"/>
      <c r="R3771"/>
      <c r="S3771"/>
      <c r="T3771"/>
      <c r="U3771"/>
    </row>
    <row r="3772" spans="1:21">
      <c r="A3772"/>
      <c r="C3772"/>
      <c r="D3772"/>
      <c r="L3772"/>
      <c r="R3772"/>
      <c r="S3772"/>
      <c r="T3772"/>
      <c r="U3772"/>
    </row>
    <row r="3773" spans="1:21">
      <c r="A3773"/>
      <c r="C3773"/>
      <c r="D3773"/>
      <c r="L3773"/>
      <c r="R3773"/>
      <c r="S3773"/>
      <c r="T3773"/>
      <c r="U3773"/>
    </row>
    <row r="3774" spans="1:21">
      <c r="A3774"/>
      <c r="C3774"/>
      <c r="D3774"/>
      <c r="L3774"/>
      <c r="R3774"/>
      <c r="S3774"/>
      <c r="T3774"/>
      <c r="U3774"/>
    </row>
    <row r="3775" spans="1:21">
      <c r="A3775"/>
      <c r="C3775"/>
      <c r="D3775"/>
      <c r="L3775"/>
      <c r="R3775"/>
      <c r="S3775"/>
      <c r="T3775"/>
      <c r="U3775"/>
    </row>
    <row r="3776" spans="1:21">
      <c r="A3776"/>
      <c r="C3776"/>
      <c r="D3776"/>
      <c r="L3776"/>
      <c r="R3776"/>
      <c r="S3776"/>
      <c r="T3776"/>
      <c r="U3776"/>
    </row>
    <row r="3777" spans="1:21">
      <c r="A3777"/>
      <c r="C3777"/>
      <c r="D3777"/>
      <c r="L3777"/>
      <c r="R3777"/>
      <c r="S3777"/>
      <c r="T3777"/>
      <c r="U3777"/>
    </row>
    <row r="3778" spans="1:21">
      <c r="A3778"/>
      <c r="C3778"/>
      <c r="D3778"/>
      <c r="L3778"/>
      <c r="R3778"/>
      <c r="S3778"/>
      <c r="T3778"/>
      <c r="U3778"/>
    </row>
    <row r="3779" spans="1:21">
      <c r="A3779"/>
      <c r="C3779"/>
      <c r="D3779"/>
      <c r="L3779"/>
      <c r="R3779"/>
      <c r="S3779"/>
      <c r="T3779"/>
      <c r="U3779"/>
    </row>
    <row r="3780" spans="1:21">
      <c r="A3780"/>
      <c r="C3780"/>
      <c r="D3780"/>
      <c r="L3780"/>
      <c r="R3780"/>
      <c r="S3780"/>
      <c r="T3780"/>
      <c r="U3780"/>
    </row>
    <row r="3781" spans="1:21">
      <c r="A3781"/>
      <c r="C3781"/>
      <c r="D3781"/>
      <c r="L3781"/>
      <c r="R3781"/>
      <c r="S3781"/>
      <c r="T3781"/>
      <c r="U3781"/>
    </row>
    <row r="3782" spans="1:21">
      <c r="A3782"/>
      <c r="C3782"/>
      <c r="D3782"/>
      <c r="L3782"/>
      <c r="R3782"/>
      <c r="S3782"/>
      <c r="T3782"/>
      <c r="U3782"/>
    </row>
    <row r="3783" spans="1:21">
      <c r="A3783"/>
      <c r="C3783"/>
      <c r="D3783"/>
      <c r="L3783"/>
      <c r="R3783"/>
      <c r="S3783"/>
      <c r="T3783"/>
      <c r="U3783"/>
    </row>
    <row r="3784" spans="1:21">
      <c r="A3784"/>
      <c r="C3784"/>
      <c r="D3784"/>
      <c r="L3784"/>
      <c r="R3784"/>
      <c r="S3784"/>
      <c r="T3784"/>
      <c r="U3784"/>
    </row>
    <row r="3785" spans="1:21">
      <c r="A3785"/>
      <c r="C3785"/>
      <c r="D3785"/>
      <c r="L3785"/>
      <c r="R3785"/>
      <c r="S3785"/>
      <c r="T3785"/>
      <c r="U3785"/>
    </row>
    <row r="3786" spans="1:21">
      <c r="A3786"/>
      <c r="C3786"/>
      <c r="D3786"/>
      <c r="L3786"/>
      <c r="R3786"/>
      <c r="S3786"/>
      <c r="T3786"/>
      <c r="U3786"/>
    </row>
    <row r="3787" spans="1:21">
      <c r="A3787"/>
      <c r="C3787"/>
      <c r="D3787"/>
      <c r="L3787"/>
      <c r="R3787"/>
      <c r="S3787"/>
      <c r="T3787"/>
      <c r="U3787"/>
    </row>
    <row r="3788" spans="1:21">
      <c r="A3788"/>
      <c r="C3788"/>
      <c r="D3788"/>
      <c r="L3788"/>
      <c r="R3788"/>
      <c r="S3788"/>
      <c r="T3788"/>
      <c r="U3788"/>
    </row>
    <row r="3789" spans="1:21">
      <c r="A3789"/>
      <c r="C3789"/>
      <c r="D3789"/>
      <c r="L3789"/>
      <c r="R3789"/>
      <c r="S3789"/>
      <c r="T3789"/>
      <c r="U3789"/>
    </row>
    <row r="3790" spans="1:21">
      <c r="A3790"/>
      <c r="C3790"/>
      <c r="D3790"/>
      <c r="L3790"/>
      <c r="R3790"/>
      <c r="S3790"/>
      <c r="T3790"/>
      <c r="U3790"/>
    </row>
    <row r="3791" spans="1:21">
      <c r="A3791"/>
      <c r="C3791"/>
      <c r="D3791"/>
      <c r="L3791"/>
      <c r="R3791"/>
      <c r="S3791"/>
      <c r="T3791"/>
      <c r="U3791"/>
    </row>
    <row r="3792" spans="1:21">
      <c r="A3792"/>
      <c r="C3792"/>
      <c r="D3792"/>
      <c r="L3792"/>
      <c r="R3792"/>
      <c r="S3792"/>
      <c r="T3792"/>
      <c r="U3792"/>
    </row>
    <row r="3793" spans="1:21">
      <c r="A3793"/>
      <c r="C3793"/>
      <c r="D3793"/>
      <c r="L3793"/>
      <c r="R3793"/>
      <c r="S3793"/>
      <c r="T3793"/>
      <c r="U3793"/>
    </row>
    <row r="3794" spans="1:21">
      <c r="A3794"/>
      <c r="C3794"/>
      <c r="D3794"/>
      <c r="L3794"/>
      <c r="R3794"/>
      <c r="S3794"/>
      <c r="T3794"/>
      <c r="U3794"/>
    </row>
    <row r="3795" spans="1:21">
      <c r="A3795"/>
      <c r="C3795"/>
      <c r="D3795"/>
      <c r="L3795"/>
      <c r="R3795"/>
      <c r="S3795"/>
      <c r="T3795"/>
      <c r="U3795"/>
    </row>
    <row r="3796" spans="1:21">
      <c r="A3796"/>
      <c r="C3796"/>
      <c r="D3796"/>
      <c r="L3796"/>
      <c r="R3796"/>
      <c r="S3796"/>
      <c r="T3796"/>
      <c r="U3796"/>
    </row>
    <row r="3797" spans="1:21">
      <c r="A3797"/>
      <c r="C3797"/>
      <c r="D3797"/>
      <c r="L3797"/>
      <c r="R3797"/>
      <c r="S3797"/>
      <c r="T3797"/>
      <c r="U3797"/>
    </row>
    <row r="3798" spans="1:21">
      <c r="A3798"/>
      <c r="C3798"/>
      <c r="D3798"/>
      <c r="L3798"/>
      <c r="R3798"/>
      <c r="S3798"/>
      <c r="T3798"/>
      <c r="U3798"/>
    </row>
    <row r="3799" spans="1:21">
      <c r="A3799"/>
      <c r="C3799"/>
      <c r="D3799"/>
      <c r="L3799"/>
      <c r="R3799"/>
      <c r="S3799"/>
      <c r="T3799"/>
      <c r="U3799"/>
    </row>
    <row r="3800" spans="1:21">
      <c r="A3800"/>
      <c r="C3800"/>
      <c r="D3800"/>
      <c r="L3800"/>
      <c r="R3800"/>
      <c r="S3800"/>
      <c r="T3800"/>
      <c r="U3800"/>
    </row>
    <row r="3801" spans="1:21">
      <c r="A3801"/>
      <c r="C3801"/>
      <c r="D3801"/>
      <c r="L3801"/>
      <c r="R3801"/>
      <c r="S3801"/>
      <c r="T3801"/>
      <c r="U3801"/>
    </row>
    <row r="3802" spans="1:21">
      <c r="A3802"/>
      <c r="C3802"/>
      <c r="D3802"/>
      <c r="L3802"/>
      <c r="R3802"/>
      <c r="S3802"/>
      <c r="T3802"/>
      <c r="U3802"/>
    </row>
    <row r="3803" spans="1:21">
      <c r="A3803"/>
      <c r="C3803"/>
      <c r="D3803"/>
      <c r="L3803"/>
      <c r="R3803"/>
      <c r="S3803"/>
      <c r="T3803"/>
      <c r="U3803"/>
    </row>
    <row r="3804" spans="1:21">
      <c r="A3804"/>
      <c r="C3804"/>
      <c r="D3804"/>
      <c r="L3804"/>
      <c r="R3804"/>
      <c r="S3804"/>
      <c r="T3804"/>
      <c r="U3804"/>
    </row>
    <row r="3805" spans="1:21">
      <c r="A3805"/>
      <c r="C3805"/>
      <c r="D3805"/>
      <c r="L3805"/>
      <c r="R3805"/>
      <c r="S3805"/>
      <c r="T3805"/>
      <c r="U3805"/>
    </row>
    <row r="3806" spans="1:21">
      <c r="A3806"/>
      <c r="C3806"/>
      <c r="D3806"/>
      <c r="L3806"/>
      <c r="R3806"/>
      <c r="S3806"/>
      <c r="T3806"/>
      <c r="U3806"/>
    </row>
    <row r="3807" spans="1:21">
      <c r="A3807"/>
      <c r="C3807"/>
      <c r="D3807"/>
      <c r="L3807"/>
      <c r="R3807"/>
      <c r="S3807"/>
      <c r="T3807"/>
      <c r="U3807"/>
    </row>
    <row r="3808" spans="1:21">
      <c r="A3808"/>
      <c r="C3808"/>
      <c r="D3808"/>
      <c r="L3808"/>
      <c r="R3808"/>
      <c r="S3808"/>
      <c r="T3808"/>
      <c r="U3808"/>
    </row>
    <row r="3809" spans="1:21">
      <c r="A3809"/>
      <c r="C3809"/>
      <c r="D3809"/>
      <c r="L3809"/>
      <c r="R3809"/>
      <c r="S3809"/>
      <c r="T3809"/>
      <c r="U3809"/>
    </row>
    <row r="3810" spans="1:21">
      <c r="A3810"/>
      <c r="C3810"/>
      <c r="D3810"/>
      <c r="L3810"/>
      <c r="R3810"/>
      <c r="S3810"/>
      <c r="T3810"/>
      <c r="U3810"/>
    </row>
    <row r="3811" spans="1:21">
      <c r="A3811"/>
      <c r="C3811"/>
      <c r="D3811"/>
      <c r="L3811"/>
      <c r="R3811"/>
      <c r="S3811"/>
      <c r="T3811"/>
      <c r="U3811"/>
    </row>
    <row r="3812" spans="1:21">
      <c r="A3812"/>
      <c r="C3812"/>
      <c r="D3812"/>
      <c r="L3812"/>
      <c r="R3812"/>
      <c r="S3812"/>
      <c r="T3812"/>
      <c r="U3812"/>
    </row>
    <row r="3813" spans="1:21">
      <c r="A3813"/>
      <c r="C3813"/>
      <c r="D3813"/>
      <c r="L3813"/>
      <c r="R3813"/>
      <c r="S3813"/>
      <c r="T3813"/>
      <c r="U3813"/>
    </row>
    <row r="3814" spans="1:21">
      <c r="A3814"/>
      <c r="C3814"/>
      <c r="D3814"/>
      <c r="L3814"/>
      <c r="R3814"/>
      <c r="S3814"/>
      <c r="T3814"/>
      <c r="U3814"/>
    </row>
    <row r="3815" spans="1:21">
      <c r="A3815"/>
      <c r="C3815"/>
      <c r="D3815"/>
      <c r="L3815"/>
      <c r="R3815"/>
      <c r="S3815"/>
      <c r="T3815"/>
      <c r="U3815"/>
    </row>
    <row r="3816" spans="1:21">
      <c r="A3816"/>
      <c r="C3816"/>
      <c r="D3816"/>
      <c r="L3816"/>
      <c r="R3816"/>
      <c r="S3816"/>
      <c r="T3816"/>
      <c r="U3816"/>
    </row>
    <row r="3817" spans="1:21">
      <c r="A3817"/>
      <c r="C3817"/>
      <c r="D3817"/>
      <c r="L3817"/>
      <c r="R3817"/>
      <c r="S3817"/>
      <c r="T3817"/>
      <c r="U3817"/>
    </row>
    <row r="3818" spans="1:21">
      <c r="A3818"/>
      <c r="C3818"/>
      <c r="D3818"/>
      <c r="L3818"/>
      <c r="R3818"/>
      <c r="S3818"/>
      <c r="T3818"/>
      <c r="U3818"/>
    </row>
    <row r="3819" spans="1:21">
      <c r="A3819"/>
      <c r="C3819"/>
      <c r="D3819"/>
      <c r="L3819"/>
      <c r="R3819"/>
      <c r="S3819"/>
      <c r="T3819"/>
      <c r="U3819"/>
    </row>
    <row r="3820" spans="1:21">
      <c r="A3820"/>
      <c r="C3820"/>
      <c r="D3820"/>
      <c r="L3820"/>
      <c r="R3820"/>
      <c r="S3820"/>
      <c r="T3820"/>
      <c r="U3820"/>
    </row>
    <row r="3821" spans="1:21">
      <c r="A3821"/>
      <c r="C3821"/>
      <c r="D3821"/>
      <c r="L3821"/>
      <c r="R3821"/>
      <c r="S3821"/>
      <c r="T3821"/>
      <c r="U3821"/>
    </row>
    <row r="3822" spans="1:21">
      <c r="A3822"/>
      <c r="C3822"/>
      <c r="D3822"/>
      <c r="L3822"/>
      <c r="R3822"/>
      <c r="S3822"/>
      <c r="T3822"/>
      <c r="U3822"/>
    </row>
    <row r="3823" spans="1:21">
      <c r="A3823"/>
      <c r="C3823"/>
      <c r="D3823"/>
      <c r="L3823"/>
      <c r="R3823"/>
      <c r="S3823"/>
      <c r="T3823"/>
      <c r="U3823"/>
    </row>
    <row r="3824" spans="1:21">
      <c r="A3824"/>
      <c r="C3824"/>
      <c r="D3824"/>
      <c r="L3824"/>
      <c r="R3824"/>
      <c r="S3824"/>
      <c r="T3824"/>
      <c r="U3824"/>
    </row>
    <row r="3825" spans="1:21">
      <c r="A3825"/>
      <c r="C3825"/>
      <c r="D3825"/>
      <c r="L3825"/>
      <c r="R3825"/>
      <c r="S3825"/>
      <c r="T3825"/>
      <c r="U3825"/>
    </row>
    <row r="3826" spans="1:21">
      <c r="A3826"/>
      <c r="C3826"/>
      <c r="D3826"/>
      <c r="L3826"/>
      <c r="R3826"/>
      <c r="S3826"/>
      <c r="T3826"/>
      <c r="U3826"/>
    </row>
    <row r="3827" spans="1:21">
      <c r="A3827"/>
      <c r="C3827"/>
      <c r="D3827"/>
      <c r="L3827"/>
      <c r="R3827"/>
      <c r="S3827"/>
      <c r="T3827"/>
      <c r="U3827"/>
    </row>
    <row r="3828" spans="1:21">
      <c r="A3828"/>
      <c r="C3828"/>
      <c r="D3828"/>
      <c r="L3828"/>
      <c r="R3828"/>
      <c r="S3828"/>
      <c r="T3828"/>
      <c r="U3828"/>
    </row>
    <row r="3829" spans="1:21">
      <c r="A3829"/>
      <c r="C3829"/>
      <c r="D3829"/>
      <c r="L3829"/>
      <c r="R3829"/>
      <c r="S3829"/>
      <c r="T3829"/>
      <c r="U3829"/>
    </row>
    <row r="3830" spans="1:21">
      <c r="A3830"/>
      <c r="C3830"/>
      <c r="D3830"/>
      <c r="L3830"/>
      <c r="R3830"/>
      <c r="S3830"/>
      <c r="T3830"/>
      <c r="U3830"/>
    </row>
    <row r="3831" spans="1:21">
      <c r="A3831"/>
      <c r="C3831"/>
      <c r="D3831"/>
      <c r="L3831"/>
      <c r="R3831"/>
      <c r="S3831"/>
      <c r="T3831"/>
      <c r="U3831"/>
    </row>
    <row r="3832" spans="1:21">
      <c r="A3832"/>
      <c r="C3832"/>
      <c r="D3832"/>
      <c r="L3832"/>
      <c r="R3832"/>
      <c r="S3832"/>
      <c r="T3832"/>
      <c r="U3832"/>
    </row>
    <row r="3833" spans="1:21">
      <c r="A3833"/>
      <c r="C3833"/>
      <c r="D3833"/>
      <c r="L3833"/>
      <c r="R3833"/>
      <c r="S3833"/>
      <c r="T3833"/>
      <c r="U3833"/>
    </row>
    <row r="3834" spans="1:21">
      <c r="A3834"/>
      <c r="C3834"/>
      <c r="D3834"/>
      <c r="L3834"/>
      <c r="R3834"/>
      <c r="S3834"/>
      <c r="T3834"/>
      <c r="U3834"/>
    </row>
    <row r="3835" spans="1:21">
      <c r="A3835"/>
      <c r="C3835"/>
      <c r="D3835"/>
      <c r="L3835"/>
      <c r="R3835"/>
      <c r="S3835"/>
      <c r="T3835"/>
      <c r="U3835"/>
    </row>
    <row r="3836" spans="1:21">
      <c r="A3836"/>
      <c r="C3836"/>
      <c r="D3836"/>
      <c r="L3836"/>
      <c r="R3836"/>
      <c r="S3836"/>
      <c r="T3836"/>
      <c r="U3836"/>
    </row>
    <row r="3837" spans="1:21">
      <c r="A3837"/>
      <c r="C3837"/>
      <c r="D3837"/>
      <c r="L3837"/>
      <c r="R3837"/>
      <c r="S3837"/>
      <c r="T3837"/>
      <c r="U3837"/>
    </row>
    <row r="3838" spans="1:21">
      <c r="A3838"/>
      <c r="C3838"/>
      <c r="D3838"/>
      <c r="L3838"/>
      <c r="R3838"/>
      <c r="S3838"/>
      <c r="T3838"/>
      <c r="U3838"/>
    </row>
    <row r="3839" spans="1:21">
      <c r="A3839"/>
      <c r="C3839"/>
      <c r="D3839"/>
      <c r="L3839"/>
      <c r="R3839"/>
      <c r="S3839"/>
      <c r="T3839"/>
      <c r="U3839"/>
    </row>
    <row r="3840" spans="1:21">
      <c r="A3840"/>
      <c r="C3840"/>
      <c r="D3840"/>
      <c r="L3840"/>
      <c r="R3840"/>
      <c r="S3840"/>
      <c r="T3840"/>
      <c r="U3840"/>
    </row>
    <row r="3841" spans="1:21">
      <c r="A3841"/>
      <c r="C3841"/>
      <c r="D3841"/>
      <c r="L3841"/>
      <c r="R3841"/>
      <c r="S3841"/>
      <c r="T3841"/>
      <c r="U3841"/>
    </row>
    <row r="3842" spans="1:21">
      <c r="A3842"/>
      <c r="C3842"/>
      <c r="D3842"/>
      <c r="L3842"/>
      <c r="R3842"/>
      <c r="S3842"/>
      <c r="T3842"/>
      <c r="U3842"/>
    </row>
    <row r="3843" spans="1:21">
      <c r="A3843"/>
      <c r="C3843"/>
      <c r="D3843"/>
      <c r="L3843"/>
      <c r="R3843"/>
      <c r="S3843"/>
      <c r="T3843"/>
      <c r="U3843"/>
    </row>
    <row r="3844" spans="1:21">
      <c r="A3844"/>
      <c r="C3844"/>
      <c r="D3844"/>
      <c r="L3844"/>
      <c r="R3844"/>
      <c r="S3844"/>
      <c r="T3844"/>
      <c r="U3844"/>
    </row>
    <row r="3845" spans="1:21">
      <c r="A3845"/>
      <c r="C3845"/>
      <c r="D3845"/>
      <c r="L3845"/>
      <c r="R3845"/>
      <c r="S3845"/>
      <c r="T3845"/>
      <c r="U3845"/>
    </row>
    <row r="3846" spans="1:21">
      <c r="A3846"/>
      <c r="C3846"/>
      <c r="D3846"/>
      <c r="L3846"/>
      <c r="R3846"/>
      <c r="S3846"/>
      <c r="T3846"/>
      <c r="U3846"/>
    </row>
    <row r="3847" spans="1:21">
      <c r="A3847"/>
      <c r="C3847"/>
      <c r="D3847"/>
      <c r="L3847"/>
      <c r="R3847"/>
      <c r="S3847"/>
      <c r="T3847"/>
      <c r="U3847"/>
    </row>
    <row r="3848" spans="1:21">
      <c r="A3848"/>
      <c r="C3848"/>
      <c r="D3848"/>
      <c r="L3848"/>
      <c r="R3848"/>
      <c r="S3848"/>
      <c r="T3848"/>
      <c r="U3848"/>
    </row>
    <row r="3849" spans="1:21">
      <c r="A3849"/>
      <c r="C3849"/>
      <c r="D3849"/>
      <c r="L3849"/>
      <c r="R3849"/>
      <c r="S3849"/>
      <c r="T3849"/>
      <c r="U3849"/>
    </row>
    <row r="3850" spans="1:21">
      <c r="A3850"/>
      <c r="C3850"/>
      <c r="D3850"/>
      <c r="L3850"/>
      <c r="R3850"/>
      <c r="S3850"/>
      <c r="T3850"/>
      <c r="U3850"/>
    </row>
    <row r="3851" spans="1:21">
      <c r="A3851"/>
      <c r="C3851"/>
      <c r="D3851"/>
      <c r="L3851"/>
      <c r="R3851"/>
      <c r="S3851"/>
      <c r="T3851"/>
      <c r="U3851"/>
    </row>
    <row r="3852" spans="1:21">
      <c r="A3852"/>
      <c r="C3852"/>
      <c r="D3852"/>
      <c r="L3852"/>
      <c r="R3852"/>
      <c r="S3852"/>
      <c r="T3852"/>
      <c r="U3852"/>
    </row>
    <row r="3853" spans="1:21">
      <c r="A3853"/>
      <c r="C3853"/>
      <c r="D3853"/>
      <c r="L3853"/>
      <c r="R3853"/>
      <c r="S3853"/>
      <c r="T3853"/>
      <c r="U3853"/>
    </row>
    <row r="3854" spans="1:21">
      <c r="A3854"/>
      <c r="C3854"/>
      <c r="D3854"/>
      <c r="L3854"/>
      <c r="R3854"/>
      <c r="S3854"/>
      <c r="T3854"/>
      <c r="U3854"/>
    </row>
    <row r="3855" spans="1:21">
      <c r="A3855"/>
      <c r="C3855"/>
      <c r="D3855"/>
      <c r="L3855"/>
      <c r="R3855"/>
      <c r="S3855"/>
      <c r="T3855"/>
      <c r="U3855"/>
    </row>
    <row r="3856" spans="1:21">
      <c r="A3856"/>
      <c r="C3856"/>
      <c r="D3856"/>
      <c r="L3856"/>
      <c r="R3856"/>
      <c r="S3856"/>
      <c r="T3856"/>
      <c r="U3856"/>
    </row>
    <row r="3857" spans="1:21">
      <c r="A3857"/>
      <c r="C3857"/>
      <c r="D3857"/>
      <c r="L3857"/>
      <c r="R3857"/>
      <c r="S3857"/>
      <c r="T3857"/>
      <c r="U3857"/>
    </row>
    <row r="3858" spans="1:21">
      <c r="A3858"/>
      <c r="C3858"/>
      <c r="D3858"/>
      <c r="L3858"/>
      <c r="R3858"/>
      <c r="S3858"/>
      <c r="T3858"/>
      <c r="U3858"/>
    </row>
    <row r="3859" spans="1:21">
      <c r="A3859"/>
      <c r="C3859"/>
      <c r="D3859"/>
      <c r="L3859"/>
      <c r="R3859"/>
      <c r="S3859"/>
      <c r="T3859"/>
      <c r="U3859"/>
    </row>
    <row r="3860" spans="1:21">
      <c r="A3860"/>
      <c r="C3860"/>
      <c r="D3860"/>
      <c r="L3860"/>
      <c r="R3860"/>
      <c r="S3860"/>
      <c r="T3860"/>
      <c r="U3860"/>
    </row>
    <row r="3861" spans="1:21">
      <c r="A3861"/>
      <c r="C3861"/>
      <c r="D3861"/>
      <c r="L3861"/>
      <c r="R3861"/>
      <c r="S3861"/>
      <c r="T3861"/>
      <c r="U3861"/>
    </row>
    <row r="3862" spans="1:21">
      <c r="A3862"/>
      <c r="C3862"/>
      <c r="D3862"/>
      <c r="L3862"/>
      <c r="R3862"/>
      <c r="S3862"/>
      <c r="T3862"/>
      <c r="U3862"/>
    </row>
    <row r="3863" spans="1:21">
      <c r="A3863"/>
      <c r="C3863"/>
      <c r="D3863"/>
      <c r="L3863"/>
      <c r="R3863"/>
      <c r="S3863"/>
      <c r="T3863"/>
      <c r="U3863"/>
    </row>
    <row r="3864" spans="1:21">
      <c r="A3864"/>
      <c r="C3864"/>
      <c r="D3864"/>
      <c r="L3864"/>
      <c r="R3864"/>
      <c r="S3864"/>
      <c r="T3864"/>
      <c r="U3864"/>
    </row>
    <row r="3865" spans="1:21">
      <c r="A3865"/>
      <c r="C3865"/>
      <c r="D3865"/>
      <c r="L3865"/>
      <c r="R3865"/>
      <c r="S3865"/>
      <c r="T3865"/>
      <c r="U3865"/>
    </row>
    <row r="3866" spans="1:21">
      <c r="A3866"/>
      <c r="C3866"/>
      <c r="D3866"/>
      <c r="L3866"/>
      <c r="R3866"/>
      <c r="S3866"/>
      <c r="T3866"/>
      <c r="U3866"/>
    </row>
    <row r="3867" spans="1:21">
      <c r="A3867"/>
      <c r="C3867"/>
      <c r="D3867"/>
      <c r="L3867"/>
      <c r="R3867"/>
      <c r="S3867"/>
      <c r="T3867"/>
      <c r="U3867"/>
    </row>
    <row r="3868" spans="1:21">
      <c r="A3868"/>
      <c r="C3868"/>
      <c r="D3868"/>
      <c r="L3868"/>
      <c r="R3868"/>
      <c r="S3868"/>
      <c r="T3868"/>
      <c r="U3868"/>
    </row>
    <row r="3869" spans="1:21">
      <c r="A3869"/>
      <c r="C3869"/>
      <c r="D3869"/>
      <c r="L3869"/>
      <c r="R3869"/>
      <c r="S3869"/>
      <c r="T3869"/>
      <c r="U3869"/>
    </row>
    <row r="3870" spans="1:21">
      <c r="A3870"/>
      <c r="C3870"/>
      <c r="D3870"/>
      <c r="L3870"/>
      <c r="R3870"/>
      <c r="S3870"/>
      <c r="T3870"/>
      <c r="U3870"/>
    </row>
    <row r="3871" spans="1:21">
      <c r="A3871"/>
      <c r="C3871"/>
      <c r="D3871"/>
      <c r="L3871"/>
      <c r="R3871"/>
      <c r="S3871"/>
      <c r="T3871"/>
      <c r="U3871"/>
    </row>
    <row r="3872" spans="1:21">
      <c r="A3872"/>
      <c r="C3872"/>
      <c r="D3872"/>
      <c r="L3872"/>
      <c r="R3872"/>
      <c r="S3872"/>
      <c r="T3872"/>
      <c r="U3872"/>
    </row>
    <row r="3873" spans="1:21">
      <c r="A3873"/>
      <c r="C3873"/>
      <c r="D3873"/>
      <c r="L3873"/>
      <c r="R3873"/>
      <c r="S3873"/>
      <c r="T3873"/>
      <c r="U3873"/>
    </row>
    <row r="3874" spans="1:21">
      <c r="A3874"/>
      <c r="C3874"/>
      <c r="D3874"/>
      <c r="L3874"/>
      <c r="R3874"/>
      <c r="S3874"/>
      <c r="T3874"/>
      <c r="U3874"/>
    </row>
    <row r="3875" spans="1:21">
      <c r="A3875"/>
      <c r="C3875"/>
      <c r="D3875"/>
      <c r="L3875"/>
      <c r="R3875"/>
      <c r="S3875"/>
      <c r="T3875"/>
      <c r="U3875"/>
    </row>
    <row r="3876" spans="1:21">
      <c r="A3876"/>
      <c r="C3876"/>
      <c r="D3876"/>
      <c r="L3876"/>
      <c r="R3876"/>
      <c r="S3876"/>
      <c r="T3876"/>
      <c r="U3876"/>
    </row>
    <row r="3877" spans="1:21">
      <c r="A3877"/>
      <c r="C3877"/>
      <c r="D3877"/>
      <c r="L3877"/>
      <c r="R3877"/>
      <c r="S3877"/>
      <c r="T3877"/>
      <c r="U3877"/>
    </row>
    <row r="3878" spans="1:21">
      <c r="A3878"/>
      <c r="C3878"/>
      <c r="D3878"/>
      <c r="L3878"/>
      <c r="R3878"/>
      <c r="S3878"/>
      <c r="T3878"/>
      <c r="U3878"/>
    </row>
    <row r="3879" spans="1:21">
      <c r="A3879"/>
      <c r="C3879"/>
      <c r="D3879"/>
      <c r="L3879"/>
      <c r="R3879"/>
      <c r="S3879"/>
      <c r="T3879"/>
      <c r="U3879"/>
    </row>
    <row r="3880" spans="1:21">
      <c r="A3880"/>
      <c r="C3880"/>
      <c r="D3880"/>
      <c r="L3880"/>
      <c r="R3880"/>
      <c r="S3880"/>
      <c r="T3880"/>
      <c r="U3880"/>
    </row>
    <row r="3881" spans="1:21">
      <c r="A3881"/>
      <c r="C3881"/>
      <c r="D3881"/>
      <c r="L3881"/>
      <c r="R3881"/>
      <c r="S3881"/>
      <c r="T3881"/>
      <c r="U3881"/>
    </row>
    <row r="3882" spans="1:21">
      <c r="A3882"/>
      <c r="C3882"/>
      <c r="D3882"/>
      <c r="L3882"/>
      <c r="R3882"/>
      <c r="S3882"/>
      <c r="T3882"/>
      <c r="U3882"/>
    </row>
    <row r="3883" spans="1:21">
      <c r="A3883"/>
      <c r="C3883"/>
      <c r="D3883"/>
      <c r="L3883"/>
      <c r="R3883"/>
      <c r="S3883"/>
      <c r="T3883"/>
      <c r="U3883"/>
    </row>
    <row r="3884" spans="1:21">
      <c r="A3884"/>
      <c r="C3884"/>
      <c r="D3884"/>
      <c r="L3884"/>
      <c r="R3884"/>
      <c r="S3884"/>
      <c r="T3884"/>
      <c r="U3884"/>
    </row>
    <row r="3885" spans="1:21">
      <c r="A3885"/>
      <c r="C3885"/>
      <c r="D3885"/>
      <c r="L3885"/>
      <c r="R3885"/>
      <c r="S3885"/>
      <c r="T3885"/>
      <c r="U3885"/>
    </row>
    <row r="3886" spans="1:21">
      <c r="A3886"/>
      <c r="C3886"/>
      <c r="D3886"/>
      <c r="L3886"/>
      <c r="R3886"/>
      <c r="S3886"/>
      <c r="T3886"/>
      <c r="U3886"/>
    </row>
    <row r="3887" spans="1:21">
      <c r="A3887"/>
      <c r="C3887"/>
      <c r="D3887"/>
      <c r="L3887"/>
      <c r="R3887"/>
      <c r="S3887"/>
      <c r="T3887"/>
      <c r="U3887"/>
    </row>
    <row r="3888" spans="1:21">
      <c r="A3888"/>
      <c r="C3888"/>
      <c r="D3888"/>
      <c r="L3888"/>
      <c r="R3888"/>
      <c r="S3888"/>
      <c r="T3888"/>
      <c r="U3888"/>
    </row>
    <row r="3889" spans="1:21">
      <c r="A3889"/>
      <c r="C3889"/>
      <c r="D3889"/>
      <c r="L3889"/>
      <c r="R3889"/>
      <c r="S3889"/>
      <c r="T3889"/>
      <c r="U3889"/>
    </row>
    <row r="3890" spans="1:21">
      <c r="A3890"/>
      <c r="C3890"/>
      <c r="D3890"/>
      <c r="L3890"/>
      <c r="R3890"/>
      <c r="S3890"/>
      <c r="T3890"/>
      <c r="U3890"/>
    </row>
    <row r="3891" spans="1:21">
      <c r="A3891"/>
      <c r="C3891"/>
      <c r="D3891"/>
      <c r="L3891"/>
      <c r="R3891"/>
      <c r="S3891"/>
      <c r="T3891"/>
      <c r="U3891"/>
    </row>
    <row r="3892" spans="1:21">
      <c r="A3892"/>
      <c r="C3892"/>
      <c r="D3892"/>
      <c r="L3892"/>
      <c r="R3892"/>
      <c r="S3892"/>
      <c r="T3892"/>
      <c r="U3892"/>
    </row>
    <row r="3893" spans="1:21">
      <c r="A3893"/>
      <c r="C3893"/>
      <c r="D3893"/>
      <c r="L3893"/>
      <c r="R3893"/>
      <c r="S3893"/>
      <c r="T3893"/>
      <c r="U3893"/>
    </row>
    <row r="3894" spans="1:21">
      <c r="A3894"/>
      <c r="C3894"/>
      <c r="D3894"/>
      <c r="L3894"/>
      <c r="R3894"/>
      <c r="S3894"/>
      <c r="T3894"/>
      <c r="U3894"/>
    </row>
    <row r="3895" spans="1:21">
      <c r="A3895"/>
      <c r="C3895"/>
      <c r="D3895"/>
      <c r="L3895"/>
      <c r="R3895"/>
      <c r="S3895"/>
      <c r="T3895"/>
      <c r="U3895"/>
    </row>
    <row r="3896" spans="1:21">
      <c r="A3896"/>
      <c r="C3896"/>
      <c r="D3896"/>
      <c r="L3896"/>
      <c r="R3896"/>
      <c r="S3896"/>
      <c r="T3896"/>
      <c r="U3896"/>
    </row>
    <row r="3897" spans="1:21">
      <c r="A3897"/>
      <c r="C3897"/>
      <c r="D3897"/>
      <c r="L3897"/>
      <c r="R3897"/>
      <c r="S3897"/>
      <c r="T3897"/>
      <c r="U3897"/>
    </row>
    <row r="3898" spans="1:21">
      <c r="A3898"/>
      <c r="C3898"/>
      <c r="D3898"/>
      <c r="L3898"/>
      <c r="R3898"/>
      <c r="S3898"/>
      <c r="T3898"/>
      <c r="U3898"/>
    </row>
    <row r="3899" spans="1:21">
      <c r="A3899"/>
      <c r="C3899"/>
      <c r="D3899"/>
      <c r="L3899"/>
      <c r="R3899"/>
      <c r="S3899"/>
      <c r="T3899"/>
      <c r="U3899"/>
    </row>
    <row r="3900" spans="1:21">
      <c r="A3900"/>
      <c r="C3900"/>
      <c r="D3900"/>
      <c r="L3900"/>
      <c r="R3900"/>
      <c r="S3900"/>
      <c r="T3900"/>
      <c r="U3900"/>
    </row>
    <row r="3901" spans="1:21">
      <c r="A3901"/>
      <c r="C3901"/>
      <c r="D3901"/>
      <c r="L3901"/>
      <c r="R3901"/>
      <c r="S3901"/>
      <c r="T3901"/>
      <c r="U3901"/>
    </row>
    <row r="3902" spans="1:21">
      <c r="A3902"/>
      <c r="C3902"/>
      <c r="D3902"/>
      <c r="L3902"/>
      <c r="R3902"/>
      <c r="S3902"/>
      <c r="T3902"/>
      <c r="U3902"/>
    </row>
    <row r="3903" spans="1:21">
      <c r="A3903"/>
      <c r="C3903"/>
      <c r="D3903"/>
      <c r="L3903"/>
      <c r="R3903"/>
      <c r="S3903"/>
      <c r="T3903"/>
      <c r="U3903"/>
    </row>
    <row r="3904" spans="1:21">
      <c r="A3904"/>
      <c r="C3904"/>
      <c r="D3904"/>
      <c r="L3904"/>
      <c r="R3904"/>
      <c r="S3904"/>
      <c r="T3904"/>
      <c r="U3904"/>
    </row>
    <row r="3905" spans="1:21">
      <c r="A3905"/>
      <c r="C3905"/>
      <c r="D3905"/>
      <c r="L3905"/>
      <c r="R3905"/>
      <c r="S3905"/>
      <c r="T3905"/>
      <c r="U3905"/>
    </row>
    <row r="3906" spans="1:21">
      <c r="A3906"/>
      <c r="C3906"/>
      <c r="D3906"/>
      <c r="L3906"/>
      <c r="R3906"/>
      <c r="S3906"/>
      <c r="T3906"/>
      <c r="U3906"/>
    </row>
    <row r="3907" spans="1:21">
      <c r="A3907"/>
      <c r="C3907"/>
      <c r="D3907"/>
      <c r="L3907"/>
      <c r="R3907"/>
      <c r="S3907"/>
      <c r="T3907"/>
      <c r="U3907"/>
    </row>
    <row r="3908" spans="1:21">
      <c r="A3908"/>
      <c r="C3908"/>
      <c r="D3908"/>
      <c r="L3908"/>
      <c r="R3908"/>
      <c r="S3908"/>
      <c r="T3908"/>
      <c r="U3908"/>
    </row>
    <row r="3909" spans="1:21">
      <c r="A3909"/>
      <c r="C3909"/>
      <c r="D3909"/>
      <c r="L3909"/>
      <c r="R3909"/>
      <c r="S3909"/>
      <c r="T3909"/>
      <c r="U3909"/>
    </row>
    <row r="3910" spans="1:21">
      <c r="A3910"/>
      <c r="C3910"/>
      <c r="D3910"/>
      <c r="L3910"/>
      <c r="R3910"/>
      <c r="S3910"/>
      <c r="T3910"/>
      <c r="U3910"/>
    </row>
    <row r="3911" spans="1:21">
      <c r="A3911"/>
      <c r="C3911"/>
      <c r="D3911"/>
      <c r="L3911"/>
      <c r="R3911"/>
      <c r="S3911"/>
      <c r="T3911"/>
      <c r="U3911"/>
    </row>
    <row r="3912" spans="1:21">
      <c r="A3912"/>
      <c r="C3912"/>
      <c r="D3912"/>
      <c r="L3912"/>
      <c r="R3912"/>
      <c r="S3912"/>
      <c r="T3912"/>
      <c r="U3912"/>
    </row>
    <row r="3913" spans="1:21">
      <c r="A3913"/>
      <c r="C3913"/>
      <c r="D3913"/>
      <c r="L3913"/>
      <c r="R3913"/>
      <c r="S3913"/>
      <c r="T3913"/>
      <c r="U3913"/>
    </row>
    <row r="3914" spans="1:21">
      <c r="A3914"/>
      <c r="C3914"/>
      <c r="D3914"/>
      <c r="L3914"/>
      <c r="R3914"/>
      <c r="S3914"/>
      <c r="T3914"/>
      <c r="U3914"/>
    </row>
    <row r="3915" spans="1:21">
      <c r="A3915"/>
      <c r="C3915"/>
      <c r="D3915"/>
      <c r="L3915"/>
      <c r="R3915"/>
      <c r="S3915"/>
      <c r="T3915"/>
      <c r="U3915"/>
    </row>
    <row r="3916" spans="1:21">
      <c r="A3916"/>
      <c r="C3916"/>
      <c r="D3916"/>
      <c r="L3916"/>
      <c r="R3916"/>
      <c r="S3916"/>
      <c r="T3916"/>
      <c r="U3916"/>
    </row>
    <row r="3917" spans="1:21">
      <c r="A3917"/>
      <c r="C3917"/>
      <c r="D3917"/>
      <c r="L3917"/>
      <c r="R3917"/>
      <c r="S3917"/>
      <c r="T3917"/>
      <c r="U3917"/>
    </row>
    <row r="3918" spans="1:21">
      <c r="A3918"/>
      <c r="C3918"/>
      <c r="D3918"/>
      <c r="L3918"/>
      <c r="R3918"/>
      <c r="S3918"/>
      <c r="T3918"/>
      <c r="U3918"/>
    </row>
    <row r="3919" spans="1:21">
      <c r="A3919"/>
      <c r="C3919"/>
      <c r="D3919"/>
      <c r="L3919"/>
      <c r="R3919"/>
      <c r="S3919"/>
      <c r="T3919"/>
      <c r="U3919"/>
    </row>
    <row r="3920" spans="1:21">
      <c r="A3920"/>
      <c r="C3920"/>
      <c r="D3920"/>
      <c r="L3920"/>
      <c r="R3920"/>
      <c r="S3920"/>
      <c r="T3920"/>
      <c r="U3920"/>
    </row>
    <row r="3921" spans="1:21">
      <c r="A3921"/>
      <c r="C3921"/>
      <c r="D3921"/>
      <c r="L3921"/>
      <c r="R3921"/>
      <c r="S3921"/>
      <c r="T3921"/>
      <c r="U3921"/>
    </row>
    <row r="3922" spans="1:21">
      <c r="A3922"/>
      <c r="C3922"/>
      <c r="D3922"/>
      <c r="L3922"/>
      <c r="R3922"/>
      <c r="S3922"/>
      <c r="T3922"/>
      <c r="U3922"/>
    </row>
    <row r="3923" spans="1:21">
      <c r="A3923"/>
      <c r="C3923"/>
      <c r="D3923"/>
      <c r="L3923"/>
      <c r="R3923"/>
      <c r="S3923"/>
      <c r="T3923"/>
      <c r="U3923"/>
    </row>
    <row r="3924" spans="1:21">
      <c r="A3924"/>
      <c r="C3924"/>
      <c r="D3924"/>
      <c r="L3924"/>
      <c r="R3924"/>
      <c r="S3924"/>
      <c r="T3924"/>
      <c r="U3924"/>
    </row>
    <row r="3925" spans="1:21">
      <c r="A3925"/>
      <c r="C3925"/>
      <c r="D3925"/>
      <c r="L3925"/>
      <c r="R3925"/>
      <c r="S3925"/>
      <c r="T3925"/>
      <c r="U3925"/>
    </row>
    <row r="3926" spans="1:21">
      <c r="A3926"/>
      <c r="C3926"/>
      <c r="D3926"/>
      <c r="L3926"/>
      <c r="R3926"/>
      <c r="S3926"/>
      <c r="T3926"/>
      <c r="U3926"/>
    </row>
    <row r="3927" spans="1:21">
      <c r="A3927"/>
      <c r="C3927"/>
      <c r="D3927"/>
      <c r="L3927"/>
      <c r="R3927"/>
      <c r="S3927"/>
      <c r="T3927"/>
      <c r="U3927"/>
    </row>
    <row r="3928" spans="1:21">
      <c r="A3928"/>
      <c r="C3928"/>
      <c r="D3928"/>
      <c r="L3928"/>
      <c r="R3928"/>
      <c r="S3928"/>
      <c r="T3928"/>
      <c r="U3928"/>
    </row>
    <row r="3929" spans="1:21">
      <c r="A3929"/>
      <c r="C3929"/>
      <c r="D3929"/>
      <c r="L3929"/>
      <c r="R3929"/>
      <c r="S3929"/>
      <c r="T3929"/>
      <c r="U3929"/>
    </row>
    <row r="3930" spans="1:21">
      <c r="A3930"/>
      <c r="C3930"/>
      <c r="D3930"/>
      <c r="L3930"/>
      <c r="R3930"/>
      <c r="S3930"/>
      <c r="T3930"/>
      <c r="U3930"/>
    </row>
    <row r="3931" spans="1:21">
      <c r="A3931"/>
      <c r="C3931"/>
      <c r="D3931"/>
      <c r="L3931"/>
      <c r="R3931"/>
      <c r="S3931"/>
      <c r="T3931"/>
      <c r="U3931"/>
    </row>
    <row r="3932" spans="1:21">
      <c r="A3932"/>
      <c r="C3932"/>
      <c r="D3932"/>
      <c r="L3932"/>
      <c r="R3932"/>
      <c r="S3932"/>
      <c r="T3932"/>
      <c r="U3932"/>
    </row>
    <row r="3933" spans="1:21">
      <c r="A3933"/>
      <c r="C3933"/>
      <c r="D3933"/>
      <c r="L3933"/>
      <c r="R3933"/>
      <c r="S3933"/>
      <c r="T3933"/>
      <c r="U3933"/>
    </row>
    <row r="3934" spans="1:21">
      <c r="A3934"/>
      <c r="C3934"/>
      <c r="D3934"/>
      <c r="L3934"/>
      <c r="R3934"/>
      <c r="S3934"/>
      <c r="T3934"/>
      <c r="U3934"/>
    </row>
    <row r="3935" spans="1:21">
      <c r="A3935"/>
      <c r="C3935"/>
      <c r="D3935"/>
      <c r="L3935"/>
      <c r="R3935"/>
      <c r="S3935"/>
      <c r="T3935"/>
      <c r="U3935"/>
    </row>
    <row r="3936" spans="1:21">
      <c r="A3936"/>
      <c r="C3936"/>
      <c r="D3936"/>
      <c r="L3936"/>
      <c r="R3936"/>
      <c r="S3936"/>
      <c r="T3936"/>
      <c r="U3936"/>
    </row>
    <row r="3937" spans="1:21">
      <c r="A3937"/>
      <c r="C3937"/>
      <c r="D3937"/>
      <c r="L3937"/>
      <c r="R3937"/>
      <c r="S3937"/>
      <c r="T3937"/>
      <c r="U3937"/>
    </row>
    <row r="3938" spans="1:21">
      <c r="A3938"/>
      <c r="C3938"/>
      <c r="D3938"/>
      <c r="L3938"/>
      <c r="R3938"/>
      <c r="S3938"/>
      <c r="T3938"/>
      <c r="U3938"/>
    </row>
    <row r="3939" spans="1:21">
      <c r="A3939"/>
      <c r="C3939"/>
      <c r="D3939"/>
      <c r="L3939"/>
      <c r="R3939"/>
      <c r="S3939"/>
      <c r="T3939"/>
      <c r="U3939"/>
    </row>
    <row r="3940" spans="1:21">
      <c r="A3940"/>
      <c r="C3940"/>
      <c r="D3940"/>
      <c r="L3940"/>
      <c r="R3940"/>
      <c r="S3940"/>
      <c r="T3940"/>
      <c r="U3940"/>
    </row>
    <row r="3941" spans="1:21">
      <c r="A3941"/>
      <c r="C3941"/>
      <c r="D3941"/>
      <c r="L3941"/>
      <c r="R3941"/>
      <c r="S3941"/>
      <c r="T3941"/>
      <c r="U3941"/>
    </row>
    <row r="3942" spans="1:21">
      <c r="A3942"/>
      <c r="C3942"/>
      <c r="D3942"/>
      <c r="L3942"/>
      <c r="R3942"/>
      <c r="S3942"/>
      <c r="T3942"/>
      <c r="U3942"/>
    </row>
    <row r="3943" spans="1:21">
      <c r="A3943"/>
      <c r="C3943"/>
      <c r="D3943"/>
      <c r="L3943"/>
      <c r="R3943"/>
      <c r="S3943"/>
      <c r="T3943"/>
      <c r="U3943"/>
    </row>
    <row r="3944" spans="1:21">
      <c r="A3944"/>
      <c r="C3944"/>
      <c r="D3944"/>
      <c r="L3944"/>
      <c r="R3944"/>
      <c r="S3944"/>
      <c r="T3944"/>
      <c r="U3944"/>
    </row>
    <row r="3945" spans="1:21">
      <c r="A3945"/>
      <c r="C3945"/>
      <c r="D3945"/>
      <c r="L3945"/>
      <c r="R3945"/>
      <c r="S3945"/>
      <c r="T3945"/>
      <c r="U3945"/>
    </row>
    <row r="3946" spans="1:21">
      <c r="A3946"/>
      <c r="C3946"/>
      <c r="D3946"/>
      <c r="L3946"/>
      <c r="R3946"/>
      <c r="S3946"/>
      <c r="T3946"/>
      <c r="U3946"/>
    </row>
    <row r="3947" spans="1:21">
      <c r="A3947"/>
      <c r="C3947"/>
      <c r="D3947"/>
      <c r="L3947"/>
      <c r="R3947"/>
      <c r="S3947"/>
      <c r="T3947"/>
      <c r="U3947"/>
    </row>
    <row r="3948" spans="1:21">
      <c r="A3948"/>
      <c r="C3948"/>
      <c r="D3948"/>
      <c r="L3948"/>
      <c r="R3948"/>
      <c r="S3948"/>
      <c r="T3948"/>
      <c r="U3948"/>
    </row>
    <row r="3949" spans="1:21">
      <c r="A3949"/>
      <c r="C3949"/>
      <c r="D3949"/>
      <c r="L3949"/>
      <c r="R3949"/>
      <c r="S3949"/>
      <c r="T3949"/>
      <c r="U3949"/>
    </row>
    <row r="3950" spans="1:21">
      <c r="A3950"/>
      <c r="C3950"/>
      <c r="D3950"/>
      <c r="L3950"/>
      <c r="R3950"/>
      <c r="S3950"/>
      <c r="T3950"/>
      <c r="U3950"/>
    </row>
    <row r="3951" spans="1:21">
      <c r="A3951"/>
      <c r="C3951"/>
      <c r="D3951"/>
      <c r="L3951"/>
      <c r="R3951"/>
      <c r="S3951"/>
      <c r="T3951"/>
      <c r="U3951"/>
    </row>
    <row r="3952" spans="1:21">
      <c r="A3952"/>
      <c r="C3952"/>
      <c r="D3952"/>
      <c r="L3952"/>
      <c r="R3952"/>
      <c r="S3952"/>
      <c r="T3952"/>
      <c r="U3952"/>
    </row>
    <row r="3953" spans="1:21">
      <c r="A3953"/>
      <c r="C3953"/>
      <c r="D3953"/>
      <c r="L3953"/>
      <c r="R3953"/>
      <c r="S3953"/>
      <c r="T3953"/>
      <c r="U3953"/>
    </row>
    <row r="3954" spans="1:21">
      <c r="A3954"/>
      <c r="C3954"/>
      <c r="D3954"/>
      <c r="L3954"/>
      <c r="R3954"/>
      <c r="S3954"/>
      <c r="T3954"/>
      <c r="U3954"/>
    </row>
    <row r="3955" spans="1:21">
      <c r="A3955"/>
      <c r="C3955"/>
      <c r="D3955"/>
      <c r="L3955"/>
      <c r="R3955"/>
      <c r="S3955"/>
      <c r="T3955"/>
      <c r="U3955"/>
    </row>
    <row r="3956" spans="1:21">
      <c r="A3956"/>
      <c r="C3956"/>
      <c r="D3956"/>
      <c r="L3956"/>
      <c r="R3956"/>
      <c r="S3956"/>
      <c r="T3956"/>
      <c r="U3956"/>
    </row>
    <row r="3957" spans="1:21">
      <c r="A3957"/>
      <c r="C3957"/>
      <c r="D3957"/>
      <c r="L3957"/>
      <c r="R3957"/>
      <c r="S3957"/>
      <c r="T3957"/>
      <c r="U3957"/>
    </row>
    <row r="3958" spans="1:21">
      <c r="A3958"/>
      <c r="C3958"/>
      <c r="D3958"/>
      <c r="L3958"/>
      <c r="R3958"/>
      <c r="S3958"/>
      <c r="T3958"/>
      <c r="U3958"/>
    </row>
    <row r="3959" spans="1:21">
      <c r="A3959"/>
      <c r="C3959"/>
      <c r="D3959"/>
      <c r="L3959"/>
      <c r="R3959"/>
      <c r="S3959"/>
      <c r="T3959"/>
      <c r="U3959"/>
    </row>
    <row r="3960" spans="1:21">
      <c r="A3960"/>
      <c r="C3960"/>
      <c r="D3960"/>
      <c r="L3960"/>
      <c r="R3960"/>
      <c r="S3960"/>
      <c r="T3960"/>
      <c r="U3960"/>
    </row>
    <row r="3961" spans="1:21">
      <c r="A3961"/>
      <c r="C3961"/>
      <c r="D3961"/>
      <c r="L3961"/>
      <c r="R3961"/>
      <c r="S3961"/>
      <c r="T3961"/>
      <c r="U3961"/>
    </row>
    <row r="3962" spans="1:21">
      <c r="A3962"/>
      <c r="C3962"/>
      <c r="D3962"/>
      <c r="L3962"/>
      <c r="R3962"/>
      <c r="S3962"/>
      <c r="T3962"/>
      <c r="U3962"/>
    </row>
    <row r="3963" spans="1:21">
      <c r="A3963"/>
      <c r="C3963"/>
      <c r="D3963"/>
      <c r="L3963"/>
      <c r="R3963"/>
      <c r="S3963"/>
      <c r="T3963"/>
      <c r="U3963"/>
    </row>
    <row r="3964" spans="1:21">
      <c r="A3964"/>
      <c r="C3964"/>
      <c r="D3964"/>
      <c r="L3964"/>
      <c r="R3964"/>
      <c r="S3964"/>
      <c r="T3964"/>
      <c r="U3964"/>
    </row>
    <row r="3965" spans="1:21">
      <c r="A3965"/>
      <c r="C3965"/>
      <c r="D3965"/>
      <c r="L3965"/>
      <c r="R3965"/>
      <c r="S3965"/>
      <c r="T3965"/>
      <c r="U3965"/>
    </row>
    <row r="3966" spans="1:21">
      <c r="A3966"/>
      <c r="C3966"/>
      <c r="D3966"/>
      <c r="L3966"/>
      <c r="R3966"/>
      <c r="S3966"/>
      <c r="T3966"/>
      <c r="U3966"/>
    </row>
    <row r="3967" spans="1:21">
      <c r="A3967"/>
      <c r="C3967"/>
      <c r="D3967"/>
      <c r="L3967"/>
      <c r="R3967"/>
      <c r="S3967"/>
      <c r="T3967"/>
      <c r="U3967"/>
    </row>
    <row r="3968" spans="1:21">
      <c r="A3968"/>
      <c r="C3968"/>
      <c r="D3968"/>
      <c r="L3968"/>
      <c r="R3968"/>
      <c r="S3968"/>
      <c r="T3968"/>
      <c r="U3968"/>
    </row>
    <row r="3969" spans="1:21">
      <c r="A3969"/>
      <c r="C3969"/>
      <c r="D3969"/>
      <c r="L3969"/>
      <c r="R3969"/>
      <c r="S3969"/>
      <c r="T3969"/>
      <c r="U3969"/>
    </row>
    <row r="3970" spans="1:21">
      <c r="A3970"/>
      <c r="C3970"/>
      <c r="D3970"/>
      <c r="L3970"/>
      <c r="R3970"/>
      <c r="S3970"/>
      <c r="T3970"/>
      <c r="U3970"/>
    </row>
    <row r="3971" spans="1:21">
      <c r="A3971"/>
      <c r="C3971"/>
      <c r="D3971"/>
      <c r="L3971"/>
      <c r="R3971"/>
      <c r="S3971"/>
      <c r="T3971"/>
      <c r="U3971"/>
    </row>
    <row r="3972" spans="1:21">
      <c r="A3972"/>
      <c r="C3972"/>
      <c r="D3972"/>
      <c r="L3972"/>
      <c r="R3972"/>
      <c r="S3972"/>
      <c r="T3972"/>
      <c r="U3972"/>
    </row>
    <row r="3973" spans="1:21">
      <c r="A3973"/>
      <c r="C3973"/>
      <c r="D3973"/>
      <c r="L3973"/>
      <c r="R3973"/>
      <c r="S3973"/>
      <c r="T3973"/>
      <c r="U3973"/>
    </row>
    <row r="3974" spans="1:21">
      <c r="A3974"/>
      <c r="C3974"/>
      <c r="D3974"/>
      <c r="L3974"/>
      <c r="R3974"/>
      <c r="S3974"/>
      <c r="T3974"/>
      <c r="U3974"/>
    </row>
    <row r="3975" spans="1:21">
      <c r="A3975"/>
      <c r="C3975"/>
      <c r="D3975"/>
      <c r="L3975"/>
      <c r="R3975"/>
      <c r="S3975"/>
      <c r="T3975"/>
      <c r="U3975"/>
    </row>
    <row r="3976" spans="1:21">
      <c r="A3976"/>
      <c r="C3976"/>
      <c r="D3976"/>
      <c r="L3976"/>
      <c r="R3976"/>
      <c r="S3976"/>
      <c r="T3976"/>
      <c r="U3976"/>
    </row>
    <row r="3977" spans="1:21">
      <c r="A3977"/>
      <c r="C3977"/>
      <c r="D3977"/>
      <c r="L3977"/>
      <c r="R3977"/>
      <c r="S3977"/>
      <c r="T3977"/>
      <c r="U3977"/>
    </row>
    <row r="3978" spans="1:21">
      <c r="A3978"/>
      <c r="C3978"/>
      <c r="D3978"/>
      <c r="L3978"/>
      <c r="R3978"/>
      <c r="S3978"/>
      <c r="T3978"/>
      <c r="U3978"/>
    </row>
    <row r="3979" spans="1:21">
      <c r="A3979"/>
      <c r="C3979"/>
      <c r="D3979"/>
      <c r="L3979"/>
      <c r="R3979"/>
      <c r="S3979"/>
      <c r="T3979"/>
      <c r="U3979"/>
    </row>
    <row r="3980" spans="1:21">
      <c r="A3980"/>
      <c r="C3980"/>
      <c r="D3980"/>
      <c r="L3980"/>
      <c r="R3980"/>
      <c r="S3980"/>
      <c r="T3980"/>
      <c r="U3980"/>
    </row>
    <row r="3981" spans="1:21">
      <c r="A3981"/>
      <c r="C3981"/>
      <c r="D3981"/>
      <c r="L3981"/>
      <c r="R3981"/>
      <c r="S3981"/>
      <c r="T3981"/>
      <c r="U3981"/>
    </row>
    <row r="3982" spans="1:21">
      <c r="A3982"/>
      <c r="C3982"/>
      <c r="D3982"/>
      <c r="L3982"/>
      <c r="R3982"/>
      <c r="S3982"/>
      <c r="T3982"/>
      <c r="U3982"/>
    </row>
    <row r="3983" spans="1:21">
      <c r="A3983"/>
      <c r="C3983"/>
      <c r="D3983"/>
      <c r="L3983"/>
      <c r="R3983"/>
      <c r="S3983"/>
      <c r="T3983"/>
      <c r="U3983"/>
    </row>
    <row r="3984" spans="1:21">
      <c r="A3984"/>
      <c r="C3984"/>
      <c r="D3984"/>
      <c r="L3984"/>
      <c r="R3984"/>
      <c r="S3984"/>
      <c r="T3984"/>
      <c r="U3984"/>
    </row>
    <row r="3985" spans="1:21">
      <c r="A3985"/>
      <c r="C3985"/>
      <c r="D3985"/>
      <c r="L3985"/>
      <c r="R3985"/>
      <c r="S3985"/>
      <c r="T3985"/>
      <c r="U3985"/>
    </row>
    <row r="3986" spans="1:21">
      <c r="A3986"/>
      <c r="C3986"/>
      <c r="D3986"/>
      <c r="L3986"/>
      <c r="R3986"/>
      <c r="S3986"/>
      <c r="T3986"/>
      <c r="U3986"/>
    </row>
    <row r="3987" spans="1:21">
      <c r="A3987"/>
      <c r="C3987"/>
      <c r="D3987"/>
      <c r="L3987"/>
      <c r="R3987"/>
      <c r="S3987"/>
      <c r="T3987"/>
      <c r="U3987"/>
    </row>
    <row r="3988" spans="1:21">
      <c r="A3988"/>
      <c r="C3988"/>
      <c r="D3988"/>
      <c r="L3988"/>
      <c r="R3988"/>
      <c r="S3988"/>
      <c r="T3988"/>
      <c r="U3988"/>
    </row>
    <row r="3989" spans="1:21">
      <c r="A3989"/>
      <c r="C3989"/>
      <c r="D3989"/>
      <c r="L3989"/>
      <c r="R3989"/>
      <c r="S3989"/>
      <c r="T3989"/>
      <c r="U3989"/>
    </row>
    <row r="3990" spans="1:21">
      <c r="A3990"/>
      <c r="C3990"/>
      <c r="D3990"/>
      <c r="L3990"/>
      <c r="R3990"/>
      <c r="S3990"/>
      <c r="T3990"/>
      <c r="U3990"/>
    </row>
    <row r="3991" spans="1:21">
      <c r="A3991"/>
      <c r="C3991"/>
      <c r="D3991"/>
      <c r="L3991"/>
      <c r="R3991"/>
      <c r="S3991"/>
      <c r="T3991"/>
      <c r="U3991"/>
    </row>
    <row r="3992" spans="1:21">
      <c r="A3992"/>
      <c r="C3992"/>
      <c r="D3992"/>
      <c r="L3992"/>
      <c r="R3992"/>
      <c r="S3992"/>
      <c r="T3992"/>
      <c r="U3992"/>
    </row>
    <row r="3993" spans="1:21">
      <c r="A3993"/>
      <c r="C3993"/>
      <c r="D3993"/>
      <c r="L3993"/>
      <c r="R3993"/>
      <c r="S3993"/>
      <c r="T3993"/>
      <c r="U3993"/>
    </row>
    <row r="3994" spans="1:21">
      <c r="A3994"/>
      <c r="C3994"/>
      <c r="D3994"/>
      <c r="L3994"/>
      <c r="R3994"/>
      <c r="S3994"/>
      <c r="T3994"/>
      <c r="U3994"/>
    </row>
    <row r="3995" spans="1:21">
      <c r="A3995"/>
      <c r="C3995"/>
      <c r="D3995"/>
      <c r="L3995"/>
      <c r="R3995"/>
      <c r="S3995"/>
      <c r="T3995"/>
      <c r="U3995"/>
    </row>
    <row r="3996" spans="1:21">
      <c r="A3996"/>
      <c r="C3996"/>
      <c r="D3996"/>
      <c r="L3996"/>
      <c r="R3996"/>
      <c r="S3996"/>
      <c r="T3996"/>
      <c r="U3996"/>
    </row>
    <row r="3997" spans="1:21">
      <c r="A3997"/>
      <c r="C3997"/>
      <c r="D3997"/>
      <c r="L3997"/>
      <c r="R3997"/>
      <c r="S3997"/>
      <c r="T3997"/>
      <c r="U3997"/>
    </row>
    <row r="3998" spans="1:21">
      <c r="A3998"/>
      <c r="C3998"/>
      <c r="D3998"/>
      <c r="L3998"/>
      <c r="R3998"/>
      <c r="S3998"/>
      <c r="T3998"/>
      <c r="U3998"/>
    </row>
    <row r="3999" spans="1:21">
      <c r="A3999"/>
      <c r="C3999"/>
      <c r="D3999"/>
      <c r="L3999"/>
      <c r="R3999"/>
      <c r="S3999"/>
      <c r="T3999"/>
      <c r="U3999"/>
    </row>
    <row r="4000" spans="1:21">
      <c r="A4000"/>
      <c r="C4000"/>
      <c r="D4000"/>
      <c r="L4000"/>
      <c r="R4000"/>
      <c r="S4000"/>
      <c r="T4000"/>
      <c r="U4000"/>
    </row>
    <row r="4001" spans="1:21">
      <c r="A4001"/>
      <c r="C4001"/>
      <c r="D4001"/>
      <c r="L4001"/>
      <c r="R4001"/>
      <c r="S4001"/>
      <c r="T4001"/>
      <c r="U4001"/>
    </row>
    <row r="4002" spans="1:21">
      <c r="A4002"/>
      <c r="C4002"/>
      <c r="D4002"/>
      <c r="L4002"/>
      <c r="R4002"/>
      <c r="S4002"/>
      <c r="T4002"/>
      <c r="U4002"/>
    </row>
    <row r="4003" spans="1:21">
      <c r="A4003"/>
      <c r="C4003"/>
      <c r="D4003"/>
      <c r="L4003"/>
      <c r="R4003"/>
      <c r="S4003"/>
      <c r="T4003"/>
      <c r="U4003"/>
    </row>
    <row r="4004" spans="1:21">
      <c r="A4004"/>
      <c r="C4004"/>
      <c r="D4004"/>
      <c r="L4004"/>
      <c r="R4004"/>
      <c r="S4004"/>
      <c r="T4004"/>
      <c r="U4004"/>
    </row>
    <row r="4005" spans="1:21">
      <c r="A4005"/>
      <c r="C4005"/>
      <c r="D4005"/>
      <c r="L4005"/>
      <c r="R4005"/>
      <c r="S4005"/>
      <c r="T4005"/>
      <c r="U4005"/>
    </row>
    <row r="4006" spans="1:21">
      <c r="A4006"/>
      <c r="C4006"/>
      <c r="D4006"/>
      <c r="L4006"/>
      <c r="R4006"/>
      <c r="S4006"/>
      <c r="T4006"/>
      <c r="U4006"/>
    </row>
    <row r="4007" spans="1:21">
      <c r="A4007"/>
      <c r="C4007"/>
      <c r="D4007"/>
      <c r="L4007"/>
      <c r="R4007"/>
      <c r="S4007"/>
      <c r="T4007"/>
      <c r="U4007"/>
    </row>
    <row r="4008" spans="1:21">
      <c r="A4008"/>
      <c r="C4008"/>
      <c r="D4008"/>
      <c r="L4008"/>
      <c r="R4008"/>
      <c r="S4008"/>
      <c r="T4008"/>
      <c r="U4008"/>
    </row>
    <row r="4009" spans="1:21">
      <c r="A4009"/>
      <c r="C4009"/>
      <c r="D4009"/>
      <c r="L4009"/>
      <c r="R4009"/>
      <c r="S4009"/>
      <c r="T4009"/>
      <c r="U4009"/>
    </row>
    <row r="4010" spans="1:21">
      <c r="A4010"/>
      <c r="C4010"/>
      <c r="D4010"/>
      <c r="L4010"/>
      <c r="R4010"/>
      <c r="S4010"/>
      <c r="T4010"/>
      <c r="U4010"/>
    </row>
    <row r="4011" spans="1:21">
      <c r="A4011"/>
      <c r="C4011"/>
      <c r="D4011"/>
      <c r="L4011"/>
      <c r="R4011"/>
      <c r="S4011"/>
      <c r="T4011"/>
      <c r="U4011"/>
    </row>
    <row r="4012" spans="1:21">
      <c r="A4012"/>
      <c r="C4012"/>
      <c r="D4012"/>
      <c r="L4012"/>
      <c r="R4012"/>
      <c r="S4012"/>
      <c r="T4012"/>
      <c r="U4012"/>
    </row>
    <row r="4013" spans="1:21">
      <c r="A4013"/>
      <c r="C4013"/>
      <c r="D4013"/>
      <c r="L4013"/>
      <c r="R4013"/>
      <c r="S4013"/>
      <c r="T4013"/>
      <c r="U4013"/>
    </row>
    <row r="4014" spans="1:21">
      <c r="A4014"/>
      <c r="C4014"/>
      <c r="D4014"/>
      <c r="L4014"/>
      <c r="R4014"/>
      <c r="S4014"/>
      <c r="T4014"/>
      <c r="U4014"/>
    </row>
    <row r="4015" spans="1:21">
      <c r="A4015"/>
      <c r="C4015"/>
      <c r="D4015"/>
      <c r="L4015"/>
      <c r="R4015"/>
      <c r="S4015"/>
      <c r="T4015"/>
      <c r="U4015"/>
    </row>
    <row r="4016" spans="1:21">
      <c r="A4016"/>
      <c r="C4016"/>
      <c r="D4016"/>
      <c r="L4016"/>
      <c r="R4016"/>
      <c r="S4016"/>
      <c r="T4016"/>
      <c r="U4016"/>
    </row>
    <row r="4017" spans="1:21">
      <c r="A4017"/>
      <c r="C4017"/>
      <c r="D4017"/>
      <c r="L4017"/>
      <c r="R4017"/>
      <c r="S4017"/>
      <c r="T4017"/>
      <c r="U4017"/>
    </row>
    <row r="4018" spans="1:21">
      <c r="A4018"/>
      <c r="C4018"/>
      <c r="D4018"/>
      <c r="L4018"/>
      <c r="R4018"/>
      <c r="S4018"/>
      <c r="T4018"/>
      <c r="U4018"/>
    </row>
    <row r="4019" spans="1:21">
      <c r="A4019"/>
      <c r="C4019"/>
      <c r="D4019"/>
      <c r="L4019"/>
      <c r="R4019"/>
      <c r="S4019"/>
      <c r="T4019"/>
      <c r="U4019"/>
    </row>
    <row r="4020" spans="1:21">
      <c r="A4020"/>
      <c r="C4020"/>
      <c r="D4020"/>
      <c r="L4020"/>
      <c r="R4020"/>
      <c r="S4020"/>
      <c r="T4020"/>
      <c r="U4020"/>
    </row>
    <row r="4021" spans="1:21">
      <c r="A4021"/>
      <c r="C4021"/>
      <c r="D4021"/>
      <c r="L4021"/>
      <c r="R4021"/>
      <c r="S4021"/>
      <c r="T4021"/>
      <c r="U4021"/>
    </row>
    <row r="4022" spans="1:21">
      <c r="A4022"/>
      <c r="C4022"/>
      <c r="D4022"/>
      <c r="L4022"/>
      <c r="R4022"/>
      <c r="S4022"/>
      <c r="T4022"/>
      <c r="U4022"/>
    </row>
    <row r="4023" spans="1:21">
      <c r="A4023"/>
      <c r="C4023"/>
      <c r="D4023"/>
      <c r="L4023"/>
      <c r="R4023"/>
      <c r="S4023"/>
      <c r="T4023"/>
      <c r="U4023"/>
    </row>
    <row r="4024" spans="1:21">
      <c r="A4024"/>
      <c r="C4024"/>
      <c r="D4024"/>
      <c r="L4024"/>
      <c r="R4024"/>
      <c r="S4024"/>
      <c r="T4024"/>
      <c r="U4024"/>
    </row>
    <row r="4025" spans="1:21">
      <c r="A4025"/>
      <c r="C4025"/>
      <c r="D4025"/>
      <c r="L4025"/>
      <c r="R4025"/>
      <c r="S4025"/>
      <c r="T4025"/>
      <c r="U4025"/>
    </row>
    <row r="4026" spans="1:21">
      <c r="A4026"/>
      <c r="C4026"/>
      <c r="D4026"/>
      <c r="L4026"/>
      <c r="R4026"/>
      <c r="S4026"/>
      <c r="T4026"/>
      <c r="U4026"/>
    </row>
    <row r="4027" spans="1:21">
      <c r="A4027"/>
      <c r="C4027"/>
      <c r="D4027"/>
      <c r="L4027"/>
      <c r="R4027"/>
      <c r="S4027"/>
      <c r="T4027"/>
      <c r="U4027"/>
    </row>
    <row r="4028" spans="1:21">
      <c r="A4028"/>
      <c r="C4028"/>
      <c r="D4028"/>
      <c r="L4028"/>
      <c r="R4028"/>
      <c r="S4028"/>
      <c r="T4028"/>
      <c r="U4028"/>
    </row>
    <row r="4029" spans="1:21">
      <c r="A4029"/>
      <c r="C4029"/>
      <c r="D4029"/>
      <c r="L4029"/>
      <c r="R4029"/>
      <c r="S4029"/>
      <c r="T4029"/>
      <c r="U4029"/>
    </row>
    <row r="4030" spans="1:21">
      <c r="A4030"/>
      <c r="C4030"/>
      <c r="D4030"/>
      <c r="L4030"/>
      <c r="R4030"/>
      <c r="S4030"/>
      <c r="T4030"/>
      <c r="U4030"/>
    </row>
    <row r="4031" spans="1:21">
      <c r="A4031"/>
      <c r="C4031"/>
      <c r="D4031"/>
      <c r="L4031"/>
      <c r="R4031"/>
      <c r="S4031"/>
      <c r="T4031"/>
      <c r="U4031"/>
    </row>
    <row r="4032" spans="1:21">
      <c r="A4032"/>
      <c r="C4032"/>
      <c r="D4032"/>
      <c r="L4032"/>
      <c r="R4032"/>
      <c r="S4032"/>
      <c r="T4032"/>
      <c r="U4032"/>
    </row>
    <row r="4033" spans="1:21">
      <c r="A4033"/>
      <c r="C4033"/>
      <c r="D4033"/>
      <c r="L4033"/>
      <c r="R4033"/>
      <c r="S4033"/>
      <c r="T4033"/>
      <c r="U4033"/>
    </row>
    <row r="4034" spans="1:21">
      <c r="A4034"/>
      <c r="C4034"/>
      <c r="D4034"/>
      <c r="L4034"/>
      <c r="R4034"/>
      <c r="S4034"/>
      <c r="T4034"/>
      <c r="U4034"/>
    </row>
    <row r="4035" spans="1:21">
      <c r="A4035"/>
      <c r="C4035"/>
      <c r="D4035"/>
      <c r="L4035"/>
      <c r="R4035"/>
      <c r="S4035"/>
      <c r="T4035"/>
      <c r="U4035"/>
    </row>
    <row r="4036" spans="1:21">
      <c r="A4036"/>
      <c r="C4036"/>
      <c r="D4036"/>
      <c r="L4036"/>
      <c r="R4036"/>
      <c r="S4036"/>
      <c r="T4036"/>
      <c r="U4036"/>
    </row>
    <row r="4037" spans="1:21">
      <c r="A4037"/>
      <c r="C4037"/>
      <c r="D4037"/>
      <c r="L4037"/>
      <c r="R4037"/>
      <c r="S4037"/>
      <c r="T4037"/>
      <c r="U4037"/>
    </row>
    <row r="4038" spans="1:21">
      <c r="A4038"/>
      <c r="C4038"/>
      <c r="D4038"/>
      <c r="L4038"/>
      <c r="R4038"/>
      <c r="S4038"/>
      <c r="T4038"/>
      <c r="U4038"/>
    </row>
    <row r="4039" spans="1:21">
      <c r="A4039"/>
      <c r="C4039"/>
      <c r="D4039"/>
      <c r="L4039"/>
      <c r="R4039"/>
      <c r="S4039"/>
      <c r="T4039"/>
      <c r="U4039"/>
    </row>
    <row r="4040" spans="1:21">
      <c r="A4040"/>
      <c r="C4040"/>
      <c r="D4040"/>
      <c r="L4040"/>
      <c r="R4040"/>
      <c r="S4040"/>
      <c r="T4040"/>
      <c r="U4040"/>
    </row>
    <row r="4041" spans="1:21">
      <c r="A4041"/>
      <c r="C4041"/>
      <c r="D4041"/>
      <c r="L4041"/>
      <c r="R4041"/>
      <c r="S4041"/>
      <c r="T4041"/>
      <c r="U4041"/>
    </row>
    <row r="4042" spans="1:21">
      <c r="A4042"/>
      <c r="C4042"/>
      <c r="D4042"/>
      <c r="L4042"/>
      <c r="R4042"/>
      <c r="S4042"/>
      <c r="T4042"/>
      <c r="U4042"/>
    </row>
    <row r="4043" spans="1:21">
      <c r="A4043"/>
      <c r="C4043"/>
      <c r="D4043"/>
      <c r="L4043"/>
      <c r="R4043"/>
      <c r="S4043"/>
      <c r="T4043"/>
      <c r="U4043"/>
    </row>
    <row r="4044" spans="1:21">
      <c r="A4044"/>
      <c r="C4044"/>
      <c r="D4044"/>
      <c r="L4044"/>
      <c r="R4044"/>
      <c r="S4044"/>
      <c r="T4044"/>
      <c r="U4044"/>
    </row>
    <row r="4045" spans="1:21">
      <c r="A4045"/>
      <c r="C4045"/>
      <c r="D4045"/>
      <c r="L4045"/>
      <c r="R4045"/>
      <c r="S4045"/>
      <c r="T4045"/>
      <c r="U4045"/>
    </row>
    <row r="4046" spans="1:21">
      <c r="A4046"/>
      <c r="C4046"/>
      <c r="D4046"/>
      <c r="L4046"/>
      <c r="R4046"/>
      <c r="S4046"/>
      <c r="T4046"/>
      <c r="U4046"/>
    </row>
    <row r="4047" spans="1:21">
      <c r="A4047"/>
      <c r="C4047"/>
      <c r="D4047"/>
      <c r="L4047"/>
      <c r="R4047"/>
      <c r="S4047"/>
      <c r="T4047"/>
      <c r="U4047"/>
    </row>
    <row r="4048" spans="1:21">
      <c r="A4048"/>
      <c r="C4048"/>
      <c r="D4048"/>
      <c r="L4048"/>
      <c r="R4048"/>
      <c r="S4048"/>
      <c r="T4048"/>
      <c r="U4048"/>
    </row>
    <row r="4049" spans="1:21">
      <c r="A4049"/>
      <c r="C4049"/>
      <c r="D4049"/>
      <c r="L4049"/>
      <c r="R4049"/>
      <c r="S4049"/>
      <c r="T4049"/>
      <c r="U4049"/>
    </row>
    <row r="4050" spans="1:21">
      <c r="A4050"/>
      <c r="C4050"/>
      <c r="D4050"/>
      <c r="L4050"/>
      <c r="R4050"/>
      <c r="S4050"/>
      <c r="T4050"/>
      <c r="U4050"/>
    </row>
    <row r="4051" spans="1:21">
      <c r="A4051"/>
      <c r="C4051"/>
      <c r="D4051"/>
      <c r="L4051"/>
      <c r="R4051"/>
      <c r="S4051"/>
      <c r="T4051"/>
      <c r="U4051"/>
    </row>
    <row r="4052" spans="1:21">
      <c r="A4052"/>
      <c r="C4052"/>
      <c r="D4052"/>
      <c r="L4052"/>
      <c r="R4052"/>
      <c r="S4052"/>
      <c r="T4052"/>
      <c r="U4052"/>
    </row>
    <row r="4053" spans="1:21">
      <c r="A4053"/>
      <c r="C4053"/>
      <c r="D4053"/>
      <c r="L4053"/>
      <c r="R4053"/>
      <c r="S4053"/>
      <c r="T4053"/>
      <c r="U4053"/>
    </row>
    <row r="4054" spans="1:21">
      <c r="A4054"/>
      <c r="C4054"/>
      <c r="D4054"/>
      <c r="L4054"/>
      <c r="R4054"/>
      <c r="S4054"/>
      <c r="T4054"/>
      <c r="U4054"/>
    </row>
    <row r="4055" spans="1:21">
      <c r="A4055"/>
      <c r="C4055"/>
      <c r="D4055"/>
      <c r="L4055"/>
      <c r="R4055"/>
      <c r="S4055"/>
      <c r="T4055"/>
      <c r="U4055"/>
    </row>
    <row r="4056" spans="1:21">
      <c r="A4056"/>
      <c r="C4056"/>
      <c r="D4056"/>
      <c r="L4056"/>
      <c r="R4056"/>
      <c r="S4056"/>
      <c r="T4056"/>
      <c r="U4056"/>
    </row>
    <row r="4057" spans="1:21">
      <c r="A4057"/>
      <c r="C4057"/>
      <c r="D4057"/>
      <c r="L4057"/>
      <c r="R4057"/>
      <c r="S4057"/>
      <c r="T4057"/>
      <c r="U4057"/>
    </row>
    <row r="4058" spans="1:21">
      <c r="A4058"/>
      <c r="C4058"/>
      <c r="D4058"/>
      <c r="L4058"/>
      <c r="R4058"/>
      <c r="S4058"/>
      <c r="T4058"/>
      <c r="U4058"/>
    </row>
    <row r="4059" spans="1:21">
      <c r="A4059"/>
      <c r="C4059"/>
      <c r="D4059"/>
      <c r="L4059"/>
      <c r="R4059"/>
      <c r="S4059"/>
      <c r="T4059"/>
      <c r="U4059"/>
    </row>
    <row r="4060" spans="1:21">
      <c r="A4060"/>
      <c r="C4060"/>
      <c r="D4060"/>
      <c r="L4060"/>
      <c r="R4060"/>
      <c r="S4060"/>
      <c r="T4060"/>
      <c r="U4060"/>
    </row>
    <row r="4061" spans="1:21">
      <c r="A4061"/>
      <c r="C4061"/>
      <c r="D4061"/>
      <c r="L4061"/>
      <c r="R4061"/>
      <c r="S4061"/>
      <c r="T4061"/>
      <c r="U4061"/>
    </row>
    <row r="4062" spans="1:21">
      <c r="A4062"/>
      <c r="C4062"/>
      <c r="D4062"/>
      <c r="L4062"/>
      <c r="R4062"/>
      <c r="S4062"/>
      <c r="T4062"/>
      <c r="U4062"/>
    </row>
    <row r="4063" spans="1:21">
      <c r="A4063"/>
      <c r="C4063"/>
      <c r="D4063"/>
      <c r="L4063"/>
      <c r="R4063"/>
      <c r="S4063"/>
      <c r="T4063"/>
      <c r="U4063"/>
    </row>
    <row r="4064" spans="1:21">
      <c r="A4064"/>
      <c r="C4064"/>
      <c r="D4064"/>
      <c r="L4064"/>
      <c r="R4064"/>
      <c r="S4064"/>
      <c r="T4064"/>
      <c r="U4064"/>
    </row>
    <row r="4065" spans="1:21">
      <c r="A4065"/>
      <c r="C4065"/>
      <c r="D4065"/>
      <c r="L4065"/>
      <c r="R4065"/>
      <c r="S4065"/>
      <c r="T4065"/>
      <c r="U4065"/>
    </row>
    <row r="4066" spans="1:21">
      <c r="A4066"/>
      <c r="C4066"/>
      <c r="D4066"/>
      <c r="L4066"/>
      <c r="R4066"/>
      <c r="S4066"/>
      <c r="T4066"/>
      <c r="U4066"/>
    </row>
    <row r="4067" spans="1:21">
      <c r="A4067"/>
      <c r="C4067"/>
      <c r="D4067"/>
      <c r="L4067"/>
      <c r="R4067"/>
      <c r="S4067"/>
      <c r="T4067"/>
      <c r="U4067"/>
    </row>
    <row r="4068" spans="1:21">
      <c r="A4068"/>
      <c r="C4068"/>
      <c r="D4068"/>
      <c r="L4068"/>
      <c r="R4068"/>
      <c r="S4068"/>
      <c r="T4068"/>
      <c r="U4068"/>
    </row>
    <row r="4069" spans="1:21">
      <c r="A4069"/>
      <c r="C4069"/>
      <c r="D4069"/>
      <c r="L4069"/>
      <c r="R4069"/>
      <c r="S4069"/>
      <c r="T4069"/>
      <c r="U4069"/>
    </row>
    <row r="4070" spans="1:21">
      <c r="A4070"/>
      <c r="C4070"/>
      <c r="D4070"/>
      <c r="L4070"/>
      <c r="R4070"/>
      <c r="S4070"/>
      <c r="T4070"/>
      <c r="U4070"/>
    </row>
    <row r="4071" spans="1:21">
      <c r="A4071"/>
      <c r="C4071"/>
      <c r="D4071"/>
      <c r="L4071"/>
      <c r="R4071"/>
      <c r="S4071"/>
      <c r="T4071"/>
      <c r="U4071"/>
    </row>
    <row r="4072" spans="1:21">
      <c r="A4072"/>
      <c r="C4072"/>
      <c r="D4072"/>
      <c r="L4072"/>
      <c r="R4072"/>
      <c r="S4072"/>
      <c r="T4072"/>
      <c r="U4072"/>
    </row>
    <row r="4073" spans="1:21">
      <c r="A4073"/>
      <c r="C4073"/>
      <c r="D4073"/>
      <c r="L4073"/>
      <c r="R4073"/>
      <c r="S4073"/>
      <c r="T4073"/>
      <c r="U4073"/>
    </row>
    <row r="4074" spans="1:21">
      <c r="A4074"/>
      <c r="C4074"/>
      <c r="D4074"/>
      <c r="L4074"/>
      <c r="R4074"/>
      <c r="S4074"/>
      <c r="T4074"/>
      <c r="U4074"/>
    </row>
    <row r="4075" spans="1:21">
      <c r="A4075"/>
      <c r="C4075"/>
      <c r="D4075"/>
      <c r="L4075"/>
      <c r="R4075"/>
      <c r="S4075"/>
      <c r="T4075"/>
      <c r="U4075"/>
    </row>
    <row r="4076" spans="1:21">
      <c r="A4076"/>
      <c r="C4076"/>
      <c r="D4076"/>
      <c r="L4076"/>
      <c r="R4076"/>
      <c r="S4076"/>
      <c r="T4076"/>
      <c r="U4076"/>
    </row>
    <row r="4077" spans="1:21">
      <c r="A4077"/>
      <c r="C4077"/>
      <c r="D4077"/>
      <c r="L4077"/>
      <c r="R4077"/>
      <c r="S4077"/>
      <c r="T4077"/>
      <c r="U4077"/>
    </row>
    <row r="4078" spans="1:21">
      <c r="A4078"/>
      <c r="C4078"/>
      <c r="D4078"/>
      <c r="L4078"/>
      <c r="R4078"/>
      <c r="S4078"/>
      <c r="T4078"/>
      <c r="U4078"/>
    </row>
    <row r="4079" spans="1:21">
      <c r="A4079"/>
      <c r="C4079"/>
      <c r="D4079"/>
      <c r="L4079"/>
      <c r="R4079"/>
      <c r="S4079"/>
      <c r="T4079"/>
      <c r="U4079"/>
    </row>
    <row r="4080" spans="1:21">
      <c r="A4080"/>
      <c r="C4080"/>
      <c r="D4080"/>
      <c r="L4080"/>
      <c r="R4080"/>
      <c r="S4080"/>
      <c r="T4080"/>
      <c r="U4080"/>
    </row>
    <row r="4081" spans="1:21">
      <c r="A4081"/>
      <c r="C4081"/>
      <c r="D4081"/>
      <c r="L4081"/>
      <c r="R4081"/>
      <c r="S4081"/>
      <c r="T4081"/>
      <c r="U4081"/>
    </row>
    <row r="4082" spans="1:21">
      <c r="A4082"/>
      <c r="C4082"/>
      <c r="D4082"/>
      <c r="L4082"/>
      <c r="R4082"/>
      <c r="S4082"/>
      <c r="T4082"/>
      <c r="U4082"/>
    </row>
    <row r="4083" spans="1:21">
      <c r="A4083"/>
      <c r="C4083"/>
      <c r="D4083"/>
      <c r="L4083"/>
      <c r="R4083"/>
      <c r="S4083"/>
      <c r="T4083"/>
      <c r="U4083"/>
    </row>
    <row r="4084" spans="1:21">
      <c r="A4084"/>
      <c r="C4084"/>
      <c r="D4084"/>
      <c r="L4084"/>
      <c r="R4084"/>
      <c r="S4084"/>
      <c r="T4084"/>
      <c r="U4084"/>
    </row>
    <row r="4085" spans="1:21">
      <c r="A4085"/>
      <c r="C4085"/>
      <c r="D4085"/>
      <c r="L4085"/>
      <c r="R4085"/>
      <c r="S4085"/>
      <c r="T4085"/>
      <c r="U4085"/>
    </row>
    <row r="4086" spans="1:21">
      <c r="A4086"/>
      <c r="C4086"/>
      <c r="D4086"/>
      <c r="L4086"/>
      <c r="R4086"/>
      <c r="S4086"/>
      <c r="T4086"/>
      <c r="U4086"/>
    </row>
    <row r="4087" spans="1:21">
      <c r="A4087"/>
      <c r="C4087"/>
      <c r="D4087"/>
      <c r="L4087"/>
      <c r="R4087"/>
      <c r="S4087"/>
      <c r="T4087"/>
      <c r="U4087"/>
    </row>
    <row r="4088" spans="1:21">
      <c r="A4088"/>
      <c r="C4088"/>
      <c r="D4088"/>
      <c r="L4088"/>
      <c r="R4088"/>
      <c r="S4088"/>
      <c r="T4088"/>
      <c r="U4088"/>
    </row>
    <row r="4089" spans="1:21">
      <c r="A4089"/>
      <c r="C4089"/>
      <c r="D4089"/>
      <c r="L4089"/>
      <c r="R4089"/>
      <c r="S4089"/>
      <c r="T4089"/>
      <c r="U4089"/>
    </row>
    <row r="4090" spans="1:21">
      <c r="A4090"/>
      <c r="C4090"/>
      <c r="D4090"/>
      <c r="L4090"/>
      <c r="R4090"/>
      <c r="S4090"/>
      <c r="T4090"/>
      <c r="U4090"/>
    </row>
    <row r="4091" spans="1:21">
      <c r="A4091"/>
      <c r="C4091"/>
      <c r="D4091"/>
      <c r="L4091"/>
      <c r="R4091"/>
      <c r="S4091"/>
      <c r="T4091"/>
      <c r="U4091"/>
    </row>
    <row r="4092" spans="1:21">
      <c r="A4092"/>
      <c r="C4092"/>
      <c r="D4092"/>
      <c r="L4092"/>
      <c r="R4092"/>
      <c r="S4092"/>
      <c r="T4092"/>
      <c r="U4092"/>
    </row>
    <row r="4093" spans="1:21">
      <c r="A4093"/>
      <c r="C4093"/>
      <c r="D4093"/>
      <c r="L4093"/>
      <c r="R4093"/>
      <c r="S4093"/>
      <c r="T4093"/>
      <c r="U4093"/>
    </row>
    <row r="4094" spans="1:21">
      <c r="A4094"/>
      <c r="C4094"/>
      <c r="D4094"/>
      <c r="L4094"/>
      <c r="R4094"/>
      <c r="S4094"/>
      <c r="T4094"/>
      <c r="U4094"/>
    </row>
    <row r="4095" spans="1:21">
      <c r="A4095"/>
      <c r="C4095"/>
      <c r="D4095"/>
      <c r="L4095"/>
      <c r="R4095"/>
      <c r="S4095"/>
      <c r="T4095"/>
      <c r="U4095"/>
    </row>
    <row r="4096" spans="1:21">
      <c r="A4096"/>
      <c r="C4096"/>
      <c r="D4096"/>
      <c r="L4096"/>
      <c r="R4096"/>
      <c r="S4096"/>
      <c r="T4096"/>
      <c r="U4096"/>
    </row>
    <row r="4097" spans="1:21">
      <c r="A4097"/>
      <c r="C4097"/>
      <c r="D4097"/>
      <c r="L4097"/>
      <c r="R4097"/>
      <c r="S4097"/>
      <c r="T4097"/>
      <c r="U4097"/>
    </row>
    <row r="4098" spans="1:21">
      <c r="A4098"/>
      <c r="C4098"/>
      <c r="D4098"/>
      <c r="L4098"/>
      <c r="R4098"/>
      <c r="S4098"/>
      <c r="T4098"/>
      <c r="U4098"/>
    </row>
    <row r="4099" spans="1:21">
      <c r="A4099"/>
      <c r="C4099"/>
      <c r="D4099"/>
      <c r="L4099"/>
      <c r="R4099"/>
      <c r="S4099"/>
      <c r="T4099"/>
      <c r="U4099"/>
    </row>
    <row r="4100" spans="1:21">
      <c r="A4100"/>
      <c r="C4100"/>
      <c r="D4100"/>
      <c r="L4100"/>
      <c r="R4100"/>
      <c r="S4100"/>
      <c r="T4100"/>
      <c r="U4100"/>
    </row>
    <row r="4101" spans="1:21">
      <c r="A4101"/>
      <c r="C4101"/>
      <c r="D4101"/>
      <c r="L4101"/>
      <c r="R4101"/>
      <c r="S4101"/>
      <c r="T4101"/>
      <c r="U4101"/>
    </row>
    <row r="4102" spans="1:21">
      <c r="A4102"/>
      <c r="C4102"/>
      <c r="D4102"/>
      <c r="L4102"/>
      <c r="R4102"/>
      <c r="S4102"/>
      <c r="T4102"/>
      <c r="U4102"/>
    </row>
    <row r="4103" spans="1:21">
      <c r="A4103"/>
      <c r="C4103"/>
      <c r="D4103"/>
      <c r="L4103"/>
      <c r="R4103"/>
      <c r="S4103"/>
      <c r="T4103"/>
      <c r="U4103"/>
    </row>
    <row r="4104" spans="1:21">
      <c r="A4104"/>
      <c r="C4104"/>
      <c r="D4104"/>
      <c r="L4104"/>
      <c r="R4104"/>
      <c r="S4104"/>
      <c r="T4104"/>
      <c r="U4104"/>
    </row>
    <row r="4105" spans="1:21">
      <c r="A4105"/>
      <c r="C4105"/>
      <c r="D4105"/>
      <c r="L4105"/>
      <c r="R4105"/>
      <c r="S4105"/>
      <c r="T4105"/>
      <c r="U4105"/>
    </row>
    <row r="4106" spans="1:21">
      <c r="A4106"/>
      <c r="C4106"/>
      <c r="D4106"/>
      <c r="L4106"/>
      <c r="R4106"/>
      <c r="S4106"/>
      <c r="T4106"/>
      <c r="U4106"/>
    </row>
    <row r="4107" spans="1:21">
      <c r="A4107"/>
      <c r="C4107"/>
      <c r="D4107"/>
      <c r="L4107"/>
      <c r="R4107"/>
      <c r="S4107"/>
      <c r="T4107"/>
      <c r="U4107"/>
    </row>
    <row r="4108" spans="1:21">
      <c r="A4108"/>
      <c r="C4108"/>
      <c r="D4108"/>
      <c r="L4108"/>
      <c r="R4108"/>
      <c r="S4108"/>
      <c r="T4108"/>
      <c r="U4108"/>
    </row>
    <row r="4109" spans="1:21">
      <c r="A4109"/>
      <c r="C4109"/>
      <c r="D4109"/>
      <c r="L4109"/>
      <c r="R4109"/>
      <c r="S4109"/>
      <c r="T4109"/>
      <c r="U4109"/>
    </row>
    <row r="4110" spans="1:21">
      <c r="A4110"/>
      <c r="C4110"/>
      <c r="D4110"/>
      <c r="L4110"/>
      <c r="R4110"/>
      <c r="S4110"/>
      <c r="T4110"/>
      <c r="U4110"/>
    </row>
    <row r="4111" spans="1:21">
      <c r="A4111"/>
      <c r="C4111"/>
      <c r="D4111"/>
      <c r="L4111"/>
      <c r="R4111"/>
      <c r="S4111"/>
      <c r="T4111"/>
      <c r="U4111"/>
    </row>
    <row r="4112" spans="1:21">
      <c r="A4112"/>
      <c r="C4112"/>
      <c r="D4112"/>
      <c r="L4112"/>
      <c r="R4112"/>
      <c r="S4112"/>
      <c r="T4112"/>
      <c r="U4112"/>
    </row>
    <row r="4113" spans="1:21">
      <c r="A4113"/>
      <c r="C4113"/>
      <c r="D4113"/>
      <c r="L4113"/>
      <c r="R4113"/>
      <c r="S4113"/>
      <c r="T4113"/>
      <c r="U4113"/>
    </row>
    <row r="4114" spans="1:21">
      <c r="A4114"/>
      <c r="C4114"/>
      <c r="D4114"/>
      <c r="L4114"/>
      <c r="R4114"/>
      <c r="S4114"/>
      <c r="T4114"/>
      <c r="U4114"/>
    </row>
    <row r="4115" spans="1:21">
      <c r="A4115"/>
      <c r="C4115"/>
      <c r="D4115"/>
      <c r="L4115"/>
      <c r="R4115"/>
      <c r="S4115"/>
      <c r="T4115"/>
      <c r="U4115"/>
    </row>
    <row r="4116" spans="1:21">
      <c r="A4116"/>
      <c r="C4116"/>
      <c r="D4116"/>
      <c r="L4116"/>
      <c r="R4116"/>
      <c r="S4116"/>
      <c r="T4116"/>
      <c r="U4116"/>
    </row>
    <row r="4117" spans="1:21">
      <c r="A4117"/>
      <c r="C4117"/>
      <c r="D4117"/>
      <c r="L4117"/>
      <c r="R4117"/>
      <c r="S4117"/>
      <c r="T4117"/>
      <c r="U4117"/>
    </row>
    <row r="4118" spans="1:21">
      <c r="A4118"/>
      <c r="C4118"/>
      <c r="D4118"/>
      <c r="L4118"/>
      <c r="R4118"/>
      <c r="S4118"/>
      <c r="T4118"/>
      <c r="U4118"/>
    </row>
    <row r="4119" spans="1:21">
      <c r="A4119"/>
      <c r="C4119"/>
      <c r="D4119"/>
      <c r="L4119"/>
      <c r="R4119"/>
      <c r="S4119"/>
      <c r="T4119"/>
      <c r="U4119"/>
    </row>
    <row r="4120" spans="1:21">
      <c r="A4120"/>
      <c r="C4120"/>
      <c r="D4120"/>
      <c r="L4120"/>
      <c r="R4120"/>
      <c r="S4120"/>
      <c r="T4120"/>
      <c r="U4120"/>
    </row>
    <row r="4121" spans="1:21">
      <c r="A4121"/>
      <c r="C4121"/>
      <c r="D4121"/>
      <c r="L4121"/>
      <c r="R4121"/>
      <c r="S4121"/>
      <c r="T4121"/>
      <c r="U4121"/>
    </row>
    <row r="4122" spans="1:21">
      <c r="A4122"/>
      <c r="C4122"/>
      <c r="D4122"/>
      <c r="L4122"/>
      <c r="R4122"/>
      <c r="S4122"/>
      <c r="T4122"/>
      <c r="U4122"/>
    </row>
    <row r="4123" spans="1:21">
      <c r="A4123"/>
      <c r="C4123"/>
      <c r="D4123"/>
      <c r="L4123"/>
      <c r="R4123"/>
      <c r="S4123"/>
      <c r="T4123"/>
      <c r="U4123"/>
    </row>
    <row r="4124" spans="1:21">
      <c r="A4124"/>
      <c r="C4124"/>
      <c r="D4124"/>
      <c r="L4124"/>
      <c r="R4124"/>
      <c r="S4124"/>
      <c r="T4124"/>
      <c r="U4124"/>
    </row>
    <row r="4125" spans="1:21">
      <c r="A4125"/>
      <c r="C4125"/>
      <c r="D4125"/>
      <c r="L4125"/>
      <c r="R4125"/>
      <c r="S4125"/>
      <c r="T4125"/>
      <c r="U4125"/>
    </row>
    <row r="4126" spans="1:21">
      <c r="A4126"/>
      <c r="C4126"/>
      <c r="D4126"/>
      <c r="L4126"/>
      <c r="R4126"/>
      <c r="S4126"/>
      <c r="T4126"/>
      <c r="U4126"/>
    </row>
    <row r="4127" spans="1:21">
      <c r="A4127"/>
      <c r="C4127"/>
      <c r="D4127"/>
      <c r="L4127"/>
      <c r="R4127"/>
      <c r="S4127"/>
      <c r="T4127"/>
      <c r="U4127"/>
    </row>
    <row r="4128" spans="1:21">
      <c r="A4128"/>
      <c r="C4128"/>
      <c r="D4128"/>
      <c r="L4128"/>
      <c r="R4128"/>
      <c r="S4128"/>
      <c r="T4128"/>
      <c r="U4128"/>
    </row>
    <row r="4129" spans="1:21">
      <c r="A4129"/>
      <c r="C4129"/>
      <c r="D4129"/>
      <c r="L4129"/>
      <c r="R4129"/>
      <c r="S4129"/>
      <c r="T4129"/>
      <c r="U4129"/>
    </row>
    <row r="4130" spans="1:21">
      <c r="A4130"/>
      <c r="C4130"/>
      <c r="D4130"/>
      <c r="L4130"/>
      <c r="R4130"/>
      <c r="S4130"/>
      <c r="T4130"/>
      <c r="U4130"/>
    </row>
    <row r="4131" spans="1:21">
      <c r="A4131"/>
      <c r="C4131"/>
      <c r="D4131"/>
      <c r="L4131"/>
      <c r="R4131"/>
      <c r="S4131"/>
      <c r="T4131"/>
      <c r="U4131"/>
    </row>
    <row r="4132" spans="1:21">
      <c r="A4132"/>
      <c r="C4132"/>
      <c r="D4132"/>
      <c r="L4132"/>
      <c r="R4132"/>
      <c r="S4132"/>
      <c r="T4132"/>
      <c r="U4132"/>
    </row>
    <row r="4133" spans="1:21">
      <c r="A4133"/>
      <c r="C4133"/>
      <c r="D4133"/>
      <c r="L4133"/>
      <c r="R4133"/>
      <c r="S4133"/>
      <c r="T4133"/>
      <c r="U4133"/>
    </row>
    <row r="4134" spans="1:21">
      <c r="A4134"/>
      <c r="C4134"/>
      <c r="D4134"/>
      <c r="L4134"/>
      <c r="R4134"/>
      <c r="S4134"/>
      <c r="T4134"/>
      <c r="U4134"/>
    </row>
    <row r="4135" spans="1:21">
      <c r="A4135"/>
      <c r="C4135"/>
      <c r="D4135"/>
      <c r="L4135"/>
      <c r="R4135"/>
      <c r="S4135"/>
      <c r="T4135"/>
      <c r="U4135"/>
    </row>
    <row r="4136" spans="1:21">
      <c r="A4136"/>
      <c r="C4136"/>
      <c r="D4136"/>
      <c r="L4136"/>
      <c r="R4136"/>
      <c r="S4136"/>
      <c r="T4136"/>
      <c r="U4136"/>
    </row>
    <row r="4137" spans="1:21">
      <c r="A4137"/>
      <c r="C4137"/>
      <c r="D4137"/>
      <c r="L4137"/>
      <c r="R4137"/>
      <c r="S4137"/>
      <c r="T4137"/>
      <c r="U4137"/>
    </row>
    <row r="4138" spans="1:21">
      <c r="A4138"/>
      <c r="C4138"/>
      <c r="D4138"/>
      <c r="L4138"/>
      <c r="R4138"/>
      <c r="S4138"/>
      <c r="T4138"/>
      <c r="U4138"/>
    </row>
    <row r="4139" spans="1:21">
      <c r="A4139"/>
      <c r="C4139"/>
      <c r="D4139"/>
      <c r="L4139"/>
      <c r="R4139"/>
      <c r="S4139"/>
      <c r="T4139"/>
      <c r="U4139"/>
    </row>
    <row r="4140" spans="1:21">
      <c r="A4140"/>
      <c r="C4140"/>
      <c r="D4140"/>
      <c r="L4140"/>
      <c r="R4140"/>
      <c r="S4140"/>
      <c r="T4140"/>
      <c r="U4140"/>
    </row>
    <row r="4141" spans="1:21">
      <c r="A4141"/>
      <c r="C4141"/>
      <c r="D4141"/>
      <c r="L4141"/>
      <c r="R4141"/>
      <c r="S4141"/>
      <c r="T4141"/>
      <c r="U4141"/>
    </row>
    <row r="4142" spans="1:21">
      <c r="A4142"/>
      <c r="C4142"/>
      <c r="D4142"/>
      <c r="L4142"/>
      <c r="R4142"/>
      <c r="S4142"/>
      <c r="T4142"/>
      <c r="U4142"/>
    </row>
    <row r="4143" spans="1:21">
      <c r="A4143"/>
      <c r="C4143"/>
      <c r="D4143"/>
      <c r="L4143"/>
      <c r="R4143"/>
      <c r="S4143"/>
      <c r="T4143"/>
      <c r="U4143"/>
    </row>
    <row r="4144" spans="1:21">
      <c r="A4144"/>
      <c r="C4144"/>
      <c r="D4144"/>
      <c r="L4144"/>
      <c r="R4144"/>
      <c r="S4144"/>
      <c r="T4144"/>
      <c r="U4144"/>
    </row>
    <row r="4145" spans="1:21">
      <c r="A4145"/>
      <c r="C4145"/>
      <c r="D4145"/>
      <c r="L4145"/>
      <c r="R4145"/>
      <c r="S4145"/>
      <c r="T4145"/>
      <c r="U4145"/>
    </row>
    <row r="4146" spans="1:21">
      <c r="A4146"/>
      <c r="C4146"/>
      <c r="D4146"/>
      <c r="L4146"/>
      <c r="R4146"/>
      <c r="S4146"/>
      <c r="T4146"/>
      <c r="U4146"/>
    </row>
    <row r="4147" spans="1:21">
      <c r="A4147"/>
      <c r="C4147"/>
      <c r="D4147"/>
      <c r="L4147"/>
      <c r="R4147"/>
      <c r="S4147"/>
      <c r="T4147"/>
      <c r="U4147"/>
    </row>
    <row r="4148" spans="1:21">
      <c r="A4148"/>
      <c r="C4148"/>
      <c r="D4148"/>
      <c r="L4148"/>
      <c r="R4148"/>
      <c r="S4148"/>
      <c r="T4148"/>
      <c r="U4148"/>
    </row>
    <row r="4149" spans="1:21">
      <c r="A4149"/>
      <c r="C4149"/>
      <c r="D4149"/>
      <c r="L4149"/>
      <c r="R4149"/>
      <c r="S4149"/>
      <c r="T4149"/>
      <c r="U4149"/>
    </row>
    <row r="4150" spans="1:21">
      <c r="A4150"/>
      <c r="C4150"/>
      <c r="D4150"/>
      <c r="L4150"/>
      <c r="R4150"/>
      <c r="S4150"/>
      <c r="T4150"/>
      <c r="U4150"/>
    </row>
    <row r="4151" spans="1:21">
      <c r="A4151"/>
      <c r="C4151"/>
      <c r="D4151"/>
      <c r="L4151"/>
      <c r="R4151"/>
      <c r="S4151"/>
      <c r="T4151"/>
      <c r="U4151"/>
    </row>
    <row r="4152" spans="1:21">
      <c r="A4152"/>
      <c r="C4152"/>
      <c r="D4152"/>
      <c r="L4152"/>
      <c r="R4152"/>
      <c r="S4152"/>
      <c r="T4152"/>
      <c r="U4152"/>
    </row>
    <row r="4153" spans="1:21">
      <c r="A4153"/>
      <c r="C4153"/>
      <c r="D4153"/>
      <c r="L4153"/>
      <c r="R4153"/>
      <c r="S4153"/>
      <c r="T4153"/>
      <c r="U4153"/>
    </row>
    <row r="4154" spans="1:21">
      <c r="A4154"/>
      <c r="C4154"/>
      <c r="D4154"/>
      <c r="L4154"/>
      <c r="R4154"/>
      <c r="S4154"/>
      <c r="T4154"/>
      <c r="U4154"/>
    </row>
    <row r="4155" spans="1:21">
      <c r="A4155"/>
      <c r="C4155"/>
      <c r="D4155"/>
      <c r="L4155"/>
      <c r="R4155"/>
      <c r="S4155"/>
      <c r="T4155"/>
      <c r="U4155"/>
    </row>
    <row r="4156" spans="1:21">
      <c r="A4156"/>
      <c r="C4156"/>
      <c r="D4156"/>
      <c r="L4156"/>
      <c r="R4156"/>
      <c r="S4156"/>
      <c r="T4156"/>
      <c r="U4156"/>
    </row>
    <row r="4157" spans="1:21">
      <c r="A4157"/>
      <c r="C4157"/>
      <c r="D4157"/>
      <c r="L4157"/>
      <c r="R4157"/>
      <c r="S4157"/>
      <c r="T4157"/>
      <c r="U4157"/>
    </row>
    <row r="4158" spans="1:21">
      <c r="A4158"/>
      <c r="C4158"/>
      <c r="D4158"/>
      <c r="L4158"/>
      <c r="R4158"/>
      <c r="S4158"/>
      <c r="T4158"/>
      <c r="U4158"/>
    </row>
    <row r="4159" spans="1:21">
      <c r="A4159"/>
      <c r="C4159"/>
      <c r="D4159"/>
      <c r="L4159"/>
      <c r="R4159"/>
      <c r="S4159"/>
      <c r="T4159"/>
      <c r="U4159"/>
    </row>
    <row r="4160" spans="1:21">
      <c r="A4160"/>
      <c r="C4160"/>
      <c r="D4160"/>
      <c r="L4160"/>
      <c r="R4160"/>
      <c r="S4160"/>
      <c r="T4160"/>
      <c r="U4160"/>
    </row>
    <row r="4161" spans="1:21">
      <c r="A4161"/>
      <c r="C4161"/>
      <c r="D4161"/>
      <c r="L4161"/>
      <c r="R4161"/>
      <c r="S4161"/>
      <c r="T4161"/>
      <c r="U4161"/>
    </row>
    <row r="4162" spans="1:21">
      <c r="A4162"/>
      <c r="C4162"/>
      <c r="D4162"/>
      <c r="L4162"/>
      <c r="R4162"/>
      <c r="S4162"/>
      <c r="T4162"/>
      <c r="U4162"/>
    </row>
    <row r="4163" spans="1:21">
      <c r="A4163"/>
      <c r="C4163"/>
      <c r="D4163"/>
      <c r="L4163"/>
      <c r="R4163"/>
      <c r="S4163"/>
      <c r="T4163"/>
      <c r="U4163"/>
    </row>
    <row r="4164" spans="1:21">
      <c r="A4164"/>
      <c r="C4164"/>
      <c r="D4164"/>
      <c r="L4164"/>
      <c r="R4164"/>
      <c r="S4164"/>
      <c r="T4164"/>
      <c r="U4164"/>
    </row>
    <row r="4165" spans="1:21">
      <c r="A4165"/>
      <c r="C4165"/>
      <c r="D4165"/>
      <c r="L4165"/>
      <c r="R4165"/>
      <c r="S4165"/>
      <c r="T4165"/>
      <c r="U4165"/>
    </row>
    <row r="4166" spans="1:21">
      <c r="A4166"/>
      <c r="C4166"/>
      <c r="D4166"/>
      <c r="L4166"/>
      <c r="R4166"/>
      <c r="S4166"/>
      <c r="T4166"/>
      <c r="U4166"/>
    </row>
    <row r="4167" spans="1:21">
      <c r="A4167"/>
      <c r="C4167"/>
      <c r="D4167"/>
      <c r="L4167"/>
      <c r="R4167"/>
      <c r="S4167"/>
      <c r="T4167"/>
      <c r="U4167"/>
    </row>
    <row r="4168" spans="1:21">
      <c r="A4168"/>
      <c r="C4168"/>
      <c r="D4168"/>
      <c r="L4168"/>
      <c r="R4168"/>
      <c r="S4168"/>
      <c r="T4168"/>
      <c r="U4168"/>
    </row>
    <row r="4169" spans="1:21">
      <c r="A4169"/>
      <c r="C4169"/>
      <c r="D4169"/>
      <c r="L4169"/>
      <c r="R4169"/>
      <c r="S4169"/>
      <c r="T4169"/>
      <c r="U4169"/>
    </row>
    <row r="4170" spans="1:21">
      <c r="A4170"/>
      <c r="C4170"/>
      <c r="D4170"/>
      <c r="L4170"/>
      <c r="R4170"/>
      <c r="S4170"/>
      <c r="T4170"/>
      <c r="U4170"/>
    </row>
    <row r="4171" spans="1:21">
      <c r="A4171"/>
      <c r="C4171"/>
      <c r="D4171"/>
      <c r="L4171"/>
      <c r="R4171"/>
      <c r="S4171"/>
      <c r="T4171"/>
      <c r="U4171"/>
    </row>
    <row r="4172" spans="1:21">
      <c r="A4172"/>
      <c r="C4172"/>
      <c r="D4172"/>
      <c r="L4172"/>
      <c r="R4172"/>
      <c r="S4172"/>
      <c r="T4172"/>
      <c r="U4172"/>
    </row>
    <row r="4173" spans="1:21">
      <c r="A4173"/>
      <c r="C4173"/>
      <c r="D4173"/>
      <c r="L4173"/>
      <c r="R4173"/>
      <c r="S4173"/>
      <c r="T4173"/>
      <c r="U4173"/>
    </row>
    <row r="4174" spans="1:21">
      <c r="A4174"/>
      <c r="C4174"/>
      <c r="D4174"/>
      <c r="L4174"/>
      <c r="R4174"/>
      <c r="S4174"/>
      <c r="T4174"/>
      <c r="U4174"/>
    </row>
    <row r="4175" spans="1:21">
      <c r="A4175"/>
      <c r="C4175"/>
      <c r="D4175"/>
      <c r="L4175"/>
      <c r="R4175"/>
      <c r="S4175"/>
      <c r="T4175"/>
      <c r="U4175"/>
    </row>
    <row r="4176" spans="1:21">
      <c r="A4176"/>
      <c r="C4176"/>
      <c r="D4176"/>
      <c r="L4176"/>
      <c r="R4176"/>
      <c r="S4176"/>
      <c r="T4176"/>
      <c r="U4176"/>
    </row>
    <row r="4177" spans="1:21">
      <c r="A4177"/>
      <c r="C4177"/>
      <c r="D4177"/>
      <c r="L4177"/>
      <c r="R4177"/>
      <c r="S4177"/>
      <c r="T4177"/>
      <c r="U4177"/>
    </row>
    <row r="4178" spans="1:21">
      <c r="A4178"/>
      <c r="C4178"/>
      <c r="D4178"/>
      <c r="L4178"/>
      <c r="R4178"/>
      <c r="S4178"/>
      <c r="T4178"/>
      <c r="U4178"/>
    </row>
    <row r="4179" spans="1:21">
      <c r="A4179"/>
      <c r="C4179"/>
      <c r="D4179"/>
      <c r="L4179"/>
      <c r="R4179"/>
      <c r="S4179"/>
      <c r="T4179"/>
      <c r="U4179"/>
    </row>
    <row r="4180" spans="1:21">
      <c r="A4180"/>
      <c r="C4180"/>
      <c r="D4180"/>
      <c r="L4180"/>
      <c r="R4180"/>
      <c r="S4180"/>
      <c r="T4180"/>
      <c r="U4180"/>
    </row>
    <row r="4181" spans="1:21">
      <c r="A4181"/>
      <c r="C4181"/>
      <c r="D4181"/>
      <c r="L4181"/>
      <c r="R4181"/>
      <c r="S4181"/>
      <c r="T4181"/>
      <c r="U4181"/>
    </row>
    <row r="4182" spans="1:21">
      <c r="A4182"/>
      <c r="C4182"/>
      <c r="D4182"/>
      <c r="L4182"/>
      <c r="R4182"/>
      <c r="S4182"/>
      <c r="T4182"/>
      <c r="U4182"/>
    </row>
    <row r="4183" spans="1:21">
      <c r="A4183"/>
      <c r="C4183"/>
      <c r="D4183"/>
      <c r="L4183"/>
      <c r="R4183"/>
      <c r="S4183"/>
      <c r="T4183"/>
      <c r="U4183"/>
    </row>
    <row r="4184" spans="1:21">
      <c r="A4184"/>
      <c r="C4184"/>
      <c r="D4184"/>
      <c r="L4184"/>
      <c r="R4184"/>
      <c r="S4184"/>
      <c r="T4184"/>
      <c r="U4184"/>
    </row>
    <row r="4185" spans="1:21">
      <c r="A4185"/>
      <c r="C4185"/>
      <c r="D4185"/>
      <c r="L4185"/>
      <c r="R4185"/>
      <c r="S4185"/>
      <c r="T4185"/>
      <c r="U4185"/>
    </row>
    <row r="4186" spans="1:21">
      <c r="A4186"/>
      <c r="C4186"/>
      <c r="D4186"/>
      <c r="L4186"/>
      <c r="R4186"/>
      <c r="S4186"/>
      <c r="T4186"/>
      <c r="U4186"/>
    </row>
    <row r="4187" spans="1:21">
      <c r="A4187"/>
      <c r="C4187"/>
      <c r="D4187"/>
      <c r="L4187"/>
      <c r="R4187"/>
      <c r="S4187"/>
      <c r="T4187"/>
      <c r="U4187"/>
    </row>
    <row r="4188" spans="1:21">
      <c r="A4188"/>
      <c r="C4188"/>
      <c r="D4188"/>
      <c r="L4188"/>
      <c r="R4188"/>
      <c r="S4188"/>
      <c r="T4188"/>
      <c r="U4188"/>
    </row>
    <row r="4189" spans="1:21">
      <c r="A4189"/>
      <c r="C4189"/>
      <c r="D4189"/>
      <c r="L4189"/>
      <c r="R4189"/>
      <c r="S4189"/>
      <c r="T4189"/>
      <c r="U4189"/>
    </row>
    <row r="4190" spans="1:21">
      <c r="A4190"/>
      <c r="C4190"/>
      <c r="D4190"/>
      <c r="L4190"/>
      <c r="R4190"/>
      <c r="S4190"/>
      <c r="T4190"/>
      <c r="U4190"/>
    </row>
    <row r="4191" spans="1:21">
      <c r="A4191"/>
      <c r="C4191"/>
      <c r="D4191"/>
      <c r="L4191"/>
      <c r="R4191"/>
      <c r="S4191"/>
      <c r="T4191"/>
      <c r="U4191"/>
    </row>
    <row r="4192" spans="1:21">
      <c r="A4192"/>
      <c r="C4192"/>
      <c r="D4192"/>
      <c r="L4192"/>
      <c r="R4192"/>
      <c r="S4192"/>
      <c r="T4192"/>
      <c r="U4192"/>
    </row>
    <row r="4193" spans="1:21">
      <c r="A4193"/>
      <c r="C4193"/>
      <c r="D4193"/>
      <c r="L4193"/>
      <c r="R4193"/>
      <c r="S4193"/>
      <c r="T4193"/>
      <c r="U4193"/>
    </row>
    <row r="4194" spans="1:21">
      <c r="A4194"/>
      <c r="C4194"/>
      <c r="D4194"/>
      <c r="L4194"/>
      <c r="R4194"/>
      <c r="S4194"/>
      <c r="T4194"/>
      <c r="U4194"/>
    </row>
    <row r="4195" spans="1:21">
      <c r="A4195"/>
      <c r="C4195"/>
      <c r="D4195"/>
      <c r="L4195"/>
      <c r="R4195"/>
      <c r="S4195"/>
      <c r="T4195"/>
      <c r="U4195"/>
    </row>
    <row r="4196" spans="1:21">
      <c r="A4196"/>
      <c r="C4196"/>
      <c r="D4196"/>
      <c r="L4196"/>
      <c r="R4196"/>
      <c r="S4196"/>
      <c r="T4196"/>
      <c r="U4196"/>
    </row>
    <row r="4197" spans="1:21">
      <c r="A4197"/>
      <c r="C4197"/>
      <c r="D4197"/>
      <c r="L4197"/>
      <c r="R4197"/>
      <c r="S4197"/>
      <c r="T4197"/>
      <c r="U4197"/>
    </row>
    <row r="4198" spans="1:21">
      <c r="A4198"/>
      <c r="C4198"/>
      <c r="D4198"/>
      <c r="L4198"/>
      <c r="R4198"/>
      <c r="S4198"/>
      <c r="T4198"/>
      <c r="U4198"/>
    </row>
    <row r="4199" spans="1:21">
      <c r="A4199"/>
      <c r="C4199"/>
      <c r="D4199"/>
      <c r="L4199"/>
      <c r="R4199"/>
      <c r="S4199"/>
      <c r="T4199"/>
      <c r="U4199"/>
    </row>
    <row r="4200" spans="1:21">
      <c r="A4200"/>
      <c r="C4200"/>
      <c r="D4200"/>
      <c r="L4200"/>
      <c r="R4200"/>
      <c r="S4200"/>
      <c r="T4200"/>
      <c r="U4200"/>
    </row>
    <row r="4201" spans="1:21">
      <c r="A4201"/>
      <c r="C4201"/>
      <c r="D4201"/>
      <c r="L4201"/>
      <c r="R4201"/>
      <c r="S4201"/>
      <c r="T4201"/>
      <c r="U4201"/>
    </row>
    <row r="4202" spans="1:21">
      <c r="A4202"/>
      <c r="C4202"/>
      <c r="D4202"/>
      <c r="L4202"/>
      <c r="R4202"/>
      <c r="S4202"/>
      <c r="T4202"/>
      <c r="U4202"/>
    </row>
    <row r="4203" spans="1:21">
      <c r="A4203"/>
      <c r="C4203"/>
      <c r="D4203"/>
      <c r="L4203"/>
      <c r="R4203"/>
      <c r="S4203"/>
      <c r="T4203"/>
      <c r="U4203"/>
    </row>
    <row r="4204" spans="1:21">
      <c r="A4204"/>
      <c r="C4204"/>
      <c r="D4204"/>
      <c r="L4204"/>
      <c r="R4204"/>
      <c r="S4204"/>
      <c r="T4204"/>
      <c r="U4204"/>
    </row>
    <row r="4205" spans="1:21">
      <c r="A4205"/>
      <c r="C4205"/>
      <c r="D4205"/>
      <c r="L4205"/>
      <c r="R4205"/>
      <c r="S4205"/>
      <c r="T4205"/>
      <c r="U4205"/>
    </row>
    <row r="4206" spans="1:21">
      <c r="A4206"/>
      <c r="C4206"/>
      <c r="D4206"/>
      <c r="L4206"/>
      <c r="R4206"/>
      <c r="S4206"/>
      <c r="T4206"/>
      <c r="U4206"/>
    </row>
    <row r="4207" spans="1:21">
      <c r="A4207"/>
      <c r="C4207"/>
      <c r="D4207"/>
      <c r="L4207"/>
      <c r="R4207"/>
      <c r="S4207"/>
      <c r="T4207"/>
      <c r="U4207"/>
    </row>
    <row r="4208" spans="1:21">
      <c r="A4208"/>
      <c r="C4208"/>
      <c r="D4208"/>
      <c r="L4208"/>
      <c r="R4208"/>
      <c r="S4208"/>
      <c r="T4208"/>
      <c r="U4208"/>
    </row>
    <row r="4209" spans="1:21">
      <c r="A4209"/>
      <c r="C4209"/>
      <c r="D4209"/>
      <c r="L4209"/>
      <c r="R4209"/>
      <c r="S4209"/>
      <c r="T4209"/>
      <c r="U4209"/>
    </row>
    <row r="4210" spans="1:21">
      <c r="A4210"/>
      <c r="C4210"/>
      <c r="D4210"/>
      <c r="L4210"/>
      <c r="R4210"/>
      <c r="S4210"/>
      <c r="T4210"/>
      <c r="U4210"/>
    </row>
    <row r="4211" spans="1:21">
      <c r="A4211"/>
      <c r="C4211"/>
      <c r="D4211"/>
      <c r="L4211"/>
      <c r="R4211"/>
      <c r="S4211"/>
      <c r="T4211"/>
      <c r="U4211"/>
    </row>
    <row r="4212" spans="1:21">
      <c r="A4212"/>
      <c r="C4212"/>
      <c r="D4212"/>
      <c r="L4212"/>
      <c r="R4212"/>
      <c r="S4212"/>
      <c r="T4212"/>
      <c r="U4212"/>
    </row>
    <row r="4213" spans="1:21">
      <c r="A4213"/>
      <c r="C4213"/>
      <c r="D4213"/>
      <c r="L4213"/>
      <c r="R4213"/>
      <c r="S4213"/>
      <c r="T4213"/>
      <c r="U4213"/>
    </row>
    <row r="4214" spans="1:21">
      <c r="A4214"/>
      <c r="C4214"/>
      <c r="D4214"/>
      <c r="L4214"/>
      <c r="R4214"/>
      <c r="S4214"/>
      <c r="T4214"/>
      <c r="U4214"/>
    </row>
    <row r="4215" spans="1:21">
      <c r="A4215"/>
      <c r="C4215"/>
      <c r="D4215"/>
      <c r="L4215"/>
      <c r="R4215"/>
      <c r="S4215"/>
      <c r="T4215"/>
      <c r="U4215"/>
    </row>
    <row r="4216" spans="1:21">
      <c r="A4216"/>
      <c r="C4216"/>
      <c r="D4216"/>
      <c r="L4216"/>
      <c r="R4216"/>
      <c r="S4216"/>
      <c r="T4216"/>
      <c r="U4216"/>
    </row>
    <row r="4217" spans="1:21">
      <c r="A4217"/>
      <c r="C4217"/>
      <c r="D4217"/>
      <c r="L4217"/>
      <c r="R4217"/>
      <c r="S4217"/>
      <c r="T4217"/>
      <c r="U4217"/>
    </row>
    <row r="4218" spans="1:21">
      <c r="A4218"/>
      <c r="C4218"/>
      <c r="D4218"/>
      <c r="L4218"/>
      <c r="R4218"/>
      <c r="S4218"/>
      <c r="T4218"/>
      <c r="U4218"/>
    </row>
    <row r="4219" spans="1:21">
      <c r="A4219"/>
      <c r="C4219"/>
      <c r="D4219"/>
      <c r="L4219"/>
      <c r="R4219"/>
      <c r="S4219"/>
      <c r="T4219"/>
      <c r="U4219"/>
    </row>
    <row r="4220" spans="1:21">
      <c r="A4220"/>
      <c r="C4220"/>
      <c r="D4220"/>
      <c r="L4220"/>
      <c r="R4220"/>
      <c r="S4220"/>
      <c r="T4220"/>
      <c r="U4220"/>
    </row>
    <row r="4221" spans="1:21">
      <c r="A4221"/>
      <c r="C4221"/>
      <c r="D4221"/>
      <c r="L4221"/>
      <c r="R4221"/>
      <c r="S4221"/>
      <c r="T4221"/>
      <c r="U4221"/>
    </row>
    <row r="4222" spans="1:21">
      <c r="A4222"/>
      <c r="C4222"/>
      <c r="D4222"/>
      <c r="L4222"/>
      <c r="R4222"/>
      <c r="S4222"/>
      <c r="T4222"/>
      <c r="U4222"/>
    </row>
    <row r="4223" spans="1:21">
      <c r="A4223"/>
      <c r="C4223"/>
      <c r="D4223"/>
      <c r="L4223"/>
      <c r="R4223"/>
      <c r="S4223"/>
      <c r="T4223"/>
      <c r="U4223"/>
    </row>
    <row r="4224" spans="1:21">
      <c r="A4224"/>
      <c r="C4224"/>
      <c r="D4224"/>
      <c r="L4224"/>
      <c r="R4224"/>
      <c r="S4224"/>
      <c r="T4224"/>
      <c r="U4224"/>
    </row>
    <row r="4225" spans="1:21">
      <c r="A4225"/>
      <c r="C4225"/>
      <c r="D4225"/>
      <c r="L4225"/>
      <c r="R4225"/>
      <c r="S4225"/>
      <c r="T4225"/>
      <c r="U4225"/>
    </row>
    <row r="4226" spans="1:21">
      <c r="A4226"/>
      <c r="C4226"/>
      <c r="D4226"/>
      <c r="L4226"/>
      <c r="R4226"/>
      <c r="S4226"/>
      <c r="T4226"/>
      <c r="U4226"/>
    </row>
    <row r="4227" spans="1:21">
      <c r="A4227"/>
      <c r="C4227"/>
      <c r="D4227"/>
      <c r="L4227"/>
      <c r="R4227"/>
      <c r="S4227"/>
      <c r="T4227"/>
      <c r="U4227"/>
    </row>
    <row r="4228" spans="1:21">
      <c r="A4228"/>
      <c r="C4228"/>
      <c r="D4228"/>
      <c r="L4228"/>
      <c r="R4228"/>
      <c r="S4228"/>
      <c r="T4228"/>
      <c r="U4228"/>
    </row>
    <row r="4229" spans="1:21">
      <c r="A4229"/>
      <c r="C4229"/>
      <c r="D4229"/>
      <c r="L4229"/>
      <c r="R4229"/>
      <c r="S4229"/>
      <c r="T4229"/>
      <c r="U4229"/>
    </row>
    <row r="4230" spans="1:21">
      <c r="A4230"/>
      <c r="C4230"/>
      <c r="D4230"/>
      <c r="L4230"/>
      <c r="R4230"/>
      <c r="S4230"/>
      <c r="T4230"/>
      <c r="U4230"/>
    </row>
    <row r="4231" spans="1:21">
      <c r="A4231"/>
      <c r="C4231"/>
      <c r="D4231"/>
      <c r="L4231"/>
      <c r="R4231"/>
      <c r="S4231"/>
      <c r="T4231"/>
      <c r="U4231"/>
    </row>
    <row r="4232" spans="1:21">
      <c r="A4232"/>
      <c r="C4232"/>
      <c r="D4232"/>
      <c r="L4232"/>
      <c r="R4232"/>
      <c r="S4232"/>
      <c r="T4232"/>
      <c r="U4232"/>
    </row>
    <row r="4233" spans="1:21">
      <c r="A4233"/>
      <c r="C4233"/>
      <c r="D4233"/>
      <c r="L4233"/>
      <c r="R4233"/>
      <c r="S4233"/>
      <c r="T4233"/>
      <c r="U4233"/>
    </row>
    <row r="4234" spans="1:21">
      <c r="A4234"/>
      <c r="C4234"/>
      <c r="D4234"/>
      <c r="L4234"/>
      <c r="R4234"/>
      <c r="S4234"/>
      <c r="T4234"/>
      <c r="U4234"/>
    </row>
    <row r="4235" spans="1:21">
      <c r="A4235"/>
      <c r="C4235"/>
      <c r="D4235"/>
      <c r="L4235"/>
      <c r="R4235"/>
      <c r="S4235"/>
      <c r="T4235"/>
      <c r="U4235"/>
    </row>
    <row r="4236" spans="1:21">
      <c r="A4236"/>
      <c r="C4236"/>
      <c r="D4236"/>
      <c r="L4236"/>
      <c r="R4236"/>
      <c r="S4236"/>
      <c r="T4236"/>
      <c r="U4236"/>
    </row>
    <row r="4237" spans="1:21">
      <c r="A4237"/>
      <c r="C4237"/>
      <c r="D4237"/>
      <c r="L4237"/>
      <c r="R4237"/>
      <c r="S4237"/>
      <c r="T4237"/>
      <c r="U4237"/>
    </row>
    <row r="4238" spans="1:21">
      <c r="A4238"/>
      <c r="C4238"/>
      <c r="D4238"/>
      <c r="L4238"/>
      <c r="R4238"/>
      <c r="S4238"/>
      <c r="T4238"/>
      <c r="U4238"/>
    </row>
    <row r="4239" spans="1:21">
      <c r="A4239"/>
      <c r="C4239"/>
      <c r="D4239"/>
      <c r="L4239"/>
      <c r="R4239"/>
      <c r="S4239"/>
      <c r="T4239"/>
      <c r="U4239"/>
    </row>
    <row r="4240" spans="1:21">
      <c r="A4240"/>
      <c r="C4240"/>
      <c r="D4240"/>
      <c r="L4240"/>
      <c r="R4240"/>
      <c r="S4240"/>
      <c r="T4240"/>
      <c r="U4240"/>
    </row>
    <row r="4241" spans="1:21">
      <c r="A4241"/>
      <c r="C4241"/>
      <c r="D4241"/>
      <c r="L4241"/>
      <c r="R4241"/>
      <c r="S4241"/>
      <c r="T4241"/>
      <c r="U4241"/>
    </row>
    <row r="4242" spans="1:21">
      <c r="A4242"/>
      <c r="C4242"/>
      <c r="D4242"/>
      <c r="L4242"/>
      <c r="R4242"/>
      <c r="S4242"/>
      <c r="T4242"/>
      <c r="U4242"/>
    </row>
    <row r="4243" spans="1:21">
      <c r="A4243"/>
      <c r="C4243"/>
      <c r="D4243"/>
      <c r="L4243"/>
      <c r="R4243"/>
      <c r="S4243"/>
      <c r="T4243"/>
      <c r="U4243"/>
    </row>
    <row r="4244" spans="1:21">
      <c r="A4244"/>
      <c r="C4244"/>
      <c r="D4244"/>
      <c r="L4244"/>
      <c r="R4244"/>
      <c r="S4244"/>
      <c r="T4244"/>
      <c r="U4244"/>
    </row>
    <row r="4245" spans="1:21">
      <c r="A4245"/>
      <c r="C4245"/>
      <c r="D4245"/>
      <c r="L4245"/>
      <c r="R4245"/>
      <c r="S4245"/>
      <c r="T4245"/>
      <c r="U4245"/>
    </row>
    <row r="4246" spans="1:21">
      <c r="A4246"/>
      <c r="C4246"/>
      <c r="D4246"/>
      <c r="L4246"/>
      <c r="R4246"/>
      <c r="S4246"/>
      <c r="T4246"/>
      <c r="U4246"/>
    </row>
    <row r="4247" spans="1:21">
      <c r="A4247"/>
      <c r="C4247"/>
      <c r="D4247"/>
      <c r="L4247"/>
      <c r="R4247"/>
      <c r="S4247"/>
      <c r="T4247"/>
      <c r="U4247"/>
    </row>
    <row r="4248" spans="1:21">
      <c r="A4248"/>
      <c r="C4248"/>
      <c r="D4248"/>
      <c r="L4248"/>
      <c r="R4248"/>
      <c r="S4248"/>
      <c r="T4248"/>
      <c r="U4248"/>
    </row>
    <row r="4249" spans="1:21">
      <c r="A4249"/>
      <c r="C4249"/>
      <c r="D4249"/>
      <c r="L4249"/>
      <c r="R4249"/>
      <c r="S4249"/>
      <c r="T4249"/>
      <c r="U4249"/>
    </row>
    <row r="4250" spans="1:21">
      <c r="A4250"/>
      <c r="C4250"/>
      <c r="D4250"/>
      <c r="L4250"/>
      <c r="R4250"/>
      <c r="S4250"/>
      <c r="T4250"/>
      <c r="U4250"/>
    </row>
    <row r="4251" spans="1:21">
      <c r="A4251"/>
      <c r="C4251"/>
      <c r="D4251"/>
      <c r="L4251"/>
      <c r="R4251"/>
      <c r="S4251"/>
      <c r="T4251"/>
      <c r="U4251"/>
    </row>
    <row r="4252" spans="1:21">
      <c r="A4252"/>
      <c r="C4252"/>
      <c r="D4252"/>
      <c r="L4252"/>
      <c r="R4252"/>
      <c r="S4252"/>
      <c r="T4252"/>
      <c r="U4252"/>
    </row>
    <row r="4253" spans="1:21">
      <c r="A4253"/>
      <c r="C4253"/>
      <c r="D4253"/>
      <c r="L4253"/>
      <c r="R4253"/>
      <c r="S4253"/>
      <c r="T4253"/>
      <c r="U4253"/>
    </row>
    <row r="4254" spans="1:21">
      <c r="A4254"/>
      <c r="C4254"/>
      <c r="D4254"/>
      <c r="L4254"/>
      <c r="R4254"/>
      <c r="S4254"/>
      <c r="T4254"/>
      <c r="U4254"/>
    </row>
    <row r="4255" spans="1:21">
      <c r="A4255"/>
      <c r="C4255"/>
      <c r="D4255"/>
      <c r="L4255"/>
      <c r="R4255"/>
      <c r="S4255"/>
      <c r="T4255"/>
      <c r="U4255"/>
    </row>
    <row r="4256" spans="1:21">
      <c r="A4256"/>
      <c r="C4256"/>
      <c r="D4256"/>
      <c r="L4256"/>
      <c r="R4256"/>
      <c r="S4256"/>
      <c r="T4256"/>
      <c r="U4256"/>
    </row>
    <row r="4257" spans="1:21">
      <c r="A4257"/>
      <c r="C4257"/>
      <c r="D4257"/>
      <c r="L4257"/>
      <c r="R4257"/>
      <c r="S4257"/>
      <c r="T4257"/>
      <c r="U4257"/>
    </row>
    <row r="4258" spans="1:21">
      <c r="A4258"/>
      <c r="C4258"/>
      <c r="D4258"/>
      <c r="L4258"/>
      <c r="R4258"/>
      <c r="S4258"/>
      <c r="T4258"/>
      <c r="U4258"/>
    </row>
    <row r="4259" spans="1:21">
      <c r="A4259"/>
      <c r="C4259"/>
      <c r="D4259"/>
      <c r="L4259"/>
      <c r="R4259"/>
      <c r="S4259"/>
      <c r="T4259"/>
      <c r="U4259"/>
    </row>
    <row r="4260" spans="1:21">
      <c r="A4260"/>
      <c r="C4260"/>
      <c r="D4260"/>
      <c r="L4260"/>
      <c r="R4260"/>
      <c r="S4260"/>
      <c r="T4260"/>
      <c r="U4260"/>
    </row>
    <row r="4261" spans="1:21">
      <c r="A4261"/>
      <c r="C4261"/>
      <c r="D4261"/>
      <c r="L4261"/>
      <c r="R4261"/>
      <c r="S4261"/>
      <c r="T4261"/>
      <c r="U4261"/>
    </row>
    <row r="4262" spans="1:21">
      <c r="A4262"/>
      <c r="C4262"/>
      <c r="D4262"/>
      <c r="L4262"/>
      <c r="R4262"/>
      <c r="S4262"/>
      <c r="T4262"/>
      <c r="U4262"/>
    </row>
    <row r="4263" spans="1:21">
      <c r="A4263"/>
      <c r="C4263"/>
      <c r="D4263"/>
      <c r="L4263"/>
      <c r="R4263"/>
      <c r="S4263"/>
      <c r="T4263"/>
      <c r="U4263"/>
    </row>
    <row r="4264" spans="1:21">
      <c r="A4264"/>
      <c r="C4264"/>
      <c r="D4264"/>
      <c r="L4264"/>
      <c r="R4264"/>
      <c r="S4264"/>
      <c r="T4264"/>
      <c r="U4264"/>
    </row>
    <row r="4265" spans="1:21">
      <c r="A4265"/>
      <c r="C4265"/>
      <c r="D4265"/>
      <c r="L4265"/>
      <c r="R4265"/>
      <c r="S4265"/>
      <c r="T4265"/>
      <c r="U4265"/>
    </row>
    <row r="4266" spans="1:21">
      <c r="A4266"/>
      <c r="C4266"/>
      <c r="D4266"/>
      <c r="L4266"/>
      <c r="R4266"/>
      <c r="S4266"/>
      <c r="T4266"/>
      <c r="U4266"/>
    </row>
    <row r="4267" spans="1:21">
      <c r="A4267"/>
      <c r="C4267"/>
      <c r="D4267"/>
      <c r="L4267"/>
      <c r="R4267"/>
      <c r="S4267"/>
      <c r="T4267"/>
      <c r="U4267"/>
    </row>
    <row r="4268" spans="1:21">
      <c r="A4268"/>
      <c r="C4268"/>
      <c r="D4268"/>
      <c r="L4268"/>
      <c r="R4268"/>
      <c r="S4268"/>
      <c r="T4268"/>
      <c r="U4268"/>
    </row>
    <row r="4269" spans="1:21">
      <c r="A4269"/>
      <c r="C4269"/>
      <c r="D4269"/>
      <c r="L4269"/>
      <c r="R4269"/>
      <c r="S4269"/>
      <c r="T4269"/>
      <c r="U4269"/>
    </row>
    <row r="4270" spans="1:21">
      <c r="A4270"/>
      <c r="C4270"/>
      <c r="D4270"/>
      <c r="L4270"/>
      <c r="R4270"/>
      <c r="S4270"/>
      <c r="T4270"/>
      <c r="U4270"/>
    </row>
    <row r="4271" spans="1:21">
      <c r="A4271"/>
      <c r="C4271"/>
      <c r="D4271"/>
      <c r="L4271"/>
      <c r="R4271"/>
      <c r="S4271"/>
      <c r="T4271"/>
      <c r="U4271"/>
    </row>
    <row r="4272" spans="1:21">
      <c r="A4272"/>
      <c r="C4272"/>
      <c r="D4272"/>
      <c r="L4272"/>
      <c r="R4272"/>
      <c r="S4272"/>
      <c r="T4272"/>
      <c r="U4272"/>
    </row>
    <row r="4273" spans="1:21">
      <c r="A4273"/>
      <c r="C4273"/>
      <c r="D4273"/>
      <c r="L4273"/>
      <c r="R4273"/>
      <c r="S4273"/>
      <c r="T4273"/>
      <c r="U4273"/>
    </row>
    <row r="4274" spans="1:21">
      <c r="A4274"/>
      <c r="C4274"/>
      <c r="D4274"/>
      <c r="L4274"/>
      <c r="R4274"/>
      <c r="S4274"/>
      <c r="T4274"/>
      <c r="U4274"/>
    </row>
    <row r="4275" spans="1:21">
      <c r="A4275"/>
      <c r="C4275"/>
      <c r="D4275"/>
      <c r="L4275"/>
      <c r="R4275"/>
      <c r="S4275"/>
      <c r="T4275"/>
      <c r="U4275"/>
    </row>
    <row r="4276" spans="1:21">
      <c r="A4276"/>
      <c r="C4276"/>
      <c r="D4276"/>
      <c r="L4276"/>
      <c r="R4276"/>
      <c r="S4276"/>
      <c r="T4276"/>
      <c r="U4276"/>
    </row>
    <row r="4277" spans="1:21">
      <c r="A4277"/>
      <c r="C4277"/>
      <c r="D4277"/>
      <c r="L4277"/>
      <c r="R4277"/>
      <c r="S4277"/>
      <c r="T4277"/>
      <c r="U4277"/>
    </row>
    <row r="4278" spans="1:21">
      <c r="A4278"/>
      <c r="C4278"/>
      <c r="D4278"/>
      <c r="L4278"/>
      <c r="R4278"/>
      <c r="S4278"/>
      <c r="T4278"/>
      <c r="U4278"/>
    </row>
    <row r="4279" spans="1:21">
      <c r="A4279"/>
      <c r="C4279"/>
      <c r="D4279"/>
      <c r="L4279"/>
      <c r="R4279"/>
      <c r="S4279"/>
      <c r="T4279"/>
      <c r="U4279"/>
    </row>
    <row r="4280" spans="1:21">
      <c r="A4280"/>
      <c r="C4280"/>
      <c r="D4280"/>
      <c r="L4280"/>
      <c r="R4280"/>
      <c r="S4280"/>
      <c r="T4280"/>
      <c r="U4280"/>
    </row>
    <row r="4281" spans="1:21">
      <c r="A4281"/>
      <c r="C4281"/>
      <c r="D4281"/>
      <c r="L4281"/>
      <c r="R4281"/>
      <c r="S4281"/>
      <c r="T4281"/>
      <c r="U4281"/>
    </row>
    <row r="4282" spans="1:21">
      <c r="A4282"/>
      <c r="C4282"/>
      <c r="D4282"/>
      <c r="L4282"/>
      <c r="R4282"/>
      <c r="S4282"/>
      <c r="T4282"/>
      <c r="U4282"/>
    </row>
    <row r="4283" spans="1:21">
      <c r="A4283"/>
      <c r="C4283"/>
      <c r="D4283"/>
      <c r="L4283"/>
      <c r="R4283"/>
      <c r="S4283"/>
      <c r="T4283"/>
      <c r="U4283"/>
    </row>
    <row r="4284" spans="1:21">
      <c r="A4284"/>
      <c r="C4284"/>
      <c r="D4284"/>
      <c r="L4284"/>
      <c r="R4284"/>
      <c r="S4284"/>
      <c r="T4284"/>
      <c r="U4284"/>
    </row>
    <row r="4285" spans="1:21">
      <c r="A4285"/>
      <c r="C4285"/>
      <c r="D4285"/>
      <c r="L4285"/>
      <c r="R4285"/>
      <c r="S4285"/>
      <c r="T4285"/>
      <c r="U4285"/>
    </row>
    <row r="4286" spans="1:21">
      <c r="A4286"/>
      <c r="C4286"/>
      <c r="D4286"/>
      <c r="L4286"/>
      <c r="R4286"/>
      <c r="S4286"/>
      <c r="T4286"/>
      <c r="U4286"/>
    </row>
    <row r="4287" spans="1:21">
      <c r="A4287"/>
      <c r="C4287"/>
      <c r="D4287"/>
      <c r="L4287"/>
      <c r="R4287"/>
      <c r="S4287"/>
      <c r="T4287"/>
      <c r="U4287"/>
    </row>
    <row r="4288" spans="1:21">
      <c r="A4288"/>
      <c r="C4288"/>
      <c r="D4288"/>
      <c r="L4288"/>
      <c r="R4288"/>
      <c r="S4288"/>
      <c r="T4288"/>
      <c r="U4288"/>
    </row>
    <row r="4289" spans="1:21">
      <c r="A4289"/>
      <c r="C4289"/>
      <c r="D4289"/>
      <c r="L4289"/>
      <c r="R4289"/>
      <c r="S4289"/>
      <c r="T4289"/>
      <c r="U4289"/>
    </row>
    <row r="4290" spans="1:21">
      <c r="A4290"/>
      <c r="C4290"/>
      <c r="D4290"/>
      <c r="L4290"/>
      <c r="R4290"/>
      <c r="S4290"/>
      <c r="T4290"/>
      <c r="U4290"/>
    </row>
    <row r="4291" spans="1:21">
      <c r="A4291"/>
      <c r="C4291"/>
      <c r="D4291"/>
      <c r="L4291"/>
      <c r="R4291"/>
      <c r="S4291"/>
      <c r="T4291"/>
      <c r="U4291"/>
    </row>
    <row r="4292" spans="1:21">
      <c r="A4292"/>
      <c r="C4292"/>
      <c r="D4292"/>
      <c r="L4292"/>
      <c r="R4292"/>
      <c r="S4292"/>
      <c r="T4292"/>
      <c r="U4292"/>
    </row>
    <row r="4293" spans="1:21">
      <c r="A4293"/>
      <c r="C4293"/>
      <c r="D4293"/>
      <c r="L4293"/>
      <c r="R4293"/>
      <c r="S4293"/>
      <c r="T4293"/>
      <c r="U4293"/>
    </row>
    <row r="4294" spans="1:21">
      <c r="A4294"/>
      <c r="C4294"/>
      <c r="D4294"/>
      <c r="L4294"/>
      <c r="R4294"/>
      <c r="S4294"/>
      <c r="T4294"/>
      <c r="U4294"/>
    </row>
    <row r="4295" spans="1:21">
      <c r="A4295"/>
      <c r="C4295"/>
      <c r="D4295"/>
      <c r="L4295"/>
      <c r="R4295"/>
      <c r="S4295"/>
      <c r="T4295"/>
      <c r="U4295"/>
    </row>
    <row r="4296" spans="1:21">
      <c r="A4296"/>
      <c r="C4296"/>
      <c r="D4296"/>
      <c r="L4296"/>
      <c r="R4296"/>
      <c r="S4296"/>
      <c r="T4296"/>
      <c r="U4296"/>
    </row>
    <row r="4297" spans="1:21">
      <c r="A4297"/>
      <c r="C4297"/>
      <c r="D4297"/>
      <c r="L4297"/>
      <c r="R4297"/>
      <c r="S4297"/>
      <c r="T4297"/>
      <c r="U4297"/>
    </row>
    <row r="4298" spans="1:21">
      <c r="A4298"/>
      <c r="C4298"/>
      <c r="D4298"/>
      <c r="L4298"/>
      <c r="R4298"/>
      <c r="S4298"/>
      <c r="T4298"/>
      <c r="U4298"/>
    </row>
    <row r="4299" spans="1:21">
      <c r="A4299"/>
      <c r="C4299"/>
      <c r="D4299"/>
      <c r="L4299"/>
      <c r="R4299"/>
      <c r="S4299"/>
      <c r="T4299"/>
      <c r="U4299"/>
    </row>
    <row r="4300" spans="1:21">
      <c r="A4300"/>
      <c r="C4300"/>
      <c r="D4300"/>
      <c r="L4300"/>
      <c r="R4300"/>
      <c r="S4300"/>
      <c r="T4300"/>
      <c r="U4300"/>
    </row>
    <row r="4301" spans="1:21">
      <c r="A4301"/>
      <c r="C4301"/>
      <c r="D4301"/>
      <c r="L4301"/>
      <c r="R4301"/>
      <c r="S4301"/>
      <c r="T4301"/>
      <c r="U4301"/>
    </row>
    <row r="4302" spans="1:21">
      <c r="A4302"/>
      <c r="C4302"/>
      <c r="D4302"/>
      <c r="L4302"/>
      <c r="R4302"/>
      <c r="S4302"/>
      <c r="T4302"/>
      <c r="U4302"/>
    </row>
    <row r="4303" spans="1:21">
      <c r="A4303"/>
      <c r="C4303"/>
      <c r="D4303"/>
      <c r="L4303"/>
      <c r="R4303"/>
      <c r="S4303"/>
      <c r="T4303"/>
      <c r="U4303"/>
    </row>
    <row r="4304" spans="1:21">
      <c r="A4304"/>
      <c r="C4304"/>
      <c r="D4304"/>
      <c r="L4304"/>
      <c r="R4304"/>
      <c r="S4304"/>
      <c r="T4304"/>
      <c r="U4304"/>
    </row>
    <row r="4305" spans="1:21">
      <c r="A4305"/>
      <c r="C4305"/>
      <c r="D4305"/>
      <c r="L4305"/>
      <c r="R4305"/>
      <c r="S4305"/>
      <c r="T4305"/>
      <c r="U4305"/>
    </row>
    <row r="4306" spans="1:21">
      <c r="A4306"/>
      <c r="C4306"/>
      <c r="D4306"/>
      <c r="L4306"/>
      <c r="R4306"/>
      <c r="S4306"/>
      <c r="T4306"/>
      <c r="U4306"/>
    </row>
    <row r="4307" spans="1:21">
      <c r="A4307"/>
      <c r="C4307"/>
      <c r="D4307"/>
      <c r="L4307"/>
      <c r="R4307"/>
      <c r="S4307"/>
      <c r="T4307"/>
      <c r="U4307"/>
    </row>
    <row r="4308" spans="1:21">
      <c r="A4308"/>
      <c r="C4308"/>
      <c r="D4308"/>
      <c r="L4308"/>
      <c r="R4308"/>
      <c r="S4308"/>
      <c r="T4308"/>
      <c r="U4308"/>
    </row>
    <row r="4309" spans="1:21">
      <c r="A4309"/>
      <c r="C4309"/>
      <c r="D4309"/>
      <c r="L4309"/>
      <c r="R4309"/>
      <c r="S4309"/>
      <c r="T4309"/>
      <c r="U4309"/>
    </row>
    <row r="4310" spans="1:21">
      <c r="A4310"/>
      <c r="C4310"/>
      <c r="D4310"/>
      <c r="L4310"/>
      <c r="R4310"/>
      <c r="S4310"/>
      <c r="T4310"/>
      <c r="U4310"/>
    </row>
    <row r="4311" spans="1:21">
      <c r="A4311"/>
      <c r="C4311"/>
      <c r="D4311"/>
      <c r="L4311"/>
      <c r="R4311"/>
      <c r="S4311"/>
      <c r="T4311"/>
      <c r="U4311"/>
    </row>
    <row r="4312" spans="1:21">
      <c r="A4312"/>
      <c r="C4312"/>
      <c r="D4312"/>
      <c r="L4312"/>
      <c r="R4312"/>
      <c r="S4312"/>
      <c r="T4312"/>
      <c r="U4312"/>
    </row>
    <row r="4313" spans="1:21">
      <c r="A4313"/>
      <c r="C4313"/>
      <c r="D4313"/>
      <c r="L4313"/>
      <c r="R4313"/>
      <c r="S4313"/>
      <c r="T4313"/>
      <c r="U4313"/>
    </row>
    <row r="4314" spans="1:21">
      <c r="A4314"/>
      <c r="C4314"/>
      <c r="D4314"/>
      <c r="L4314"/>
      <c r="R4314"/>
      <c r="S4314"/>
      <c r="T4314"/>
      <c r="U4314"/>
    </row>
    <row r="4315" spans="1:21">
      <c r="A4315"/>
      <c r="C4315"/>
      <c r="D4315"/>
      <c r="L4315"/>
      <c r="R4315"/>
      <c r="S4315"/>
      <c r="T4315"/>
      <c r="U4315"/>
    </row>
    <row r="4316" spans="1:21">
      <c r="A4316"/>
      <c r="C4316"/>
      <c r="D4316"/>
      <c r="L4316"/>
      <c r="R4316"/>
      <c r="S4316"/>
      <c r="T4316"/>
      <c r="U4316"/>
    </row>
    <row r="4317" spans="1:21">
      <c r="A4317"/>
      <c r="C4317"/>
      <c r="D4317"/>
      <c r="L4317"/>
      <c r="R4317"/>
      <c r="S4317"/>
      <c r="T4317"/>
      <c r="U4317"/>
    </row>
    <row r="4318" spans="1:21">
      <c r="A4318"/>
      <c r="C4318"/>
      <c r="D4318"/>
      <c r="L4318"/>
      <c r="R4318"/>
      <c r="S4318"/>
      <c r="T4318"/>
      <c r="U4318"/>
    </row>
    <row r="4319" spans="1:21">
      <c r="A4319"/>
      <c r="C4319"/>
      <c r="D4319"/>
      <c r="L4319"/>
      <c r="R4319"/>
      <c r="S4319"/>
      <c r="T4319"/>
      <c r="U4319"/>
    </row>
    <row r="4320" spans="1:21">
      <c r="A4320"/>
      <c r="C4320"/>
      <c r="D4320"/>
      <c r="L4320"/>
      <c r="R4320"/>
      <c r="S4320"/>
      <c r="T4320"/>
      <c r="U4320"/>
    </row>
    <row r="4321" spans="1:21">
      <c r="A4321"/>
      <c r="C4321"/>
      <c r="D4321"/>
      <c r="L4321"/>
      <c r="R4321"/>
      <c r="S4321"/>
      <c r="T4321"/>
      <c r="U4321"/>
    </row>
    <row r="4322" spans="1:21">
      <c r="A4322"/>
      <c r="C4322"/>
      <c r="D4322"/>
      <c r="L4322"/>
      <c r="R4322"/>
      <c r="S4322"/>
      <c r="T4322"/>
      <c r="U4322"/>
    </row>
    <row r="4323" spans="1:21">
      <c r="A4323"/>
      <c r="C4323"/>
      <c r="D4323"/>
      <c r="L4323"/>
      <c r="R4323"/>
      <c r="S4323"/>
      <c r="T4323"/>
      <c r="U4323"/>
    </row>
    <row r="4324" spans="1:21">
      <c r="A4324"/>
      <c r="C4324"/>
      <c r="D4324"/>
      <c r="L4324"/>
      <c r="R4324"/>
      <c r="S4324"/>
      <c r="T4324"/>
      <c r="U4324"/>
    </row>
    <row r="4325" spans="1:21">
      <c r="A4325"/>
      <c r="C4325"/>
      <c r="D4325"/>
      <c r="L4325"/>
      <c r="R4325"/>
      <c r="S4325"/>
      <c r="T4325"/>
      <c r="U4325"/>
    </row>
    <row r="4326" spans="1:21">
      <c r="A4326"/>
      <c r="C4326"/>
      <c r="D4326"/>
      <c r="L4326"/>
      <c r="R4326"/>
      <c r="S4326"/>
      <c r="T4326"/>
      <c r="U4326"/>
    </row>
    <row r="4327" spans="1:21">
      <c r="A4327"/>
      <c r="C4327"/>
      <c r="D4327"/>
      <c r="L4327"/>
      <c r="R4327"/>
      <c r="S4327"/>
      <c r="T4327"/>
      <c r="U4327"/>
    </row>
    <row r="4328" spans="1:21">
      <c r="A4328"/>
      <c r="C4328"/>
      <c r="D4328"/>
      <c r="L4328"/>
      <c r="R4328"/>
      <c r="S4328"/>
      <c r="T4328"/>
      <c r="U4328"/>
    </row>
    <row r="4329" spans="1:21">
      <c r="A4329"/>
      <c r="C4329"/>
      <c r="D4329"/>
      <c r="L4329"/>
      <c r="R4329"/>
      <c r="S4329"/>
      <c r="T4329"/>
      <c r="U4329"/>
    </row>
    <row r="4330" spans="1:21">
      <c r="A4330"/>
      <c r="C4330"/>
      <c r="D4330"/>
      <c r="L4330"/>
      <c r="R4330"/>
      <c r="S4330"/>
      <c r="T4330"/>
      <c r="U4330"/>
    </row>
    <row r="4331" spans="1:21">
      <c r="A4331"/>
      <c r="C4331"/>
      <c r="D4331"/>
      <c r="L4331"/>
      <c r="R4331"/>
      <c r="S4331"/>
      <c r="T4331"/>
      <c r="U4331"/>
    </row>
    <row r="4332" spans="1:21">
      <c r="A4332"/>
      <c r="C4332"/>
      <c r="D4332"/>
      <c r="L4332"/>
      <c r="R4332"/>
      <c r="S4332"/>
      <c r="T4332"/>
      <c r="U4332"/>
    </row>
    <row r="4333" spans="1:21">
      <c r="A4333"/>
      <c r="C4333"/>
      <c r="D4333"/>
      <c r="L4333"/>
      <c r="R4333"/>
      <c r="S4333"/>
      <c r="T4333"/>
      <c r="U4333"/>
    </row>
    <row r="4334" spans="1:21">
      <c r="A4334"/>
      <c r="C4334"/>
      <c r="D4334"/>
      <c r="L4334"/>
      <c r="R4334"/>
      <c r="S4334"/>
      <c r="T4334"/>
      <c r="U4334"/>
    </row>
    <row r="4335" spans="1:21">
      <c r="A4335"/>
      <c r="C4335"/>
      <c r="D4335"/>
      <c r="L4335"/>
      <c r="R4335"/>
      <c r="S4335"/>
      <c r="T4335"/>
      <c r="U4335"/>
    </row>
    <row r="4336" spans="1:21">
      <c r="A4336"/>
      <c r="C4336"/>
      <c r="D4336"/>
      <c r="L4336"/>
      <c r="R4336"/>
      <c r="S4336"/>
      <c r="T4336"/>
      <c r="U4336"/>
    </row>
    <row r="4337" spans="1:21">
      <c r="A4337"/>
      <c r="C4337"/>
      <c r="D4337"/>
      <c r="L4337"/>
      <c r="R4337"/>
      <c r="S4337"/>
      <c r="T4337"/>
      <c r="U4337"/>
    </row>
    <row r="4338" spans="1:21">
      <c r="A4338"/>
      <c r="C4338"/>
      <c r="D4338"/>
      <c r="L4338"/>
      <c r="R4338"/>
      <c r="S4338"/>
      <c r="T4338"/>
      <c r="U4338"/>
    </row>
    <row r="4339" spans="1:21">
      <c r="A4339"/>
      <c r="C4339"/>
      <c r="D4339"/>
      <c r="L4339"/>
      <c r="R4339"/>
      <c r="S4339"/>
      <c r="T4339"/>
      <c r="U4339"/>
    </row>
    <row r="4340" spans="1:21">
      <c r="A4340"/>
      <c r="C4340"/>
      <c r="D4340"/>
      <c r="L4340"/>
      <c r="R4340"/>
      <c r="S4340"/>
      <c r="T4340"/>
      <c r="U4340"/>
    </row>
    <row r="4341" spans="1:21">
      <c r="A4341"/>
      <c r="C4341"/>
      <c r="D4341"/>
      <c r="L4341"/>
      <c r="R4341"/>
      <c r="S4341"/>
      <c r="T4341"/>
      <c r="U4341"/>
    </row>
    <row r="4342" spans="1:21">
      <c r="A4342"/>
      <c r="C4342"/>
      <c r="D4342"/>
      <c r="L4342"/>
      <c r="R4342"/>
      <c r="S4342"/>
      <c r="T4342"/>
      <c r="U4342"/>
    </row>
    <row r="4343" spans="1:21">
      <c r="A4343"/>
      <c r="C4343"/>
      <c r="D4343"/>
      <c r="L4343"/>
      <c r="R4343"/>
      <c r="S4343"/>
      <c r="T4343"/>
      <c r="U4343"/>
    </row>
    <row r="4344" spans="1:21">
      <c r="A4344"/>
      <c r="C4344"/>
      <c r="D4344"/>
      <c r="L4344"/>
      <c r="R4344"/>
      <c r="S4344"/>
      <c r="T4344"/>
      <c r="U4344"/>
    </row>
    <row r="4345" spans="1:21">
      <c r="A4345"/>
      <c r="C4345"/>
      <c r="D4345"/>
      <c r="L4345"/>
      <c r="R4345"/>
      <c r="S4345"/>
      <c r="T4345"/>
      <c r="U4345"/>
    </row>
    <row r="4346" spans="1:21">
      <c r="A4346"/>
      <c r="C4346"/>
      <c r="D4346"/>
      <c r="L4346"/>
      <c r="R4346"/>
      <c r="S4346"/>
      <c r="T4346"/>
      <c r="U4346"/>
    </row>
    <row r="4347" spans="1:21">
      <c r="A4347"/>
      <c r="C4347"/>
      <c r="D4347"/>
      <c r="L4347"/>
      <c r="R4347"/>
      <c r="S4347"/>
      <c r="T4347"/>
      <c r="U4347"/>
    </row>
    <row r="4348" spans="1:21">
      <c r="A4348"/>
      <c r="C4348"/>
      <c r="D4348"/>
      <c r="L4348"/>
      <c r="R4348"/>
      <c r="S4348"/>
      <c r="T4348"/>
      <c r="U4348"/>
    </row>
    <row r="4349" spans="1:21">
      <c r="A4349"/>
      <c r="C4349"/>
      <c r="D4349"/>
      <c r="L4349"/>
      <c r="R4349"/>
      <c r="S4349"/>
      <c r="T4349"/>
      <c r="U4349"/>
    </row>
    <row r="4350" spans="1:21">
      <c r="A4350"/>
      <c r="C4350"/>
      <c r="D4350"/>
      <c r="L4350"/>
      <c r="R4350"/>
      <c r="S4350"/>
      <c r="T4350"/>
      <c r="U4350"/>
    </row>
    <row r="4351" spans="1:21">
      <c r="A4351"/>
      <c r="C4351"/>
      <c r="D4351"/>
      <c r="L4351"/>
      <c r="R4351"/>
      <c r="S4351"/>
      <c r="T4351"/>
      <c r="U4351"/>
    </row>
    <row r="4352" spans="1:21">
      <c r="A4352"/>
      <c r="C4352"/>
      <c r="D4352"/>
      <c r="L4352"/>
      <c r="R4352"/>
      <c r="S4352"/>
      <c r="T4352"/>
      <c r="U4352"/>
    </row>
    <row r="4353" spans="1:21">
      <c r="A4353"/>
      <c r="C4353"/>
      <c r="D4353"/>
      <c r="L4353"/>
      <c r="R4353"/>
      <c r="S4353"/>
      <c r="T4353"/>
      <c r="U4353"/>
    </row>
    <row r="4354" spans="1:21">
      <c r="A4354"/>
      <c r="C4354"/>
      <c r="D4354"/>
      <c r="L4354"/>
      <c r="R4354"/>
      <c r="S4354"/>
      <c r="T4354"/>
      <c r="U4354"/>
    </row>
    <row r="4355" spans="1:21">
      <c r="A4355"/>
      <c r="C4355"/>
      <c r="D4355"/>
      <c r="L4355"/>
      <c r="R4355"/>
      <c r="S4355"/>
      <c r="T4355"/>
      <c r="U4355"/>
    </row>
    <row r="4356" spans="1:21">
      <c r="A4356"/>
      <c r="C4356"/>
      <c r="D4356"/>
      <c r="L4356"/>
      <c r="R4356"/>
      <c r="S4356"/>
      <c r="T4356"/>
      <c r="U4356"/>
    </row>
    <row r="4357" spans="1:21">
      <c r="A4357"/>
      <c r="C4357"/>
      <c r="D4357"/>
      <c r="L4357"/>
      <c r="R4357"/>
      <c r="S4357"/>
      <c r="T4357"/>
      <c r="U4357"/>
    </row>
    <row r="4358" spans="1:21">
      <c r="A4358"/>
      <c r="C4358"/>
      <c r="D4358"/>
      <c r="L4358"/>
      <c r="R4358"/>
      <c r="S4358"/>
      <c r="T4358"/>
      <c r="U4358"/>
    </row>
    <row r="4359" spans="1:21">
      <c r="A4359"/>
      <c r="C4359"/>
      <c r="D4359"/>
      <c r="L4359"/>
      <c r="R4359"/>
      <c r="S4359"/>
      <c r="T4359"/>
      <c r="U4359"/>
    </row>
    <row r="4360" spans="1:21">
      <c r="A4360"/>
      <c r="C4360"/>
      <c r="D4360"/>
      <c r="L4360"/>
      <c r="R4360"/>
      <c r="S4360"/>
      <c r="T4360"/>
      <c r="U4360"/>
    </row>
    <row r="4361" spans="1:21">
      <c r="A4361"/>
      <c r="C4361"/>
      <c r="D4361"/>
      <c r="L4361"/>
      <c r="R4361"/>
      <c r="S4361"/>
      <c r="T4361"/>
      <c r="U4361"/>
    </row>
    <row r="4362" spans="1:21">
      <c r="A4362"/>
      <c r="C4362"/>
      <c r="D4362"/>
      <c r="L4362"/>
      <c r="R4362"/>
      <c r="S4362"/>
      <c r="T4362"/>
      <c r="U4362"/>
    </row>
    <row r="4363" spans="1:21">
      <c r="A4363"/>
      <c r="C4363"/>
      <c r="D4363"/>
      <c r="L4363"/>
      <c r="R4363"/>
      <c r="S4363"/>
      <c r="T4363"/>
      <c r="U4363"/>
    </row>
    <row r="4364" spans="1:21">
      <c r="A4364"/>
      <c r="C4364"/>
      <c r="D4364"/>
      <c r="L4364"/>
      <c r="R4364"/>
      <c r="S4364"/>
      <c r="T4364"/>
      <c r="U4364"/>
    </row>
    <row r="4365" spans="1:21">
      <c r="A4365"/>
      <c r="C4365"/>
      <c r="D4365"/>
      <c r="L4365"/>
      <c r="R4365"/>
      <c r="S4365"/>
      <c r="T4365"/>
      <c r="U4365"/>
    </row>
    <row r="4366" spans="1:21">
      <c r="A4366"/>
      <c r="C4366"/>
      <c r="D4366"/>
      <c r="L4366"/>
      <c r="R4366"/>
      <c r="S4366"/>
      <c r="T4366"/>
      <c r="U4366"/>
    </row>
    <row r="4367" spans="1:21">
      <c r="A4367"/>
      <c r="C4367"/>
      <c r="D4367"/>
      <c r="L4367"/>
      <c r="R4367"/>
      <c r="S4367"/>
      <c r="T4367"/>
      <c r="U4367"/>
    </row>
    <row r="4368" spans="1:21">
      <c r="A4368"/>
      <c r="C4368"/>
      <c r="D4368"/>
      <c r="L4368"/>
      <c r="R4368"/>
      <c r="S4368"/>
      <c r="T4368"/>
      <c r="U4368"/>
    </row>
    <row r="4369" spans="1:21">
      <c r="A4369"/>
      <c r="C4369"/>
      <c r="D4369"/>
      <c r="L4369"/>
      <c r="R4369"/>
      <c r="S4369"/>
      <c r="T4369"/>
      <c r="U4369"/>
    </row>
    <row r="4370" spans="1:21">
      <c r="A4370"/>
      <c r="C4370"/>
      <c r="D4370"/>
      <c r="L4370"/>
      <c r="R4370"/>
      <c r="S4370"/>
      <c r="T4370"/>
      <c r="U4370"/>
    </row>
    <row r="4371" spans="1:21">
      <c r="A4371"/>
      <c r="C4371"/>
      <c r="D4371"/>
      <c r="L4371"/>
      <c r="R4371"/>
      <c r="S4371"/>
      <c r="T4371"/>
      <c r="U4371"/>
    </row>
    <row r="4372" spans="1:21">
      <c r="A4372"/>
      <c r="C4372"/>
      <c r="D4372"/>
      <c r="L4372"/>
      <c r="R4372"/>
      <c r="S4372"/>
      <c r="T4372"/>
      <c r="U4372"/>
    </row>
    <row r="4373" spans="1:21">
      <c r="A4373"/>
      <c r="C4373"/>
      <c r="D4373"/>
      <c r="L4373"/>
      <c r="R4373"/>
      <c r="S4373"/>
      <c r="T4373"/>
      <c r="U4373"/>
    </row>
    <row r="4374" spans="1:21">
      <c r="A4374"/>
      <c r="C4374"/>
      <c r="D4374"/>
      <c r="L4374"/>
      <c r="R4374"/>
      <c r="S4374"/>
      <c r="T4374"/>
      <c r="U4374"/>
    </row>
    <row r="4375" spans="1:21">
      <c r="A4375"/>
      <c r="C4375"/>
      <c r="D4375"/>
      <c r="L4375"/>
      <c r="R4375"/>
      <c r="S4375"/>
      <c r="T4375"/>
      <c r="U4375"/>
    </row>
    <row r="4376" spans="1:21">
      <c r="A4376"/>
      <c r="C4376"/>
      <c r="D4376"/>
      <c r="L4376"/>
      <c r="R4376"/>
      <c r="S4376"/>
      <c r="T4376"/>
      <c r="U4376"/>
    </row>
    <row r="4377" spans="1:21">
      <c r="A4377"/>
      <c r="C4377"/>
      <c r="D4377"/>
      <c r="L4377"/>
      <c r="R4377"/>
      <c r="S4377"/>
      <c r="T4377"/>
      <c r="U4377"/>
    </row>
    <row r="4378" spans="1:21">
      <c r="A4378"/>
      <c r="C4378"/>
      <c r="D4378"/>
      <c r="L4378"/>
      <c r="R4378"/>
      <c r="S4378"/>
      <c r="T4378"/>
      <c r="U4378"/>
    </row>
    <row r="4379" spans="1:21">
      <c r="A4379"/>
      <c r="C4379"/>
      <c r="D4379"/>
      <c r="L4379"/>
      <c r="R4379"/>
      <c r="S4379"/>
      <c r="T4379"/>
      <c r="U4379"/>
    </row>
    <row r="4380" spans="1:21">
      <c r="A4380"/>
      <c r="C4380"/>
      <c r="D4380"/>
      <c r="L4380"/>
      <c r="R4380"/>
      <c r="S4380"/>
      <c r="T4380"/>
      <c r="U4380"/>
    </row>
    <row r="4381" spans="1:21">
      <c r="A4381"/>
      <c r="C4381"/>
      <c r="D4381"/>
      <c r="L4381"/>
      <c r="R4381"/>
      <c r="S4381"/>
      <c r="T4381"/>
      <c r="U4381"/>
    </row>
    <row r="4382" spans="1:21">
      <c r="A4382"/>
      <c r="C4382"/>
      <c r="D4382"/>
      <c r="L4382"/>
      <c r="R4382"/>
      <c r="S4382"/>
      <c r="T4382"/>
      <c r="U4382"/>
    </row>
    <row r="4383" spans="1:21">
      <c r="A4383"/>
      <c r="C4383"/>
      <c r="D4383"/>
      <c r="L4383"/>
      <c r="R4383"/>
      <c r="S4383"/>
      <c r="T4383"/>
      <c r="U4383"/>
    </row>
    <row r="4384" spans="1:21">
      <c r="A4384"/>
      <c r="C4384"/>
      <c r="D4384"/>
      <c r="L4384"/>
      <c r="R4384"/>
      <c r="S4384"/>
      <c r="T4384"/>
      <c r="U4384"/>
    </row>
    <row r="4385" spans="1:21">
      <c r="A4385"/>
      <c r="C4385"/>
      <c r="D4385"/>
      <c r="L4385"/>
      <c r="R4385"/>
      <c r="S4385"/>
      <c r="T4385"/>
      <c r="U4385"/>
    </row>
    <row r="4386" spans="1:21">
      <c r="A4386"/>
      <c r="C4386"/>
      <c r="D4386"/>
      <c r="L4386"/>
      <c r="R4386"/>
      <c r="S4386"/>
      <c r="T4386"/>
      <c r="U4386"/>
    </row>
    <row r="4387" spans="1:21">
      <c r="A4387"/>
      <c r="C4387"/>
      <c r="D4387"/>
      <c r="L4387"/>
      <c r="R4387"/>
      <c r="S4387"/>
      <c r="T4387"/>
      <c r="U4387"/>
    </row>
    <row r="4388" spans="1:21">
      <c r="A4388"/>
      <c r="C4388"/>
      <c r="D4388"/>
      <c r="L4388"/>
      <c r="R4388"/>
      <c r="S4388"/>
      <c r="T4388"/>
      <c r="U4388"/>
    </row>
    <row r="4389" spans="1:21">
      <c r="A4389"/>
      <c r="C4389"/>
      <c r="D4389"/>
      <c r="L4389"/>
      <c r="R4389"/>
      <c r="S4389"/>
      <c r="T4389"/>
      <c r="U4389"/>
    </row>
    <row r="4390" spans="1:21">
      <c r="A4390"/>
      <c r="C4390"/>
      <c r="D4390"/>
      <c r="L4390"/>
      <c r="R4390"/>
      <c r="S4390"/>
      <c r="T4390"/>
      <c r="U4390"/>
    </row>
    <row r="4391" spans="1:21">
      <c r="A4391"/>
      <c r="C4391"/>
      <c r="D4391"/>
      <c r="L4391"/>
      <c r="R4391"/>
      <c r="S4391"/>
      <c r="T4391"/>
      <c r="U4391"/>
    </row>
    <row r="4392" spans="1:21">
      <c r="A4392"/>
      <c r="C4392"/>
      <c r="D4392"/>
      <c r="L4392"/>
      <c r="R4392"/>
      <c r="S4392"/>
      <c r="T4392"/>
      <c r="U4392"/>
    </row>
    <row r="4393" spans="1:21">
      <c r="A4393"/>
      <c r="C4393"/>
      <c r="D4393"/>
      <c r="L4393"/>
      <c r="R4393"/>
      <c r="S4393"/>
      <c r="T4393"/>
      <c r="U4393"/>
    </row>
    <row r="4394" spans="1:21">
      <c r="A4394"/>
      <c r="C4394"/>
      <c r="D4394"/>
      <c r="L4394"/>
      <c r="R4394"/>
      <c r="S4394"/>
      <c r="T4394"/>
      <c r="U4394"/>
    </row>
    <row r="4395" spans="1:21">
      <c r="A4395"/>
      <c r="C4395"/>
      <c r="D4395"/>
      <c r="L4395"/>
      <c r="R4395"/>
      <c r="S4395"/>
      <c r="T4395"/>
      <c r="U4395"/>
    </row>
    <row r="4396" spans="1:21">
      <c r="A4396"/>
      <c r="C4396"/>
      <c r="D4396"/>
      <c r="L4396"/>
      <c r="R4396"/>
      <c r="S4396"/>
      <c r="T4396"/>
      <c r="U4396"/>
    </row>
    <row r="4397" spans="1:21">
      <c r="A4397"/>
      <c r="C4397"/>
      <c r="D4397"/>
      <c r="L4397"/>
      <c r="R4397"/>
      <c r="S4397"/>
      <c r="T4397"/>
      <c r="U4397"/>
    </row>
    <row r="4398" spans="1:21">
      <c r="A4398"/>
      <c r="C4398"/>
      <c r="D4398"/>
      <c r="L4398"/>
      <c r="R4398"/>
      <c r="S4398"/>
      <c r="T4398"/>
      <c r="U4398"/>
    </row>
    <row r="4399" spans="1:21">
      <c r="A4399"/>
      <c r="C4399"/>
      <c r="D4399"/>
      <c r="L4399"/>
      <c r="R4399"/>
      <c r="S4399"/>
      <c r="T4399"/>
      <c r="U4399"/>
    </row>
    <row r="4400" spans="1:21">
      <c r="A4400"/>
      <c r="C4400"/>
      <c r="D4400"/>
      <c r="L4400"/>
      <c r="R4400"/>
      <c r="S4400"/>
      <c r="T4400"/>
      <c r="U4400"/>
    </row>
    <row r="4401" spans="1:21">
      <c r="A4401"/>
      <c r="C4401"/>
      <c r="D4401"/>
      <c r="L4401"/>
      <c r="R4401"/>
      <c r="S4401"/>
      <c r="T4401"/>
      <c r="U4401"/>
    </row>
    <row r="4402" spans="1:21">
      <c r="A4402"/>
      <c r="C4402"/>
      <c r="D4402"/>
      <c r="L4402"/>
      <c r="R4402"/>
      <c r="S4402"/>
      <c r="T4402"/>
      <c r="U4402"/>
    </row>
    <row r="4403" spans="1:21">
      <c r="A4403"/>
      <c r="C4403"/>
      <c r="D4403"/>
      <c r="L4403"/>
      <c r="R4403"/>
      <c r="S4403"/>
      <c r="T4403"/>
      <c r="U4403"/>
    </row>
    <row r="4404" spans="1:21">
      <c r="A4404"/>
      <c r="C4404"/>
      <c r="D4404"/>
      <c r="L4404"/>
      <c r="R4404"/>
      <c r="S4404"/>
      <c r="T4404"/>
      <c r="U4404"/>
    </row>
    <row r="4405" spans="1:21">
      <c r="A4405"/>
      <c r="C4405"/>
      <c r="D4405"/>
      <c r="L4405"/>
      <c r="R4405"/>
      <c r="S4405"/>
      <c r="T4405"/>
      <c r="U4405"/>
    </row>
    <row r="4406" spans="1:21">
      <c r="A4406"/>
      <c r="C4406"/>
      <c r="D4406"/>
      <c r="L4406"/>
      <c r="R4406"/>
      <c r="S4406"/>
      <c r="T4406"/>
      <c r="U4406"/>
    </row>
    <row r="4407" spans="1:21">
      <c r="A4407"/>
      <c r="C4407"/>
      <c r="D4407"/>
      <c r="L4407"/>
      <c r="R4407"/>
      <c r="S4407"/>
      <c r="T4407"/>
      <c r="U4407"/>
    </row>
    <row r="4408" spans="1:21">
      <c r="A4408"/>
      <c r="C4408"/>
      <c r="D4408"/>
      <c r="L4408"/>
      <c r="R4408"/>
      <c r="S4408"/>
      <c r="T4408"/>
      <c r="U4408"/>
    </row>
    <row r="4409" spans="1:21">
      <c r="A4409"/>
      <c r="C4409"/>
      <c r="D4409"/>
      <c r="L4409"/>
      <c r="R4409"/>
      <c r="S4409"/>
      <c r="T4409"/>
      <c r="U4409"/>
    </row>
    <row r="4410" spans="1:21">
      <c r="A4410"/>
      <c r="C4410"/>
      <c r="D4410"/>
      <c r="L4410"/>
      <c r="R4410"/>
      <c r="S4410"/>
      <c r="T4410"/>
      <c r="U4410"/>
    </row>
    <row r="4411" spans="1:21">
      <c r="A4411"/>
      <c r="C4411"/>
      <c r="D4411"/>
      <c r="L4411"/>
      <c r="R4411"/>
      <c r="S4411"/>
      <c r="T4411"/>
      <c r="U4411"/>
    </row>
    <row r="4412" spans="1:21">
      <c r="A4412"/>
      <c r="C4412"/>
      <c r="D4412"/>
      <c r="L4412"/>
      <c r="R4412"/>
      <c r="S4412"/>
      <c r="T4412"/>
      <c r="U4412"/>
    </row>
    <row r="4413" spans="1:21">
      <c r="A4413"/>
      <c r="C4413"/>
      <c r="D4413"/>
      <c r="L4413"/>
      <c r="R4413"/>
      <c r="S4413"/>
      <c r="T4413"/>
      <c r="U4413"/>
    </row>
    <row r="4414" spans="1:21">
      <c r="A4414"/>
      <c r="C4414"/>
      <c r="D4414"/>
      <c r="L4414"/>
      <c r="R4414"/>
      <c r="S4414"/>
      <c r="T4414"/>
      <c r="U4414"/>
    </row>
    <row r="4415" spans="1:21">
      <c r="A4415"/>
      <c r="C4415"/>
      <c r="D4415"/>
      <c r="L4415"/>
      <c r="R4415"/>
      <c r="S4415"/>
      <c r="T4415"/>
      <c r="U4415"/>
    </row>
    <row r="4416" spans="1:21">
      <c r="A4416"/>
      <c r="C4416"/>
      <c r="D4416"/>
      <c r="L4416"/>
      <c r="R4416"/>
      <c r="S4416"/>
      <c r="T4416"/>
      <c r="U4416"/>
    </row>
    <row r="4417" spans="1:21">
      <c r="A4417"/>
      <c r="C4417"/>
      <c r="D4417"/>
      <c r="L4417"/>
      <c r="R4417"/>
      <c r="S4417"/>
      <c r="T4417"/>
      <c r="U4417"/>
    </row>
    <row r="4418" spans="1:21">
      <c r="A4418"/>
      <c r="C4418"/>
      <c r="D4418"/>
      <c r="L4418"/>
      <c r="R4418"/>
      <c r="S4418"/>
      <c r="T4418"/>
      <c r="U4418"/>
    </row>
    <row r="4419" spans="1:21">
      <c r="A4419"/>
      <c r="C4419"/>
      <c r="D4419"/>
      <c r="L4419"/>
      <c r="R4419"/>
      <c r="S4419"/>
      <c r="T4419"/>
      <c r="U4419"/>
    </row>
    <row r="4420" spans="1:21">
      <c r="A4420"/>
      <c r="C4420"/>
      <c r="D4420"/>
      <c r="L4420"/>
      <c r="R4420"/>
      <c r="S4420"/>
      <c r="T4420"/>
      <c r="U4420"/>
    </row>
    <row r="4421" spans="1:21">
      <c r="A4421"/>
      <c r="C4421"/>
      <c r="D4421"/>
      <c r="L4421"/>
      <c r="R4421"/>
      <c r="S4421"/>
      <c r="T4421"/>
      <c r="U4421"/>
    </row>
    <row r="4422" spans="1:21">
      <c r="A4422"/>
      <c r="C4422"/>
      <c r="D4422"/>
      <c r="L4422"/>
      <c r="R4422"/>
      <c r="S4422"/>
      <c r="T4422"/>
      <c r="U4422"/>
    </row>
    <row r="4423" spans="1:21">
      <c r="A4423"/>
      <c r="C4423"/>
      <c r="D4423"/>
      <c r="L4423"/>
      <c r="R4423"/>
      <c r="S4423"/>
      <c r="T4423"/>
      <c r="U4423"/>
    </row>
    <row r="4424" spans="1:21">
      <c r="A4424"/>
      <c r="C4424"/>
      <c r="D4424"/>
      <c r="L4424"/>
      <c r="R4424"/>
      <c r="S4424"/>
      <c r="T4424"/>
      <c r="U4424"/>
    </row>
    <row r="4425" spans="1:21">
      <c r="A4425"/>
      <c r="C4425"/>
      <c r="D4425"/>
      <c r="L4425"/>
      <c r="R4425"/>
      <c r="S4425"/>
      <c r="T4425"/>
      <c r="U4425"/>
    </row>
    <row r="4426" spans="1:21">
      <c r="A4426"/>
      <c r="C4426"/>
      <c r="D4426"/>
      <c r="L4426"/>
      <c r="R4426"/>
      <c r="S4426"/>
      <c r="T4426"/>
      <c r="U4426"/>
    </row>
    <row r="4427" spans="1:21">
      <c r="A4427"/>
      <c r="C4427"/>
      <c r="D4427"/>
      <c r="L4427"/>
      <c r="R4427"/>
      <c r="S4427"/>
      <c r="T4427"/>
      <c r="U4427"/>
    </row>
    <row r="4428" spans="1:21">
      <c r="A4428"/>
      <c r="C4428"/>
      <c r="D4428"/>
      <c r="L4428"/>
      <c r="R4428"/>
      <c r="S4428"/>
      <c r="T4428"/>
      <c r="U4428"/>
    </row>
    <row r="4429" spans="1:21">
      <c r="A4429"/>
      <c r="C4429"/>
      <c r="D4429"/>
      <c r="L4429"/>
      <c r="R4429"/>
      <c r="S4429"/>
      <c r="T4429"/>
      <c r="U4429"/>
    </row>
    <row r="4430" spans="1:21">
      <c r="A4430"/>
      <c r="C4430"/>
      <c r="D4430"/>
      <c r="L4430"/>
      <c r="R4430"/>
      <c r="S4430"/>
      <c r="T4430"/>
      <c r="U4430"/>
    </row>
    <row r="4431" spans="1:21">
      <c r="A4431"/>
      <c r="C4431"/>
      <c r="D4431"/>
      <c r="L4431"/>
      <c r="R4431"/>
      <c r="S4431"/>
      <c r="T4431"/>
      <c r="U4431"/>
    </row>
    <row r="4432" spans="1:21">
      <c r="A4432"/>
      <c r="C4432"/>
      <c r="D4432"/>
      <c r="L4432"/>
      <c r="R4432"/>
      <c r="S4432"/>
      <c r="T4432"/>
      <c r="U4432"/>
    </row>
    <row r="4433" spans="1:21">
      <c r="A4433"/>
      <c r="C4433"/>
      <c r="D4433"/>
      <c r="L4433"/>
      <c r="R4433"/>
      <c r="S4433"/>
      <c r="T4433"/>
      <c r="U4433"/>
    </row>
    <row r="4434" spans="1:21">
      <c r="A4434"/>
      <c r="C4434"/>
      <c r="D4434"/>
      <c r="L4434"/>
      <c r="R4434"/>
      <c r="S4434"/>
      <c r="T4434"/>
      <c r="U4434"/>
    </row>
    <row r="4435" spans="1:21">
      <c r="A4435"/>
      <c r="C4435"/>
      <c r="D4435"/>
      <c r="L4435"/>
      <c r="R4435"/>
      <c r="S4435"/>
      <c r="T4435"/>
      <c r="U4435"/>
    </row>
    <row r="4436" spans="1:21">
      <c r="A4436"/>
      <c r="C4436"/>
      <c r="D4436"/>
      <c r="L4436"/>
      <c r="R4436"/>
      <c r="S4436"/>
      <c r="T4436"/>
      <c r="U4436"/>
    </row>
    <row r="4437" spans="1:21">
      <c r="A4437"/>
      <c r="C4437"/>
      <c r="D4437"/>
      <c r="L4437"/>
      <c r="R4437"/>
      <c r="S4437"/>
      <c r="T4437"/>
      <c r="U4437"/>
    </row>
    <row r="4438" spans="1:21">
      <c r="A4438"/>
      <c r="C4438"/>
      <c r="D4438"/>
      <c r="L4438"/>
      <c r="R4438"/>
      <c r="S4438"/>
      <c r="T4438"/>
      <c r="U4438"/>
    </row>
    <row r="4439" spans="1:21">
      <c r="A4439"/>
      <c r="C4439"/>
      <c r="D4439"/>
      <c r="L4439"/>
      <c r="R4439"/>
      <c r="S4439"/>
      <c r="T4439"/>
      <c r="U4439"/>
    </row>
    <row r="4440" spans="1:21">
      <c r="A4440"/>
      <c r="C4440"/>
      <c r="D4440"/>
      <c r="L4440"/>
      <c r="R4440"/>
      <c r="S4440"/>
      <c r="T4440"/>
      <c r="U4440"/>
    </row>
    <row r="4441" spans="1:21">
      <c r="A4441"/>
      <c r="C4441"/>
      <c r="D4441"/>
      <c r="L4441"/>
      <c r="R4441"/>
      <c r="S4441"/>
      <c r="T4441"/>
      <c r="U4441"/>
    </row>
    <row r="4442" spans="1:21">
      <c r="A4442"/>
      <c r="C4442"/>
      <c r="D4442"/>
      <c r="L4442"/>
      <c r="R4442"/>
      <c r="S4442"/>
      <c r="T4442"/>
      <c r="U4442"/>
    </row>
    <row r="4443" spans="1:21">
      <c r="A4443"/>
      <c r="C4443"/>
      <c r="D4443"/>
      <c r="L4443"/>
      <c r="R4443"/>
      <c r="S4443"/>
      <c r="T4443"/>
      <c r="U4443"/>
    </row>
    <row r="4444" spans="1:21">
      <c r="A4444"/>
      <c r="C4444"/>
      <c r="D4444"/>
      <c r="L4444"/>
      <c r="R4444"/>
      <c r="S4444"/>
      <c r="T4444"/>
      <c r="U4444"/>
    </row>
    <row r="4445" spans="1:21">
      <c r="A4445"/>
      <c r="C4445"/>
      <c r="D4445"/>
      <c r="L4445"/>
      <c r="R4445"/>
      <c r="S4445"/>
      <c r="T4445"/>
      <c r="U4445"/>
    </row>
    <row r="4446" spans="1:21">
      <c r="A4446"/>
      <c r="C4446"/>
      <c r="D4446"/>
      <c r="L4446"/>
      <c r="R4446"/>
      <c r="S4446"/>
      <c r="T4446"/>
      <c r="U4446"/>
    </row>
    <row r="4447" spans="1:21">
      <c r="A4447"/>
      <c r="C4447"/>
      <c r="D4447"/>
      <c r="L4447"/>
      <c r="R4447"/>
      <c r="S4447"/>
      <c r="T4447"/>
      <c r="U4447"/>
    </row>
    <row r="4448" spans="1:21">
      <c r="A4448"/>
      <c r="C4448"/>
      <c r="D4448"/>
      <c r="L4448"/>
      <c r="R4448"/>
      <c r="S4448"/>
      <c r="T4448"/>
      <c r="U4448"/>
    </row>
    <row r="4449" spans="1:21">
      <c r="A4449"/>
      <c r="C4449"/>
      <c r="D4449"/>
      <c r="L4449"/>
      <c r="R4449"/>
      <c r="S4449"/>
      <c r="T4449"/>
      <c r="U4449"/>
    </row>
    <row r="4450" spans="1:21">
      <c r="A4450"/>
      <c r="C4450"/>
      <c r="D4450"/>
      <c r="L4450"/>
      <c r="R4450"/>
      <c r="S4450"/>
      <c r="T4450"/>
      <c r="U4450"/>
    </row>
    <row r="4451" spans="1:21">
      <c r="A4451"/>
      <c r="C4451"/>
      <c r="D4451"/>
      <c r="L4451"/>
      <c r="R4451"/>
      <c r="S4451"/>
      <c r="T4451"/>
      <c r="U4451"/>
    </row>
    <row r="4452" spans="1:21">
      <c r="A4452"/>
      <c r="C4452"/>
      <c r="D4452"/>
      <c r="L4452"/>
      <c r="R4452"/>
      <c r="S4452"/>
      <c r="T4452"/>
      <c r="U4452"/>
    </row>
    <row r="4453" spans="1:21">
      <c r="A4453"/>
      <c r="C4453"/>
      <c r="D4453"/>
      <c r="L4453"/>
      <c r="R4453"/>
      <c r="S4453"/>
      <c r="T4453"/>
      <c r="U4453"/>
    </row>
    <row r="4454" spans="1:21">
      <c r="A4454"/>
      <c r="C4454"/>
      <c r="D4454"/>
      <c r="L4454"/>
      <c r="R4454"/>
      <c r="S4454"/>
      <c r="T4454"/>
      <c r="U4454"/>
    </row>
    <row r="4455" spans="1:21">
      <c r="A4455"/>
      <c r="C4455"/>
      <c r="D4455"/>
      <c r="L4455"/>
      <c r="R4455"/>
      <c r="S4455"/>
      <c r="T4455"/>
      <c r="U4455"/>
    </row>
    <row r="4456" spans="1:21">
      <c r="A4456"/>
      <c r="C4456"/>
      <c r="D4456"/>
      <c r="L4456"/>
      <c r="R4456"/>
      <c r="S4456"/>
      <c r="T4456"/>
      <c r="U4456"/>
    </row>
    <row r="4457" spans="1:21">
      <c r="A4457"/>
      <c r="C4457"/>
      <c r="D4457"/>
      <c r="L4457"/>
      <c r="R4457"/>
      <c r="S4457"/>
      <c r="T4457"/>
      <c r="U4457"/>
    </row>
    <row r="4458" spans="1:21">
      <c r="A4458"/>
      <c r="C4458"/>
      <c r="D4458"/>
      <c r="L4458"/>
      <c r="R4458"/>
      <c r="S4458"/>
      <c r="T4458"/>
      <c r="U4458"/>
    </row>
    <row r="4459" spans="1:21">
      <c r="A4459"/>
      <c r="C4459"/>
      <c r="D4459"/>
      <c r="L4459"/>
      <c r="R4459"/>
      <c r="S4459"/>
      <c r="T4459"/>
      <c r="U4459"/>
    </row>
    <row r="4460" spans="1:21">
      <c r="A4460"/>
      <c r="C4460"/>
      <c r="D4460"/>
      <c r="L4460"/>
      <c r="R4460"/>
      <c r="S4460"/>
      <c r="T4460"/>
      <c r="U4460"/>
    </row>
    <row r="4461" spans="1:21">
      <c r="A4461"/>
      <c r="C4461"/>
      <c r="D4461"/>
      <c r="L4461"/>
      <c r="R4461"/>
      <c r="S4461"/>
      <c r="T4461"/>
      <c r="U4461"/>
    </row>
    <row r="4462" spans="1:21">
      <c r="A4462"/>
      <c r="C4462"/>
      <c r="D4462"/>
      <c r="L4462"/>
      <c r="R4462"/>
      <c r="S4462"/>
      <c r="T4462"/>
      <c r="U4462"/>
    </row>
    <row r="4463" spans="1:21">
      <c r="A4463"/>
      <c r="C4463"/>
      <c r="D4463"/>
      <c r="L4463"/>
      <c r="R4463"/>
      <c r="S4463"/>
      <c r="T4463"/>
      <c r="U4463"/>
    </row>
    <row r="4464" spans="1:21">
      <c r="A4464"/>
      <c r="C4464"/>
      <c r="D4464"/>
      <c r="L4464"/>
      <c r="R4464"/>
      <c r="S4464"/>
      <c r="T4464"/>
      <c r="U4464"/>
    </row>
    <row r="4465" spans="1:21">
      <c r="A4465"/>
      <c r="C4465"/>
      <c r="D4465"/>
      <c r="L4465"/>
      <c r="R4465"/>
      <c r="S4465"/>
      <c r="T4465"/>
      <c r="U4465"/>
    </row>
    <row r="4466" spans="1:21">
      <c r="A4466"/>
      <c r="C4466"/>
      <c r="D4466"/>
      <c r="L4466"/>
      <c r="R4466"/>
      <c r="S4466"/>
      <c r="T4466"/>
      <c r="U4466"/>
    </row>
    <row r="4467" spans="1:21">
      <c r="A4467"/>
      <c r="C4467"/>
      <c r="D4467"/>
      <c r="L4467"/>
      <c r="R4467"/>
      <c r="S4467"/>
      <c r="T4467"/>
      <c r="U4467"/>
    </row>
    <row r="4468" spans="1:21">
      <c r="A4468"/>
      <c r="C4468"/>
      <c r="D4468"/>
      <c r="L4468"/>
      <c r="R4468"/>
      <c r="S4468"/>
      <c r="T4468"/>
      <c r="U4468"/>
    </row>
    <row r="4469" spans="1:21">
      <c r="A4469"/>
      <c r="C4469"/>
      <c r="D4469"/>
      <c r="L4469"/>
      <c r="R4469"/>
      <c r="S4469"/>
      <c r="T4469"/>
      <c r="U4469"/>
    </row>
    <row r="4470" spans="1:21">
      <c r="A4470"/>
      <c r="C4470"/>
      <c r="D4470"/>
      <c r="L4470"/>
      <c r="R4470"/>
      <c r="S4470"/>
      <c r="T4470"/>
      <c r="U4470"/>
    </row>
    <row r="4471" spans="1:21">
      <c r="A4471"/>
      <c r="C4471"/>
      <c r="D4471"/>
      <c r="L4471"/>
      <c r="R4471"/>
      <c r="S4471"/>
      <c r="T4471"/>
      <c r="U4471"/>
    </row>
    <row r="4472" spans="1:21">
      <c r="A4472"/>
      <c r="C4472"/>
      <c r="D4472"/>
      <c r="L4472"/>
      <c r="R4472"/>
      <c r="S4472"/>
      <c r="T4472"/>
      <c r="U4472"/>
    </row>
    <row r="4473" spans="1:21">
      <c r="A4473"/>
      <c r="C4473"/>
      <c r="D4473"/>
      <c r="L4473"/>
      <c r="R4473"/>
      <c r="S4473"/>
      <c r="T4473"/>
      <c r="U4473"/>
    </row>
    <row r="4474" spans="1:21">
      <c r="A4474"/>
      <c r="C4474"/>
      <c r="D4474"/>
      <c r="L4474"/>
      <c r="R4474"/>
      <c r="S4474"/>
      <c r="T4474"/>
      <c r="U4474"/>
    </row>
    <row r="4475" spans="1:21">
      <c r="A4475"/>
      <c r="C4475"/>
      <c r="D4475"/>
      <c r="L4475"/>
      <c r="R4475"/>
      <c r="S4475"/>
      <c r="T4475"/>
      <c r="U4475"/>
    </row>
    <row r="4476" spans="1:21">
      <c r="A4476"/>
      <c r="C4476"/>
      <c r="D4476"/>
      <c r="L4476"/>
      <c r="R4476"/>
      <c r="S4476"/>
      <c r="T4476"/>
      <c r="U4476"/>
    </row>
    <row r="4477" spans="1:21">
      <c r="A4477"/>
      <c r="C4477"/>
      <c r="D4477"/>
      <c r="L4477"/>
      <c r="R4477"/>
      <c r="S4477"/>
      <c r="T4477"/>
      <c r="U4477"/>
    </row>
    <row r="4478" spans="1:21">
      <c r="A4478"/>
      <c r="C4478"/>
      <c r="D4478"/>
      <c r="L4478"/>
      <c r="R4478"/>
      <c r="S4478"/>
      <c r="T4478"/>
      <c r="U4478"/>
    </row>
    <row r="4479" spans="1:21">
      <c r="A4479"/>
      <c r="C4479"/>
      <c r="D4479"/>
      <c r="L4479"/>
      <c r="R4479"/>
      <c r="S4479"/>
      <c r="T4479"/>
      <c r="U4479"/>
    </row>
    <row r="4480" spans="1:21">
      <c r="A4480"/>
      <c r="C4480"/>
      <c r="D4480"/>
      <c r="L4480"/>
      <c r="R4480"/>
      <c r="S4480"/>
      <c r="T4480"/>
      <c r="U4480"/>
    </row>
    <row r="4481" spans="1:21">
      <c r="A4481"/>
      <c r="C4481"/>
      <c r="D4481"/>
      <c r="L4481"/>
      <c r="R4481"/>
      <c r="S4481"/>
      <c r="T4481"/>
      <c r="U4481"/>
    </row>
    <row r="4482" spans="1:21">
      <c r="A4482"/>
      <c r="C4482"/>
      <c r="D4482"/>
      <c r="L4482"/>
      <c r="R4482"/>
      <c r="S4482"/>
      <c r="T4482"/>
      <c r="U4482"/>
    </row>
    <row r="4483" spans="1:21">
      <c r="A4483"/>
      <c r="C4483"/>
      <c r="D4483"/>
      <c r="L4483"/>
      <c r="R4483"/>
      <c r="S4483"/>
      <c r="T4483"/>
      <c r="U4483"/>
    </row>
    <row r="4484" spans="1:21">
      <c r="A4484"/>
      <c r="C4484"/>
      <c r="D4484"/>
      <c r="L4484"/>
      <c r="R4484"/>
      <c r="S4484"/>
      <c r="T4484"/>
      <c r="U4484"/>
    </row>
    <row r="4485" spans="1:21">
      <c r="A4485"/>
      <c r="C4485"/>
      <c r="D4485"/>
      <c r="L4485"/>
      <c r="R4485"/>
      <c r="S4485"/>
      <c r="T4485"/>
      <c r="U4485"/>
    </row>
    <row r="4486" spans="1:21">
      <c r="A4486"/>
      <c r="C4486"/>
      <c r="D4486"/>
      <c r="L4486"/>
      <c r="R4486"/>
      <c r="S4486"/>
      <c r="T4486"/>
      <c r="U4486"/>
    </row>
    <row r="4487" spans="1:21">
      <c r="A4487"/>
      <c r="C4487"/>
      <c r="D4487"/>
      <c r="L4487"/>
      <c r="R4487"/>
      <c r="S4487"/>
      <c r="T4487"/>
      <c r="U4487"/>
    </row>
    <row r="4488" spans="1:21">
      <c r="A4488"/>
      <c r="C4488"/>
      <c r="D4488"/>
      <c r="L4488"/>
      <c r="R4488"/>
      <c r="S4488"/>
      <c r="T4488"/>
      <c r="U4488"/>
    </row>
    <row r="4489" spans="1:21">
      <c r="A4489"/>
      <c r="C4489"/>
      <c r="D4489"/>
      <c r="L4489"/>
      <c r="R4489"/>
      <c r="S4489"/>
      <c r="T4489"/>
      <c r="U4489"/>
    </row>
    <row r="4490" spans="1:21">
      <c r="A4490"/>
      <c r="C4490"/>
      <c r="D4490"/>
      <c r="L4490"/>
      <c r="R4490"/>
      <c r="S4490"/>
      <c r="T4490"/>
      <c r="U4490"/>
    </row>
    <row r="4491" spans="1:21">
      <c r="A4491"/>
      <c r="C4491"/>
      <c r="D4491"/>
      <c r="L4491"/>
      <c r="R4491"/>
      <c r="S4491"/>
      <c r="T4491"/>
      <c r="U4491"/>
    </row>
    <row r="4492" spans="1:21">
      <c r="A4492"/>
      <c r="C4492"/>
      <c r="D4492"/>
      <c r="L4492"/>
      <c r="R4492"/>
      <c r="S4492"/>
      <c r="T4492"/>
      <c r="U4492"/>
    </row>
    <row r="4493" spans="1:21">
      <c r="A4493"/>
      <c r="C4493"/>
      <c r="D4493"/>
      <c r="L4493"/>
      <c r="R4493"/>
      <c r="S4493"/>
      <c r="T4493"/>
      <c r="U4493"/>
    </row>
    <row r="4494" spans="1:21">
      <c r="A4494"/>
      <c r="C4494"/>
      <c r="D4494"/>
      <c r="L4494"/>
      <c r="R4494"/>
      <c r="S4494"/>
      <c r="T4494"/>
      <c r="U4494"/>
    </row>
    <row r="4495" spans="1:21">
      <c r="A4495"/>
      <c r="C4495"/>
      <c r="D4495"/>
      <c r="L4495"/>
      <c r="R4495"/>
      <c r="S4495"/>
      <c r="T4495"/>
      <c r="U4495"/>
    </row>
    <row r="4496" spans="1:21">
      <c r="A4496"/>
      <c r="C4496"/>
      <c r="D4496"/>
      <c r="L4496"/>
      <c r="R4496"/>
      <c r="S4496"/>
      <c r="T4496"/>
      <c r="U4496"/>
    </row>
    <row r="4497" spans="1:21">
      <c r="A4497"/>
      <c r="C4497"/>
      <c r="D4497"/>
      <c r="L4497"/>
      <c r="R4497"/>
      <c r="S4497"/>
      <c r="T4497"/>
      <c r="U4497"/>
    </row>
    <row r="4498" spans="1:21">
      <c r="A4498"/>
      <c r="C4498"/>
      <c r="D4498"/>
      <c r="L4498"/>
      <c r="R4498"/>
      <c r="S4498"/>
      <c r="T4498"/>
      <c r="U4498"/>
    </row>
    <row r="4499" spans="1:21">
      <c r="A4499"/>
      <c r="C4499"/>
      <c r="D4499"/>
      <c r="L4499"/>
      <c r="R4499"/>
      <c r="S4499"/>
      <c r="T4499"/>
      <c r="U4499"/>
    </row>
    <row r="4500" spans="1:21">
      <c r="A4500"/>
      <c r="C4500"/>
      <c r="D4500"/>
      <c r="L4500"/>
      <c r="R4500"/>
      <c r="S4500"/>
      <c r="T4500"/>
      <c r="U4500"/>
    </row>
    <row r="4501" spans="1:21">
      <c r="A4501"/>
      <c r="C4501"/>
      <c r="D4501"/>
      <c r="L4501"/>
      <c r="R4501"/>
      <c r="S4501"/>
      <c r="T4501"/>
      <c r="U4501"/>
    </row>
    <row r="4502" spans="1:21">
      <c r="A4502"/>
      <c r="C4502"/>
      <c r="D4502"/>
      <c r="L4502"/>
      <c r="R4502"/>
      <c r="S4502"/>
      <c r="T4502"/>
      <c r="U4502"/>
    </row>
    <row r="4503" spans="1:21">
      <c r="A4503"/>
      <c r="C4503"/>
      <c r="D4503"/>
      <c r="L4503"/>
      <c r="R4503"/>
      <c r="S4503"/>
      <c r="T4503"/>
      <c r="U4503"/>
    </row>
    <row r="4504" spans="1:21">
      <c r="A4504"/>
      <c r="C4504"/>
      <c r="D4504"/>
      <c r="L4504"/>
      <c r="R4504"/>
      <c r="S4504"/>
      <c r="T4504"/>
      <c r="U4504"/>
    </row>
    <row r="4505" spans="1:21">
      <c r="A4505"/>
      <c r="C4505"/>
      <c r="D4505"/>
      <c r="L4505"/>
      <c r="R4505"/>
      <c r="S4505"/>
      <c r="T4505"/>
      <c r="U4505"/>
    </row>
    <row r="4506" spans="1:21">
      <c r="A4506"/>
      <c r="C4506"/>
      <c r="D4506"/>
      <c r="L4506"/>
      <c r="R4506"/>
      <c r="S4506"/>
      <c r="T4506"/>
      <c r="U4506"/>
    </row>
    <row r="4507" spans="1:21">
      <c r="A4507"/>
      <c r="C4507"/>
      <c r="D4507"/>
      <c r="L4507"/>
      <c r="R4507"/>
      <c r="S4507"/>
      <c r="T4507"/>
      <c r="U4507"/>
    </row>
    <row r="4508" spans="1:21">
      <c r="A4508"/>
      <c r="C4508"/>
      <c r="D4508"/>
      <c r="L4508"/>
      <c r="R4508"/>
      <c r="S4508"/>
      <c r="T4508"/>
      <c r="U4508"/>
    </row>
    <row r="4509" spans="1:21">
      <c r="A4509"/>
      <c r="C4509"/>
      <c r="D4509"/>
      <c r="L4509"/>
      <c r="R4509"/>
      <c r="S4509"/>
      <c r="T4509"/>
      <c r="U4509"/>
    </row>
    <row r="4510" spans="1:21">
      <c r="A4510"/>
      <c r="C4510"/>
      <c r="D4510"/>
      <c r="L4510"/>
      <c r="R4510"/>
      <c r="S4510"/>
      <c r="T4510"/>
      <c r="U4510"/>
    </row>
    <row r="4511" spans="1:21">
      <c r="A4511"/>
      <c r="C4511"/>
      <c r="D4511"/>
      <c r="L4511"/>
      <c r="R4511"/>
      <c r="S4511"/>
      <c r="T4511"/>
      <c r="U4511"/>
    </row>
    <row r="4512" spans="1:21">
      <c r="A4512"/>
      <c r="C4512"/>
      <c r="D4512"/>
      <c r="L4512"/>
      <c r="R4512"/>
      <c r="S4512"/>
      <c r="T4512"/>
      <c r="U4512"/>
    </row>
    <row r="4513" spans="1:21">
      <c r="A4513"/>
      <c r="C4513"/>
      <c r="D4513"/>
      <c r="L4513"/>
      <c r="R4513"/>
      <c r="S4513"/>
      <c r="T4513"/>
      <c r="U4513"/>
    </row>
    <row r="4514" spans="1:21">
      <c r="A4514"/>
      <c r="C4514"/>
      <c r="D4514"/>
      <c r="L4514"/>
      <c r="R4514"/>
      <c r="S4514"/>
      <c r="T4514"/>
      <c r="U4514"/>
    </row>
    <row r="4515" spans="1:21">
      <c r="A4515"/>
      <c r="C4515"/>
      <c r="D4515"/>
      <c r="L4515"/>
      <c r="R4515"/>
      <c r="S4515"/>
      <c r="T4515"/>
      <c r="U4515"/>
    </row>
    <row r="4516" spans="1:21">
      <c r="A4516"/>
      <c r="C4516"/>
      <c r="D4516"/>
      <c r="L4516"/>
      <c r="R4516"/>
      <c r="S4516"/>
      <c r="T4516"/>
      <c r="U4516"/>
    </row>
    <row r="4517" spans="1:21">
      <c r="A4517"/>
      <c r="C4517"/>
      <c r="D4517"/>
      <c r="L4517"/>
      <c r="R4517"/>
      <c r="S4517"/>
      <c r="T4517"/>
      <c r="U4517"/>
    </row>
    <row r="4518" spans="1:21">
      <c r="A4518"/>
      <c r="C4518"/>
      <c r="D4518"/>
      <c r="L4518"/>
      <c r="R4518"/>
      <c r="S4518"/>
      <c r="T4518"/>
      <c r="U4518"/>
    </row>
    <row r="4519" spans="1:21">
      <c r="A4519"/>
      <c r="C4519"/>
      <c r="D4519"/>
      <c r="L4519"/>
      <c r="R4519"/>
      <c r="S4519"/>
      <c r="T4519"/>
      <c r="U4519"/>
    </row>
    <row r="4520" spans="1:21">
      <c r="A4520"/>
      <c r="C4520"/>
      <c r="D4520"/>
      <c r="L4520"/>
      <c r="R4520"/>
      <c r="S4520"/>
      <c r="T4520"/>
      <c r="U4520"/>
    </row>
    <row r="4521" spans="1:21">
      <c r="A4521"/>
      <c r="C4521"/>
      <c r="D4521"/>
      <c r="L4521"/>
      <c r="R4521"/>
      <c r="S4521"/>
      <c r="T4521"/>
      <c r="U4521"/>
    </row>
    <row r="4522" spans="1:21">
      <c r="A4522"/>
      <c r="C4522"/>
      <c r="D4522"/>
      <c r="L4522"/>
      <c r="R4522"/>
      <c r="S4522"/>
      <c r="T4522"/>
      <c r="U4522"/>
    </row>
    <row r="4523" spans="1:21">
      <c r="A4523"/>
      <c r="C4523"/>
      <c r="D4523"/>
      <c r="L4523"/>
      <c r="R4523"/>
      <c r="S4523"/>
      <c r="T4523"/>
      <c r="U4523"/>
    </row>
    <row r="4524" spans="1:21">
      <c r="A4524"/>
      <c r="C4524"/>
      <c r="D4524"/>
      <c r="L4524"/>
      <c r="R4524"/>
      <c r="S4524"/>
      <c r="T4524"/>
      <c r="U4524"/>
    </row>
    <row r="4525" spans="1:21">
      <c r="A4525"/>
      <c r="C4525"/>
      <c r="D4525"/>
      <c r="L4525"/>
      <c r="R4525"/>
      <c r="S4525"/>
      <c r="T4525"/>
      <c r="U4525"/>
    </row>
    <row r="4526" spans="1:21">
      <c r="A4526"/>
      <c r="C4526"/>
      <c r="D4526"/>
      <c r="L4526"/>
      <c r="R4526"/>
      <c r="S4526"/>
      <c r="T4526"/>
      <c r="U4526"/>
    </row>
    <row r="4527" spans="1:21">
      <c r="A4527"/>
      <c r="C4527"/>
      <c r="D4527"/>
      <c r="L4527"/>
      <c r="R4527"/>
      <c r="S4527"/>
      <c r="T4527"/>
      <c r="U4527"/>
    </row>
    <row r="4528" spans="1:21">
      <c r="A4528"/>
      <c r="C4528"/>
      <c r="D4528"/>
      <c r="L4528"/>
      <c r="R4528"/>
      <c r="S4528"/>
      <c r="T4528"/>
      <c r="U4528"/>
    </row>
    <row r="4529" spans="1:21">
      <c r="A4529"/>
      <c r="C4529"/>
      <c r="D4529"/>
      <c r="L4529"/>
      <c r="R4529"/>
      <c r="S4529"/>
      <c r="T4529"/>
      <c r="U4529"/>
    </row>
    <row r="4530" spans="1:21">
      <c r="A4530"/>
      <c r="C4530"/>
      <c r="D4530"/>
      <c r="L4530"/>
      <c r="R4530"/>
      <c r="S4530"/>
      <c r="T4530"/>
      <c r="U4530"/>
    </row>
    <row r="4531" spans="1:21">
      <c r="A4531"/>
      <c r="C4531"/>
      <c r="D4531"/>
      <c r="L4531"/>
      <c r="R4531"/>
      <c r="S4531"/>
      <c r="T4531"/>
      <c r="U4531"/>
    </row>
    <row r="4532" spans="1:21">
      <c r="A4532"/>
      <c r="C4532"/>
      <c r="D4532"/>
      <c r="L4532"/>
      <c r="R4532"/>
      <c r="S4532"/>
      <c r="T4532"/>
      <c r="U4532"/>
    </row>
    <row r="4533" spans="1:21">
      <c r="A4533"/>
      <c r="C4533"/>
      <c r="D4533"/>
      <c r="L4533"/>
      <c r="R4533"/>
      <c r="S4533"/>
      <c r="T4533"/>
      <c r="U4533"/>
    </row>
    <row r="4534" spans="1:21">
      <c r="A4534"/>
      <c r="C4534"/>
      <c r="D4534"/>
      <c r="L4534"/>
      <c r="R4534"/>
      <c r="S4534"/>
      <c r="T4534"/>
      <c r="U4534"/>
    </row>
    <row r="4535" spans="1:21">
      <c r="A4535"/>
      <c r="C4535"/>
      <c r="D4535"/>
      <c r="L4535"/>
      <c r="R4535"/>
      <c r="S4535"/>
      <c r="T4535"/>
      <c r="U4535"/>
    </row>
    <row r="4536" spans="1:21">
      <c r="A4536"/>
      <c r="C4536"/>
      <c r="D4536"/>
      <c r="L4536"/>
      <c r="R4536"/>
      <c r="S4536"/>
      <c r="T4536"/>
      <c r="U4536"/>
    </row>
    <row r="4537" spans="1:21">
      <c r="A4537"/>
      <c r="C4537"/>
      <c r="D4537"/>
      <c r="L4537"/>
      <c r="R4537"/>
      <c r="S4537"/>
      <c r="T4537"/>
      <c r="U4537"/>
    </row>
    <row r="4538" spans="1:21">
      <c r="A4538"/>
      <c r="C4538"/>
      <c r="D4538"/>
      <c r="L4538"/>
      <c r="R4538"/>
      <c r="S4538"/>
      <c r="T4538"/>
      <c r="U4538"/>
    </row>
    <row r="4539" spans="1:21">
      <c r="A4539"/>
      <c r="C4539"/>
      <c r="D4539"/>
      <c r="L4539"/>
      <c r="R4539"/>
      <c r="S4539"/>
      <c r="T4539"/>
      <c r="U4539"/>
    </row>
    <row r="4540" spans="1:21">
      <c r="A4540"/>
      <c r="C4540"/>
      <c r="D4540"/>
      <c r="L4540"/>
      <c r="R4540"/>
      <c r="S4540"/>
      <c r="T4540"/>
      <c r="U4540"/>
    </row>
    <row r="4541" spans="1:21">
      <c r="A4541"/>
      <c r="C4541"/>
      <c r="D4541"/>
      <c r="L4541"/>
      <c r="R4541"/>
      <c r="S4541"/>
      <c r="T4541"/>
      <c r="U4541"/>
    </row>
    <row r="4542" spans="1:21">
      <c r="A4542"/>
      <c r="C4542"/>
      <c r="D4542"/>
      <c r="L4542"/>
      <c r="R4542"/>
      <c r="S4542"/>
      <c r="T4542"/>
      <c r="U4542"/>
    </row>
    <row r="4543" spans="1:21">
      <c r="A4543"/>
      <c r="C4543"/>
      <c r="D4543"/>
      <c r="L4543"/>
      <c r="R4543"/>
      <c r="S4543"/>
      <c r="T4543"/>
      <c r="U4543"/>
    </row>
    <row r="4544" spans="1:21">
      <c r="A4544"/>
      <c r="C4544"/>
      <c r="D4544"/>
      <c r="L4544"/>
      <c r="R4544"/>
      <c r="S4544"/>
      <c r="T4544"/>
      <c r="U4544"/>
    </row>
    <row r="4545" spans="1:21">
      <c r="A4545"/>
      <c r="C4545"/>
      <c r="D4545"/>
      <c r="L4545"/>
      <c r="R4545"/>
      <c r="S4545"/>
      <c r="T4545"/>
      <c r="U4545"/>
    </row>
    <row r="4546" spans="1:21">
      <c r="A4546"/>
      <c r="C4546"/>
      <c r="D4546"/>
      <c r="L4546"/>
      <c r="R4546"/>
      <c r="S4546"/>
      <c r="T4546"/>
      <c r="U4546"/>
    </row>
    <row r="4547" spans="1:21">
      <c r="A4547"/>
      <c r="C4547"/>
      <c r="D4547"/>
      <c r="L4547"/>
      <c r="R4547"/>
      <c r="S4547"/>
      <c r="T4547"/>
      <c r="U4547"/>
    </row>
    <row r="4548" spans="1:21">
      <c r="A4548"/>
      <c r="C4548"/>
      <c r="D4548"/>
      <c r="L4548"/>
      <c r="R4548"/>
      <c r="S4548"/>
      <c r="T4548"/>
      <c r="U4548"/>
    </row>
    <row r="4549" spans="1:21">
      <c r="A4549"/>
      <c r="C4549"/>
      <c r="D4549"/>
      <c r="L4549"/>
      <c r="R4549"/>
      <c r="S4549"/>
      <c r="T4549"/>
      <c r="U4549"/>
    </row>
    <row r="4550" spans="1:21">
      <c r="A4550"/>
      <c r="C4550"/>
      <c r="D4550"/>
      <c r="L4550"/>
      <c r="R4550"/>
      <c r="S4550"/>
      <c r="T4550"/>
      <c r="U4550"/>
    </row>
    <row r="4551" spans="1:21">
      <c r="A4551"/>
      <c r="C4551"/>
      <c r="D4551"/>
      <c r="L4551"/>
      <c r="R4551"/>
      <c r="S4551"/>
      <c r="T4551"/>
      <c r="U4551"/>
    </row>
    <row r="4552" spans="1:21">
      <c r="A4552"/>
      <c r="C4552"/>
      <c r="D4552"/>
      <c r="L4552"/>
      <c r="R4552"/>
      <c r="S4552"/>
      <c r="T4552"/>
      <c r="U4552"/>
    </row>
    <row r="4553" spans="1:21">
      <c r="A4553"/>
      <c r="C4553"/>
      <c r="D4553"/>
      <c r="L4553"/>
      <c r="R4553"/>
      <c r="S4553"/>
      <c r="T4553"/>
      <c r="U4553"/>
    </row>
    <row r="4554" spans="1:21">
      <c r="A4554"/>
      <c r="C4554"/>
      <c r="D4554"/>
      <c r="L4554"/>
      <c r="R4554"/>
      <c r="S4554"/>
      <c r="T4554"/>
      <c r="U4554"/>
    </row>
    <row r="4555" spans="1:21">
      <c r="A4555"/>
      <c r="C4555"/>
      <c r="D4555"/>
      <c r="L4555"/>
      <c r="R4555"/>
      <c r="S4555"/>
      <c r="T4555"/>
      <c r="U4555"/>
    </row>
    <row r="4556" spans="1:21">
      <c r="A4556"/>
      <c r="C4556"/>
      <c r="D4556"/>
      <c r="L4556"/>
      <c r="R4556"/>
      <c r="S4556"/>
      <c r="T4556"/>
      <c r="U4556"/>
    </row>
    <row r="4557" spans="1:21">
      <c r="A4557"/>
      <c r="C4557"/>
      <c r="D4557"/>
      <c r="L4557"/>
      <c r="R4557"/>
      <c r="S4557"/>
      <c r="T4557"/>
      <c r="U4557"/>
    </row>
    <row r="4558" spans="1:21">
      <c r="A4558"/>
      <c r="C4558"/>
      <c r="D4558"/>
      <c r="L4558"/>
      <c r="R4558"/>
      <c r="S4558"/>
      <c r="T4558"/>
      <c r="U4558"/>
    </row>
    <row r="4559" spans="1:21">
      <c r="A4559"/>
      <c r="C4559"/>
      <c r="D4559"/>
      <c r="L4559"/>
      <c r="R4559"/>
      <c r="S4559"/>
      <c r="T4559"/>
      <c r="U4559"/>
    </row>
    <row r="4560" spans="1:21">
      <c r="A4560"/>
      <c r="C4560"/>
      <c r="D4560"/>
      <c r="L4560"/>
      <c r="R4560"/>
      <c r="S4560"/>
      <c r="T4560"/>
      <c r="U4560"/>
    </row>
    <row r="4561" spans="1:21">
      <c r="A4561"/>
      <c r="C4561"/>
      <c r="D4561"/>
      <c r="L4561"/>
      <c r="R4561"/>
      <c r="S4561"/>
      <c r="T4561"/>
      <c r="U4561"/>
    </row>
    <row r="4562" spans="1:21">
      <c r="A4562"/>
      <c r="C4562"/>
      <c r="D4562"/>
      <c r="L4562"/>
      <c r="R4562"/>
      <c r="S4562"/>
      <c r="T4562"/>
      <c r="U4562"/>
    </row>
    <row r="4563" spans="1:21">
      <c r="A4563"/>
      <c r="C4563"/>
      <c r="D4563"/>
      <c r="L4563"/>
      <c r="R4563"/>
      <c r="S4563"/>
      <c r="T4563"/>
      <c r="U4563"/>
    </row>
    <row r="4564" spans="1:21">
      <c r="A4564"/>
      <c r="C4564"/>
      <c r="D4564"/>
      <c r="L4564"/>
      <c r="R4564"/>
      <c r="S4564"/>
      <c r="T4564"/>
      <c r="U4564"/>
    </row>
    <row r="4565" spans="1:21">
      <c r="A4565"/>
      <c r="C4565"/>
      <c r="D4565"/>
      <c r="L4565"/>
      <c r="R4565"/>
      <c r="S4565"/>
      <c r="T4565"/>
      <c r="U4565"/>
    </row>
    <row r="4566" spans="1:21">
      <c r="A4566"/>
      <c r="C4566"/>
      <c r="D4566"/>
      <c r="L4566"/>
      <c r="R4566"/>
      <c r="S4566"/>
      <c r="T4566"/>
      <c r="U4566"/>
    </row>
    <row r="4567" spans="1:21">
      <c r="A4567"/>
      <c r="C4567"/>
      <c r="D4567"/>
      <c r="L4567"/>
      <c r="R4567"/>
      <c r="S4567"/>
      <c r="T4567"/>
      <c r="U4567"/>
    </row>
    <row r="4568" spans="1:21">
      <c r="A4568"/>
      <c r="C4568"/>
      <c r="D4568"/>
      <c r="L4568"/>
      <c r="R4568"/>
      <c r="S4568"/>
      <c r="T4568"/>
      <c r="U4568"/>
    </row>
    <row r="4569" spans="1:21">
      <c r="A4569"/>
      <c r="C4569"/>
      <c r="D4569"/>
      <c r="L4569"/>
      <c r="R4569"/>
      <c r="S4569"/>
      <c r="T4569"/>
      <c r="U4569"/>
    </row>
    <row r="4570" spans="1:21">
      <c r="A4570"/>
      <c r="C4570"/>
      <c r="D4570"/>
      <c r="L4570"/>
      <c r="R4570"/>
      <c r="S4570"/>
      <c r="T4570"/>
      <c r="U4570"/>
    </row>
    <row r="4571" spans="1:21">
      <c r="A4571"/>
      <c r="C4571"/>
      <c r="D4571"/>
      <c r="L4571"/>
      <c r="R4571"/>
      <c r="S4571"/>
      <c r="T4571"/>
      <c r="U4571"/>
    </row>
    <row r="4572" spans="1:21">
      <c r="A4572"/>
      <c r="C4572"/>
      <c r="D4572"/>
      <c r="L4572"/>
      <c r="R4572"/>
      <c r="S4572"/>
      <c r="T4572"/>
      <c r="U4572"/>
    </row>
    <row r="4573" spans="1:21">
      <c r="A4573"/>
      <c r="C4573"/>
      <c r="D4573"/>
      <c r="L4573"/>
      <c r="R4573"/>
      <c r="S4573"/>
      <c r="T4573"/>
      <c r="U4573"/>
    </row>
    <row r="4574" spans="1:21">
      <c r="A4574"/>
      <c r="C4574"/>
      <c r="D4574"/>
      <c r="L4574"/>
      <c r="R4574"/>
      <c r="S4574"/>
      <c r="T4574"/>
      <c r="U4574"/>
    </row>
    <row r="4575" spans="1:21">
      <c r="A4575"/>
      <c r="C4575"/>
      <c r="D4575"/>
      <c r="L4575"/>
      <c r="R4575"/>
      <c r="S4575"/>
      <c r="T4575"/>
      <c r="U4575"/>
    </row>
    <row r="4576" spans="1:21">
      <c r="A4576"/>
      <c r="C4576"/>
      <c r="D4576"/>
      <c r="L4576"/>
      <c r="R4576"/>
      <c r="S4576"/>
      <c r="T4576"/>
      <c r="U4576"/>
    </row>
    <row r="4577" spans="1:21">
      <c r="A4577"/>
      <c r="C4577"/>
      <c r="D4577"/>
      <c r="L4577"/>
      <c r="R4577"/>
      <c r="S4577"/>
      <c r="T4577"/>
      <c r="U4577"/>
    </row>
    <row r="4578" spans="1:21">
      <c r="A4578"/>
      <c r="C4578"/>
      <c r="D4578"/>
      <c r="L4578"/>
      <c r="R4578"/>
      <c r="S4578"/>
      <c r="T4578"/>
      <c r="U4578"/>
    </row>
    <row r="4579" spans="1:21">
      <c r="A4579"/>
      <c r="C4579"/>
      <c r="D4579"/>
      <c r="L4579"/>
      <c r="R4579"/>
      <c r="S4579"/>
      <c r="T4579"/>
      <c r="U4579"/>
    </row>
    <row r="4580" spans="1:21">
      <c r="A4580"/>
      <c r="C4580"/>
      <c r="D4580"/>
      <c r="L4580"/>
      <c r="R4580"/>
      <c r="S4580"/>
      <c r="T4580"/>
      <c r="U4580"/>
    </row>
    <row r="4581" spans="1:21">
      <c r="A4581"/>
      <c r="C4581"/>
      <c r="D4581"/>
      <c r="L4581"/>
      <c r="R4581"/>
      <c r="S4581"/>
      <c r="T4581"/>
      <c r="U4581"/>
    </row>
    <row r="4582" spans="1:21">
      <c r="A4582"/>
      <c r="C4582"/>
      <c r="D4582"/>
      <c r="L4582"/>
      <c r="R4582"/>
      <c r="S4582"/>
      <c r="T4582"/>
      <c r="U4582"/>
    </row>
    <row r="4583" spans="1:21">
      <c r="A4583"/>
      <c r="C4583"/>
      <c r="D4583"/>
      <c r="L4583"/>
      <c r="R4583"/>
      <c r="S4583"/>
      <c r="T4583"/>
      <c r="U4583"/>
    </row>
    <row r="4584" spans="1:21">
      <c r="A4584"/>
      <c r="C4584"/>
      <c r="D4584"/>
      <c r="L4584"/>
      <c r="R4584"/>
      <c r="S4584"/>
      <c r="T4584"/>
      <c r="U4584"/>
    </row>
    <row r="4585" spans="1:21">
      <c r="A4585"/>
      <c r="C4585"/>
      <c r="D4585"/>
      <c r="L4585"/>
      <c r="R4585"/>
      <c r="S4585"/>
      <c r="T4585"/>
      <c r="U4585"/>
    </row>
    <row r="4586" spans="1:21">
      <c r="A4586"/>
      <c r="C4586"/>
      <c r="D4586"/>
      <c r="L4586"/>
      <c r="R4586"/>
      <c r="S4586"/>
      <c r="T4586"/>
      <c r="U4586"/>
    </row>
    <row r="4587" spans="1:21">
      <c r="A4587"/>
      <c r="C4587"/>
      <c r="D4587"/>
      <c r="L4587"/>
      <c r="R4587"/>
      <c r="S4587"/>
      <c r="T4587"/>
      <c r="U4587"/>
    </row>
    <row r="4588" spans="1:21">
      <c r="A4588"/>
      <c r="C4588"/>
      <c r="D4588"/>
      <c r="L4588"/>
      <c r="R4588"/>
      <c r="S4588"/>
      <c r="T4588"/>
      <c r="U4588"/>
    </row>
    <row r="4589" spans="1:21">
      <c r="A4589"/>
      <c r="C4589"/>
      <c r="D4589"/>
      <c r="L4589"/>
      <c r="R4589"/>
      <c r="S4589"/>
      <c r="T4589"/>
      <c r="U4589"/>
    </row>
    <row r="4590" spans="1:21">
      <c r="A4590"/>
      <c r="C4590"/>
      <c r="D4590"/>
      <c r="L4590"/>
      <c r="R4590"/>
      <c r="S4590"/>
      <c r="T4590"/>
      <c r="U4590"/>
    </row>
    <row r="4591" spans="1:21">
      <c r="A4591"/>
      <c r="C4591"/>
      <c r="D4591"/>
      <c r="L4591"/>
      <c r="R4591"/>
      <c r="S4591"/>
      <c r="T4591"/>
      <c r="U4591"/>
    </row>
    <row r="4592" spans="1:21">
      <c r="A4592"/>
      <c r="C4592"/>
      <c r="D4592"/>
      <c r="L4592"/>
      <c r="R4592"/>
      <c r="S4592"/>
      <c r="T4592"/>
      <c r="U4592"/>
    </row>
    <row r="4593" spans="1:21">
      <c r="A4593"/>
      <c r="C4593"/>
      <c r="D4593"/>
      <c r="L4593"/>
      <c r="R4593"/>
      <c r="S4593"/>
      <c r="T4593"/>
      <c r="U4593"/>
    </row>
    <row r="4594" spans="1:21">
      <c r="A4594"/>
      <c r="C4594"/>
      <c r="D4594"/>
      <c r="L4594"/>
      <c r="R4594"/>
      <c r="S4594"/>
      <c r="T4594"/>
      <c r="U4594"/>
    </row>
    <row r="4595" spans="1:21">
      <c r="A4595"/>
      <c r="C4595"/>
      <c r="D4595"/>
      <c r="L4595"/>
      <c r="R4595"/>
      <c r="S4595"/>
      <c r="T4595"/>
      <c r="U4595"/>
    </row>
    <row r="4596" spans="1:21">
      <c r="A4596"/>
      <c r="C4596"/>
      <c r="D4596"/>
      <c r="L4596"/>
      <c r="R4596"/>
      <c r="S4596"/>
      <c r="T4596"/>
      <c r="U4596"/>
    </row>
    <row r="4597" spans="1:21">
      <c r="A4597"/>
      <c r="C4597"/>
      <c r="D4597"/>
      <c r="L4597"/>
      <c r="R4597"/>
      <c r="S4597"/>
      <c r="T4597"/>
      <c r="U4597"/>
    </row>
    <row r="4598" spans="1:21">
      <c r="A4598"/>
      <c r="C4598"/>
      <c r="D4598"/>
      <c r="L4598"/>
      <c r="R4598"/>
      <c r="S4598"/>
      <c r="T4598"/>
      <c r="U4598"/>
    </row>
    <row r="4599" spans="1:21">
      <c r="A4599"/>
      <c r="C4599"/>
      <c r="D4599"/>
      <c r="L4599"/>
      <c r="R4599"/>
      <c r="S4599"/>
      <c r="T4599"/>
      <c r="U4599"/>
    </row>
    <row r="4600" spans="1:21">
      <c r="A4600"/>
      <c r="C4600"/>
      <c r="D4600"/>
      <c r="L4600"/>
      <c r="R4600"/>
      <c r="S4600"/>
      <c r="T4600"/>
      <c r="U4600"/>
    </row>
    <row r="4601" spans="1:21">
      <c r="A4601"/>
      <c r="C4601"/>
      <c r="D4601"/>
      <c r="L4601"/>
      <c r="R4601"/>
      <c r="S4601"/>
      <c r="T4601"/>
      <c r="U4601"/>
    </row>
    <row r="4602" spans="1:21">
      <c r="A4602"/>
      <c r="C4602"/>
      <c r="D4602"/>
      <c r="L4602"/>
      <c r="R4602"/>
      <c r="S4602"/>
      <c r="T4602"/>
      <c r="U4602"/>
    </row>
    <row r="4603" spans="1:21">
      <c r="A4603"/>
      <c r="C4603"/>
      <c r="D4603"/>
      <c r="L4603"/>
      <c r="R4603"/>
      <c r="S4603"/>
      <c r="T4603"/>
      <c r="U4603"/>
    </row>
    <row r="4604" spans="1:21">
      <c r="A4604"/>
      <c r="C4604"/>
      <c r="D4604"/>
      <c r="L4604"/>
      <c r="R4604"/>
      <c r="S4604"/>
      <c r="T4604"/>
      <c r="U4604"/>
    </row>
    <row r="4605" spans="1:21">
      <c r="A4605"/>
      <c r="C4605"/>
      <c r="D4605"/>
      <c r="L4605"/>
      <c r="R4605"/>
      <c r="S4605"/>
      <c r="T4605"/>
      <c r="U4605"/>
    </row>
    <row r="4606" spans="1:21">
      <c r="A4606"/>
      <c r="C4606"/>
      <c r="D4606"/>
      <c r="L4606"/>
      <c r="R4606"/>
      <c r="S4606"/>
      <c r="T4606"/>
      <c r="U4606"/>
    </row>
    <row r="4607" spans="1:21">
      <c r="A4607"/>
      <c r="C4607"/>
      <c r="D4607"/>
      <c r="L4607"/>
      <c r="R4607"/>
      <c r="S4607"/>
      <c r="T4607"/>
      <c r="U4607"/>
    </row>
    <row r="4608" spans="1:21">
      <c r="A4608"/>
      <c r="C4608"/>
      <c r="D4608"/>
      <c r="L4608"/>
      <c r="R4608"/>
      <c r="S4608"/>
      <c r="T4608"/>
      <c r="U4608"/>
    </row>
    <row r="4609" spans="1:21">
      <c r="A4609"/>
      <c r="C4609"/>
      <c r="D4609"/>
      <c r="L4609"/>
      <c r="R4609"/>
      <c r="S4609"/>
      <c r="T4609"/>
      <c r="U4609"/>
    </row>
    <row r="4610" spans="1:21">
      <c r="A4610"/>
      <c r="C4610"/>
      <c r="D4610"/>
      <c r="L4610"/>
      <c r="R4610"/>
      <c r="S4610"/>
      <c r="T4610"/>
      <c r="U4610"/>
    </row>
    <row r="4611" spans="1:21">
      <c r="A4611"/>
      <c r="C4611"/>
      <c r="D4611"/>
      <c r="L4611"/>
      <c r="R4611"/>
      <c r="S4611"/>
      <c r="T4611"/>
      <c r="U4611"/>
    </row>
    <row r="4612" spans="1:21">
      <c r="A4612"/>
      <c r="C4612"/>
      <c r="D4612"/>
      <c r="L4612"/>
      <c r="R4612"/>
      <c r="S4612"/>
      <c r="T4612"/>
      <c r="U4612"/>
    </row>
    <row r="4613" spans="1:21">
      <c r="A4613"/>
      <c r="C4613"/>
      <c r="D4613"/>
      <c r="L4613"/>
      <c r="R4613"/>
      <c r="S4613"/>
      <c r="T4613"/>
      <c r="U4613"/>
    </row>
    <row r="4614" spans="1:21">
      <c r="A4614"/>
      <c r="C4614"/>
      <c r="D4614"/>
      <c r="L4614"/>
      <c r="R4614"/>
      <c r="S4614"/>
      <c r="T4614"/>
      <c r="U4614"/>
    </row>
    <row r="4615" spans="1:21">
      <c r="A4615"/>
      <c r="C4615"/>
      <c r="D4615"/>
      <c r="L4615"/>
      <c r="R4615"/>
      <c r="S4615"/>
      <c r="T4615"/>
      <c r="U4615"/>
    </row>
    <row r="4616" spans="1:21">
      <c r="A4616"/>
      <c r="C4616"/>
      <c r="D4616"/>
      <c r="L4616"/>
      <c r="R4616"/>
      <c r="S4616"/>
      <c r="T4616"/>
      <c r="U4616"/>
    </row>
    <row r="4617" spans="1:21">
      <c r="A4617"/>
      <c r="C4617"/>
      <c r="D4617"/>
      <c r="L4617"/>
      <c r="R4617"/>
      <c r="S4617"/>
      <c r="T4617"/>
      <c r="U4617"/>
    </row>
    <row r="4618" spans="1:21">
      <c r="A4618"/>
      <c r="C4618"/>
      <c r="D4618"/>
      <c r="L4618"/>
      <c r="R4618"/>
      <c r="S4618"/>
      <c r="T4618"/>
      <c r="U4618"/>
    </row>
    <row r="4619" spans="1:21">
      <c r="A4619"/>
      <c r="C4619"/>
      <c r="D4619"/>
      <c r="L4619"/>
      <c r="R4619"/>
      <c r="S4619"/>
      <c r="T4619"/>
      <c r="U4619"/>
    </row>
    <row r="4620" spans="1:21">
      <c r="A4620"/>
      <c r="C4620"/>
      <c r="D4620"/>
      <c r="L4620"/>
      <c r="R4620"/>
      <c r="S4620"/>
      <c r="T4620"/>
      <c r="U4620"/>
    </row>
    <row r="4621" spans="1:21">
      <c r="A4621"/>
      <c r="C4621"/>
      <c r="D4621"/>
      <c r="L4621"/>
      <c r="R4621"/>
      <c r="S4621"/>
      <c r="T4621"/>
      <c r="U4621"/>
    </row>
    <row r="4622" spans="1:21">
      <c r="A4622"/>
      <c r="C4622"/>
      <c r="D4622"/>
      <c r="L4622"/>
      <c r="R4622"/>
      <c r="S4622"/>
      <c r="T4622"/>
      <c r="U4622"/>
    </row>
    <row r="4623" spans="1:21">
      <c r="A4623"/>
      <c r="C4623"/>
      <c r="D4623"/>
      <c r="L4623"/>
      <c r="R4623"/>
      <c r="S4623"/>
      <c r="T4623"/>
      <c r="U4623"/>
    </row>
    <row r="4624" spans="1:21">
      <c r="A4624"/>
      <c r="C4624"/>
      <c r="D4624"/>
      <c r="L4624"/>
      <c r="R4624"/>
      <c r="S4624"/>
      <c r="T4624"/>
      <c r="U4624"/>
    </row>
    <row r="4625" spans="1:21">
      <c r="A4625"/>
      <c r="C4625"/>
      <c r="D4625"/>
      <c r="L4625"/>
      <c r="R4625"/>
      <c r="S4625"/>
      <c r="T4625"/>
      <c r="U4625"/>
    </row>
    <row r="4626" spans="1:21">
      <c r="A4626"/>
      <c r="C4626"/>
      <c r="D4626"/>
      <c r="L4626"/>
      <c r="R4626"/>
      <c r="S4626"/>
      <c r="T4626"/>
      <c r="U4626"/>
    </row>
    <row r="4627" spans="1:21">
      <c r="A4627"/>
      <c r="C4627"/>
      <c r="D4627"/>
      <c r="L4627"/>
      <c r="R4627"/>
      <c r="S4627"/>
      <c r="T4627"/>
      <c r="U4627"/>
    </row>
    <row r="4628" spans="1:21">
      <c r="A4628"/>
      <c r="C4628"/>
      <c r="D4628"/>
      <c r="L4628"/>
      <c r="R4628"/>
      <c r="S4628"/>
      <c r="T4628"/>
      <c r="U4628"/>
    </row>
    <row r="4629" spans="1:21">
      <c r="A4629"/>
      <c r="C4629"/>
      <c r="D4629"/>
      <c r="L4629"/>
      <c r="R4629"/>
      <c r="S4629"/>
      <c r="T4629"/>
      <c r="U4629"/>
    </row>
    <row r="4630" spans="1:21">
      <c r="A4630"/>
      <c r="C4630"/>
      <c r="D4630"/>
      <c r="L4630"/>
      <c r="R4630"/>
      <c r="S4630"/>
      <c r="T4630"/>
      <c r="U4630"/>
    </row>
    <row r="4631" spans="1:21">
      <c r="A4631"/>
      <c r="C4631"/>
      <c r="D4631"/>
      <c r="L4631"/>
      <c r="R4631"/>
      <c r="S4631"/>
      <c r="T4631"/>
      <c r="U4631"/>
    </row>
    <row r="4632" spans="1:21">
      <c r="A4632"/>
      <c r="C4632"/>
      <c r="D4632"/>
      <c r="L4632"/>
      <c r="R4632"/>
      <c r="S4632"/>
      <c r="T4632"/>
      <c r="U4632"/>
    </row>
    <row r="4633" spans="1:21">
      <c r="A4633"/>
      <c r="C4633"/>
      <c r="D4633"/>
      <c r="L4633"/>
      <c r="R4633"/>
      <c r="S4633"/>
      <c r="T4633"/>
      <c r="U4633"/>
    </row>
    <row r="4634" spans="1:21">
      <c r="A4634"/>
      <c r="C4634"/>
      <c r="D4634"/>
      <c r="L4634"/>
      <c r="R4634"/>
      <c r="S4634"/>
      <c r="T4634"/>
      <c r="U4634"/>
    </row>
    <row r="4635" spans="1:21">
      <c r="A4635"/>
      <c r="C4635"/>
      <c r="D4635"/>
      <c r="L4635"/>
      <c r="R4635"/>
      <c r="S4635"/>
      <c r="T4635"/>
      <c r="U4635"/>
    </row>
    <row r="4636" spans="1:21">
      <c r="A4636"/>
      <c r="C4636"/>
      <c r="D4636"/>
      <c r="L4636"/>
      <c r="R4636"/>
      <c r="S4636"/>
      <c r="T4636"/>
      <c r="U4636"/>
    </row>
    <row r="4637" spans="1:21">
      <c r="A4637"/>
      <c r="C4637"/>
      <c r="D4637"/>
      <c r="L4637"/>
      <c r="R4637"/>
      <c r="S4637"/>
      <c r="T4637"/>
      <c r="U4637"/>
    </row>
    <row r="4638" spans="1:21">
      <c r="A4638"/>
      <c r="C4638"/>
      <c r="D4638"/>
      <c r="L4638"/>
      <c r="R4638"/>
      <c r="S4638"/>
      <c r="T4638"/>
      <c r="U4638"/>
    </row>
    <row r="4639" spans="1:21">
      <c r="A4639"/>
      <c r="C4639"/>
      <c r="D4639"/>
      <c r="L4639"/>
      <c r="R4639"/>
      <c r="S4639"/>
      <c r="T4639"/>
      <c r="U4639"/>
    </row>
    <row r="4640" spans="1:21">
      <c r="A4640"/>
      <c r="C4640"/>
      <c r="D4640"/>
      <c r="L4640"/>
      <c r="R4640"/>
      <c r="S4640"/>
      <c r="T4640"/>
      <c r="U4640"/>
    </row>
    <row r="4641" spans="1:21">
      <c r="A4641"/>
      <c r="C4641"/>
      <c r="D4641"/>
      <c r="L4641"/>
      <c r="R4641"/>
      <c r="S4641"/>
      <c r="T4641"/>
      <c r="U4641"/>
    </row>
    <row r="4642" spans="1:21">
      <c r="A4642"/>
      <c r="C4642"/>
      <c r="D4642"/>
      <c r="L4642"/>
      <c r="R4642"/>
      <c r="S4642"/>
      <c r="T4642"/>
      <c r="U4642"/>
    </row>
    <row r="4643" spans="1:21">
      <c r="A4643"/>
      <c r="C4643"/>
      <c r="D4643"/>
      <c r="L4643"/>
      <c r="R4643"/>
      <c r="S4643"/>
      <c r="T4643"/>
      <c r="U4643"/>
    </row>
    <row r="4644" spans="1:21">
      <c r="A4644"/>
      <c r="C4644"/>
      <c r="D4644"/>
      <c r="L4644"/>
      <c r="R4644"/>
      <c r="S4644"/>
      <c r="T4644"/>
      <c r="U4644"/>
    </row>
    <row r="4645" spans="1:21">
      <c r="A4645"/>
      <c r="C4645"/>
      <c r="D4645"/>
      <c r="L4645"/>
      <c r="R4645"/>
      <c r="S4645"/>
      <c r="T4645"/>
      <c r="U4645"/>
    </row>
    <row r="4646" spans="1:21">
      <c r="A4646"/>
      <c r="C4646"/>
      <c r="D4646"/>
      <c r="L4646"/>
      <c r="R4646"/>
      <c r="S4646"/>
      <c r="T4646"/>
      <c r="U4646"/>
    </row>
    <row r="4647" spans="1:21">
      <c r="A4647"/>
      <c r="C4647"/>
      <c r="D4647"/>
      <c r="L4647"/>
      <c r="R4647"/>
      <c r="S4647"/>
      <c r="T4647"/>
      <c r="U4647"/>
    </row>
    <row r="4648" spans="1:21">
      <c r="A4648"/>
      <c r="C4648"/>
      <c r="D4648"/>
      <c r="L4648"/>
      <c r="R4648"/>
      <c r="S4648"/>
      <c r="T4648"/>
      <c r="U4648"/>
    </row>
    <row r="4649" spans="1:21">
      <c r="A4649"/>
      <c r="C4649"/>
      <c r="D4649"/>
      <c r="L4649"/>
      <c r="R4649"/>
      <c r="S4649"/>
      <c r="T4649"/>
      <c r="U4649"/>
    </row>
    <row r="4650" spans="1:21">
      <c r="A4650"/>
      <c r="C4650"/>
      <c r="D4650"/>
      <c r="L4650"/>
      <c r="R4650"/>
      <c r="S4650"/>
      <c r="T4650"/>
      <c r="U4650"/>
    </row>
    <row r="4651" spans="1:21">
      <c r="A4651"/>
      <c r="C4651"/>
      <c r="D4651"/>
      <c r="L4651"/>
      <c r="R4651"/>
      <c r="S4651"/>
      <c r="T4651"/>
      <c r="U4651"/>
    </row>
    <row r="4652" spans="1:21">
      <c r="A4652"/>
      <c r="C4652"/>
      <c r="D4652"/>
      <c r="L4652"/>
      <c r="R4652"/>
      <c r="S4652"/>
      <c r="T4652"/>
      <c r="U4652"/>
    </row>
    <row r="4653" spans="1:21">
      <c r="A4653"/>
      <c r="C4653"/>
      <c r="D4653"/>
      <c r="L4653"/>
      <c r="R4653"/>
      <c r="S4653"/>
      <c r="T4653"/>
      <c r="U4653"/>
    </row>
    <row r="4654" spans="1:21">
      <c r="A4654"/>
      <c r="C4654"/>
      <c r="D4654"/>
      <c r="L4654"/>
      <c r="R4654"/>
      <c r="S4654"/>
      <c r="T4654"/>
      <c r="U4654"/>
    </row>
    <row r="4655" spans="1:21">
      <c r="A4655"/>
      <c r="C4655"/>
      <c r="D4655"/>
      <c r="L4655"/>
      <c r="R4655"/>
      <c r="S4655"/>
      <c r="T4655"/>
      <c r="U4655"/>
    </row>
    <row r="4656" spans="1:21">
      <c r="A4656"/>
      <c r="C4656"/>
      <c r="D4656"/>
      <c r="L4656"/>
      <c r="R4656"/>
      <c r="S4656"/>
      <c r="T4656"/>
      <c r="U4656"/>
    </row>
    <row r="4657" spans="1:21">
      <c r="A4657"/>
      <c r="C4657"/>
      <c r="D4657"/>
      <c r="L4657"/>
      <c r="R4657"/>
      <c r="S4657"/>
      <c r="T4657"/>
      <c r="U4657"/>
    </row>
    <row r="4658" spans="1:21">
      <c r="A4658"/>
      <c r="C4658"/>
      <c r="D4658"/>
      <c r="L4658"/>
      <c r="R4658"/>
      <c r="S4658"/>
      <c r="T4658"/>
      <c r="U4658"/>
    </row>
    <row r="4659" spans="1:21">
      <c r="A4659"/>
      <c r="C4659"/>
      <c r="D4659"/>
      <c r="L4659"/>
      <c r="R4659"/>
      <c r="S4659"/>
      <c r="T4659"/>
      <c r="U4659"/>
    </row>
    <row r="4660" spans="1:21">
      <c r="A4660"/>
      <c r="C4660"/>
      <c r="D4660"/>
      <c r="L4660"/>
      <c r="R4660"/>
      <c r="S4660"/>
      <c r="T4660"/>
      <c r="U4660"/>
    </row>
    <row r="4661" spans="1:21">
      <c r="A4661"/>
      <c r="C4661"/>
      <c r="D4661"/>
      <c r="L4661"/>
      <c r="R4661"/>
      <c r="S4661"/>
      <c r="T4661"/>
      <c r="U4661"/>
    </row>
    <row r="4662" spans="1:21">
      <c r="A4662"/>
      <c r="C4662"/>
      <c r="D4662"/>
      <c r="L4662"/>
      <c r="R4662"/>
      <c r="S4662"/>
      <c r="T4662"/>
      <c r="U4662"/>
    </row>
    <row r="4663" spans="1:21">
      <c r="A4663"/>
      <c r="C4663"/>
      <c r="D4663"/>
      <c r="L4663"/>
      <c r="R4663"/>
      <c r="S4663"/>
      <c r="T4663"/>
      <c r="U4663"/>
    </row>
    <row r="4664" spans="1:21">
      <c r="A4664"/>
      <c r="C4664"/>
      <c r="D4664"/>
      <c r="L4664"/>
      <c r="R4664"/>
      <c r="S4664"/>
      <c r="T4664"/>
      <c r="U4664"/>
    </row>
    <row r="4665" spans="1:21">
      <c r="A4665"/>
      <c r="C4665"/>
      <c r="D4665"/>
      <c r="L4665"/>
      <c r="R4665"/>
      <c r="S4665"/>
      <c r="T4665"/>
      <c r="U4665"/>
    </row>
    <row r="4666" spans="1:21">
      <c r="A4666"/>
      <c r="C4666"/>
      <c r="D4666"/>
      <c r="L4666"/>
      <c r="R4666"/>
      <c r="S4666"/>
      <c r="T4666"/>
      <c r="U4666"/>
    </row>
    <row r="4667" spans="1:21">
      <c r="A4667"/>
      <c r="C4667"/>
      <c r="D4667"/>
      <c r="L4667"/>
      <c r="R4667"/>
      <c r="S4667"/>
      <c r="T4667"/>
      <c r="U4667"/>
    </row>
    <row r="4668" spans="1:21">
      <c r="A4668"/>
      <c r="C4668"/>
      <c r="D4668"/>
      <c r="L4668"/>
      <c r="R4668"/>
      <c r="S4668"/>
      <c r="T4668"/>
      <c r="U4668"/>
    </row>
    <row r="4669" spans="1:21">
      <c r="A4669"/>
      <c r="C4669"/>
      <c r="D4669"/>
      <c r="L4669"/>
      <c r="R4669"/>
      <c r="S4669"/>
      <c r="T4669"/>
      <c r="U4669"/>
    </row>
    <row r="4670" spans="1:21">
      <c r="A4670"/>
      <c r="C4670"/>
      <c r="D4670"/>
      <c r="L4670"/>
      <c r="R4670"/>
      <c r="S4670"/>
      <c r="T4670"/>
      <c r="U4670"/>
    </row>
    <row r="4671" spans="1:21">
      <c r="A4671"/>
      <c r="C4671"/>
      <c r="D4671"/>
      <c r="L4671"/>
      <c r="R4671"/>
      <c r="S4671"/>
      <c r="T4671"/>
      <c r="U4671"/>
    </row>
    <row r="4672" spans="1:21">
      <c r="A4672"/>
      <c r="C4672"/>
      <c r="D4672"/>
      <c r="L4672"/>
      <c r="R4672"/>
      <c r="S4672"/>
      <c r="T4672"/>
      <c r="U4672"/>
    </row>
    <row r="4673" spans="1:21">
      <c r="A4673"/>
      <c r="C4673"/>
      <c r="D4673"/>
      <c r="L4673"/>
      <c r="R4673"/>
      <c r="S4673"/>
      <c r="T4673"/>
      <c r="U4673"/>
    </row>
    <row r="4674" spans="1:21">
      <c r="A4674"/>
      <c r="C4674"/>
      <c r="D4674"/>
      <c r="L4674"/>
      <c r="R4674"/>
      <c r="S4674"/>
      <c r="T4674"/>
      <c r="U4674"/>
    </row>
    <row r="4675" spans="1:21">
      <c r="A4675"/>
      <c r="C4675"/>
      <c r="D4675"/>
      <c r="L4675"/>
      <c r="R4675"/>
      <c r="S4675"/>
      <c r="T4675"/>
      <c r="U4675"/>
    </row>
    <row r="4676" spans="1:21">
      <c r="A4676"/>
      <c r="C4676"/>
      <c r="D4676"/>
      <c r="L4676"/>
      <c r="R4676"/>
      <c r="S4676"/>
      <c r="T4676"/>
      <c r="U4676"/>
    </row>
    <row r="4677" spans="1:21">
      <c r="A4677"/>
      <c r="C4677"/>
      <c r="D4677"/>
      <c r="L4677"/>
      <c r="R4677"/>
      <c r="S4677"/>
      <c r="T4677"/>
      <c r="U4677"/>
    </row>
    <row r="4678" spans="1:21">
      <c r="A4678"/>
      <c r="C4678"/>
      <c r="D4678"/>
      <c r="L4678"/>
      <c r="R4678"/>
      <c r="S4678"/>
      <c r="T4678"/>
      <c r="U4678"/>
    </row>
    <row r="4679" spans="1:21">
      <c r="A4679"/>
      <c r="C4679"/>
      <c r="D4679"/>
      <c r="L4679"/>
      <c r="R4679"/>
      <c r="S4679"/>
      <c r="T4679"/>
      <c r="U4679"/>
    </row>
    <row r="4680" spans="1:21">
      <c r="A4680"/>
      <c r="C4680"/>
      <c r="D4680"/>
      <c r="L4680"/>
      <c r="R4680"/>
      <c r="S4680"/>
      <c r="T4680"/>
      <c r="U4680"/>
    </row>
    <row r="4681" spans="1:21">
      <c r="A4681"/>
      <c r="C4681"/>
      <c r="D4681"/>
      <c r="L4681"/>
      <c r="R4681"/>
      <c r="S4681"/>
      <c r="T4681"/>
      <c r="U4681"/>
    </row>
    <row r="4682" spans="1:21">
      <c r="A4682"/>
      <c r="C4682"/>
      <c r="D4682"/>
      <c r="L4682"/>
      <c r="R4682"/>
      <c r="S4682"/>
      <c r="T4682"/>
      <c r="U4682"/>
    </row>
    <row r="4683" spans="1:21">
      <c r="A4683"/>
      <c r="C4683"/>
      <c r="D4683"/>
      <c r="L4683"/>
      <c r="R4683"/>
      <c r="S4683"/>
      <c r="T4683"/>
      <c r="U4683"/>
    </row>
    <row r="4684" spans="1:21">
      <c r="A4684"/>
      <c r="C4684"/>
      <c r="D4684"/>
      <c r="L4684"/>
      <c r="R4684"/>
      <c r="S4684"/>
      <c r="T4684"/>
      <c r="U4684"/>
    </row>
    <row r="4685" spans="1:21">
      <c r="A4685"/>
      <c r="C4685"/>
      <c r="D4685"/>
      <c r="L4685"/>
      <c r="R4685"/>
      <c r="S4685"/>
      <c r="T4685"/>
      <c r="U4685"/>
    </row>
    <row r="4686" spans="1:21">
      <c r="A4686"/>
      <c r="C4686"/>
      <c r="D4686"/>
      <c r="L4686"/>
      <c r="R4686"/>
      <c r="S4686"/>
      <c r="T4686"/>
      <c r="U4686"/>
    </row>
    <row r="4687" spans="1:21">
      <c r="A4687"/>
      <c r="C4687"/>
      <c r="D4687"/>
      <c r="L4687"/>
      <c r="R4687"/>
      <c r="S4687"/>
      <c r="T4687"/>
      <c r="U4687"/>
    </row>
    <row r="4688" spans="1:21">
      <c r="A4688"/>
      <c r="C4688"/>
      <c r="D4688"/>
      <c r="L4688"/>
      <c r="R4688"/>
      <c r="S4688"/>
      <c r="T4688"/>
      <c r="U4688"/>
    </row>
    <row r="4689" spans="1:21">
      <c r="A4689"/>
      <c r="C4689"/>
      <c r="D4689"/>
      <c r="L4689"/>
      <c r="R4689"/>
      <c r="S4689"/>
      <c r="T4689"/>
      <c r="U4689"/>
    </row>
    <row r="4690" spans="1:21">
      <c r="A4690"/>
      <c r="C4690"/>
      <c r="D4690"/>
      <c r="L4690"/>
      <c r="R4690"/>
      <c r="S4690"/>
      <c r="T4690"/>
      <c r="U4690"/>
    </row>
    <row r="4691" spans="1:21">
      <c r="A4691"/>
      <c r="C4691"/>
      <c r="D4691"/>
      <c r="L4691"/>
      <c r="R4691"/>
      <c r="S4691"/>
      <c r="T4691"/>
      <c r="U4691"/>
    </row>
    <row r="4692" spans="1:21">
      <c r="A4692"/>
      <c r="C4692"/>
      <c r="D4692"/>
      <c r="L4692"/>
      <c r="R4692"/>
      <c r="S4692"/>
      <c r="T4692"/>
      <c r="U4692"/>
    </row>
    <row r="4693" spans="1:21">
      <c r="A4693"/>
      <c r="C4693"/>
      <c r="D4693"/>
      <c r="L4693"/>
      <c r="R4693"/>
      <c r="S4693"/>
      <c r="T4693"/>
      <c r="U4693"/>
    </row>
    <row r="4694" spans="1:21">
      <c r="A4694"/>
      <c r="C4694"/>
      <c r="D4694"/>
      <c r="L4694"/>
      <c r="R4694"/>
      <c r="S4694"/>
      <c r="T4694"/>
      <c r="U4694"/>
    </row>
    <row r="4695" spans="1:21">
      <c r="A4695"/>
      <c r="C4695"/>
      <c r="D4695"/>
      <c r="L4695"/>
      <c r="R4695"/>
      <c r="S4695"/>
      <c r="T4695"/>
      <c r="U4695"/>
    </row>
    <row r="4696" spans="1:21">
      <c r="A4696"/>
      <c r="C4696"/>
      <c r="D4696"/>
      <c r="L4696"/>
      <c r="R4696"/>
      <c r="S4696"/>
      <c r="T4696"/>
      <c r="U4696"/>
    </row>
    <row r="4697" spans="1:21">
      <c r="A4697"/>
      <c r="C4697"/>
      <c r="D4697"/>
      <c r="L4697"/>
      <c r="R4697"/>
      <c r="S4697"/>
      <c r="T4697"/>
      <c r="U4697"/>
    </row>
    <row r="4698" spans="1:21">
      <c r="A4698"/>
      <c r="C4698"/>
      <c r="D4698"/>
      <c r="L4698"/>
      <c r="R4698"/>
      <c r="S4698"/>
      <c r="T4698"/>
      <c r="U4698"/>
    </row>
    <row r="4699" spans="1:21">
      <c r="A4699"/>
      <c r="C4699"/>
      <c r="D4699"/>
      <c r="L4699"/>
      <c r="R4699"/>
      <c r="S4699"/>
      <c r="T4699"/>
      <c r="U4699"/>
    </row>
    <row r="4700" spans="1:21">
      <c r="A4700"/>
      <c r="C4700"/>
      <c r="D4700"/>
      <c r="L4700"/>
      <c r="R4700"/>
      <c r="S4700"/>
      <c r="T4700"/>
      <c r="U4700"/>
    </row>
    <row r="4701" spans="1:21">
      <c r="A4701"/>
      <c r="C4701"/>
      <c r="D4701"/>
      <c r="L4701"/>
      <c r="R4701"/>
      <c r="S4701"/>
      <c r="T4701"/>
      <c r="U4701"/>
    </row>
    <row r="4702" spans="1:21">
      <c r="A4702"/>
      <c r="C4702"/>
      <c r="D4702"/>
      <c r="L4702"/>
      <c r="R4702"/>
      <c r="S4702"/>
      <c r="T4702"/>
      <c r="U4702"/>
    </row>
    <row r="4703" spans="1:21">
      <c r="A4703"/>
      <c r="C4703"/>
      <c r="D4703"/>
      <c r="L4703"/>
      <c r="R4703"/>
      <c r="S4703"/>
      <c r="T4703"/>
      <c r="U4703"/>
    </row>
    <row r="4704" spans="1:21">
      <c r="A4704"/>
      <c r="C4704"/>
      <c r="D4704"/>
      <c r="L4704"/>
      <c r="R4704"/>
      <c r="S4704"/>
      <c r="T4704"/>
      <c r="U4704"/>
    </row>
    <row r="4705" spans="1:21">
      <c r="A4705"/>
      <c r="C4705"/>
      <c r="D4705"/>
      <c r="L4705"/>
      <c r="R4705"/>
      <c r="S4705"/>
      <c r="T4705"/>
      <c r="U4705"/>
    </row>
    <row r="4706" spans="1:21">
      <c r="A4706"/>
      <c r="C4706"/>
      <c r="D4706"/>
      <c r="L4706"/>
      <c r="R4706"/>
      <c r="S4706"/>
      <c r="T4706"/>
      <c r="U4706"/>
    </row>
    <row r="4707" spans="1:21">
      <c r="A4707"/>
      <c r="C4707"/>
      <c r="D4707"/>
      <c r="L4707"/>
      <c r="R4707"/>
      <c r="S4707"/>
      <c r="T4707"/>
      <c r="U4707"/>
    </row>
    <row r="4708" spans="1:21">
      <c r="A4708"/>
      <c r="C4708"/>
      <c r="D4708"/>
      <c r="L4708"/>
      <c r="R4708"/>
      <c r="S4708"/>
      <c r="T4708"/>
      <c r="U4708"/>
    </row>
    <row r="4709" spans="1:21">
      <c r="A4709"/>
      <c r="C4709"/>
      <c r="D4709"/>
      <c r="L4709"/>
      <c r="R4709"/>
      <c r="S4709"/>
      <c r="T4709"/>
      <c r="U4709"/>
    </row>
    <row r="4710" spans="1:21">
      <c r="A4710"/>
      <c r="C4710"/>
      <c r="D4710"/>
      <c r="L4710"/>
      <c r="R4710"/>
      <c r="S4710"/>
      <c r="T4710"/>
      <c r="U4710"/>
    </row>
    <row r="4711" spans="1:21">
      <c r="A4711"/>
      <c r="C4711"/>
      <c r="D4711"/>
      <c r="L4711"/>
      <c r="R4711"/>
      <c r="S4711"/>
      <c r="T4711"/>
      <c r="U4711"/>
    </row>
    <row r="4712" spans="1:21">
      <c r="A4712"/>
      <c r="C4712"/>
      <c r="D4712"/>
      <c r="L4712"/>
      <c r="R4712"/>
      <c r="S4712"/>
      <c r="T4712"/>
      <c r="U4712"/>
    </row>
    <row r="4713" spans="1:21">
      <c r="A4713"/>
      <c r="C4713"/>
      <c r="D4713"/>
      <c r="L4713"/>
      <c r="R4713"/>
      <c r="S4713"/>
      <c r="T4713"/>
      <c r="U4713"/>
    </row>
    <row r="4714" spans="1:21">
      <c r="A4714"/>
      <c r="C4714"/>
      <c r="D4714"/>
      <c r="L4714"/>
      <c r="R4714"/>
      <c r="S4714"/>
      <c r="T4714"/>
      <c r="U4714"/>
    </row>
    <row r="4715" spans="1:21">
      <c r="A4715"/>
      <c r="C4715"/>
      <c r="D4715"/>
      <c r="L4715"/>
      <c r="R4715"/>
      <c r="S4715"/>
      <c r="T4715"/>
      <c r="U4715"/>
    </row>
    <row r="4716" spans="1:21">
      <c r="A4716"/>
      <c r="C4716"/>
      <c r="D4716"/>
      <c r="L4716"/>
      <c r="R4716"/>
      <c r="S4716"/>
      <c r="T4716"/>
      <c r="U4716"/>
    </row>
    <row r="4717" spans="1:21">
      <c r="A4717"/>
      <c r="C4717"/>
      <c r="D4717"/>
      <c r="L4717"/>
      <c r="R4717"/>
      <c r="S4717"/>
      <c r="T4717"/>
      <c r="U4717"/>
    </row>
    <row r="4718" spans="1:21">
      <c r="A4718"/>
      <c r="C4718"/>
      <c r="D4718"/>
      <c r="L4718"/>
      <c r="R4718"/>
      <c r="S4718"/>
      <c r="T4718"/>
      <c r="U4718"/>
    </row>
    <row r="4719" spans="1:21">
      <c r="A4719"/>
      <c r="C4719"/>
      <c r="D4719"/>
      <c r="L4719"/>
      <c r="R4719"/>
      <c r="S4719"/>
      <c r="T4719"/>
      <c r="U4719"/>
    </row>
    <row r="4720" spans="1:21">
      <c r="A4720"/>
      <c r="C4720"/>
      <c r="D4720"/>
      <c r="L4720"/>
      <c r="R4720"/>
      <c r="S4720"/>
      <c r="T4720"/>
      <c r="U4720"/>
    </row>
    <row r="4721" spans="1:21">
      <c r="A4721"/>
      <c r="C4721"/>
      <c r="D4721"/>
      <c r="L4721"/>
      <c r="R4721"/>
      <c r="S4721"/>
      <c r="T4721"/>
      <c r="U4721"/>
    </row>
    <row r="4722" spans="1:21">
      <c r="A4722"/>
      <c r="C4722"/>
      <c r="D4722"/>
      <c r="L4722"/>
      <c r="R4722"/>
      <c r="S4722"/>
      <c r="T4722"/>
      <c r="U4722"/>
    </row>
    <row r="4723" spans="1:21">
      <c r="A4723"/>
      <c r="C4723"/>
      <c r="D4723"/>
      <c r="L4723"/>
      <c r="R4723"/>
      <c r="S4723"/>
      <c r="T4723"/>
      <c r="U4723"/>
    </row>
    <row r="4724" spans="1:21">
      <c r="A4724"/>
      <c r="C4724"/>
      <c r="D4724"/>
      <c r="L4724"/>
      <c r="R4724"/>
      <c r="S4724"/>
      <c r="T4724"/>
      <c r="U4724"/>
    </row>
    <row r="4725" spans="1:21">
      <c r="A4725"/>
      <c r="C4725"/>
      <c r="D4725"/>
      <c r="L4725"/>
      <c r="R4725"/>
      <c r="S4725"/>
      <c r="T4725"/>
      <c r="U4725"/>
    </row>
    <row r="4726" spans="1:21">
      <c r="A4726"/>
      <c r="C4726"/>
      <c r="D4726"/>
      <c r="L4726"/>
      <c r="R4726"/>
      <c r="S4726"/>
      <c r="T4726"/>
      <c r="U4726"/>
    </row>
    <row r="4727" spans="1:21">
      <c r="A4727"/>
      <c r="C4727"/>
      <c r="D4727"/>
      <c r="L4727"/>
      <c r="R4727"/>
      <c r="S4727"/>
      <c r="T4727"/>
      <c r="U4727"/>
    </row>
    <row r="4728" spans="1:21">
      <c r="A4728"/>
      <c r="C4728"/>
      <c r="D4728"/>
      <c r="L4728"/>
      <c r="R4728"/>
      <c r="S4728"/>
      <c r="T4728"/>
      <c r="U4728"/>
    </row>
    <row r="4729" spans="1:21">
      <c r="A4729"/>
      <c r="C4729"/>
      <c r="D4729"/>
      <c r="L4729"/>
      <c r="R4729"/>
      <c r="S4729"/>
      <c r="T4729"/>
      <c r="U4729"/>
    </row>
    <row r="4730" spans="1:21">
      <c r="A4730"/>
      <c r="C4730"/>
      <c r="D4730"/>
      <c r="L4730"/>
      <c r="R4730"/>
      <c r="S4730"/>
      <c r="T4730"/>
      <c r="U4730"/>
    </row>
    <row r="4731" spans="1:21">
      <c r="A4731"/>
      <c r="C4731"/>
      <c r="D4731"/>
      <c r="L4731"/>
      <c r="R4731"/>
      <c r="S4731"/>
      <c r="T4731"/>
      <c r="U4731"/>
    </row>
    <row r="4732" spans="1:21">
      <c r="A4732"/>
      <c r="C4732"/>
      <c r="D4732"/>
      <c r="L4732"/>
      <c r="R4732"/>
      <c r="S4732"/>
      <c r="T4732"/>
      <c r="U4732"/>
    </row>
    <row r="4733" spans="1:21">
      <c r="A4733"/>
      <c r="C4733"/>
      <c r="D4733"/>
      <c r="L4733"/>
      <c r="R4733"/>
      <c r="S4733"/>
      <c r="T4733"/>
      <c r="U4733"/>
    </row>
    <row r="4734" spans="1:21">
      <c r="A4734"/>
      <c r="C4734"/>
      <c r="D4734"/>
      <c r="L4734"/>
      <c r="R4734"/>
      <c r="S4734"/>
      <c r="T4734"/>
      <c r="U4734"/>
    </row>
    <row r="4735" spans="1:21">
      <c r="A4735"/>
      <c r="C4735"/>
      <c r="D4735"/>
      <c r="L4735"/>
      <c r="R4735"/>
      <c r="S4735"/>
      <c r="T4735"/>
      <c r="U4735"/>
    </row>
    <row r="4736" spans="1:21">
      <c r="A4736"/>
      <c r="C4736"/>
      <c r="D4736"/>
      <c r="L4736"/>
      <c r="R4736"/>
      <c r="S4736"/>
      <c r="T4736"/>
      <c r="U4736"/>
    </row>
    <row r="4737" spans="1:21">
      <c r="A4737"/>
      <c r="C4737"/>
      <c r="D4737"/>
      <c r="L4737"/>
      <c r="R4737"/>
      <c r="S4737"/>
      <c r="T4737"/>
      <c r="U4737"/>
    </row>
    <row r="4738" spans="1:21">
      <c r="A4738"/>
      <c r="C4738"/>
      <c r="D4738"/>
      <c r="L4738"/>
      <c r="R4738"/>
      <c r="S4738"/>
      <c r="T4738"/>
      <c r="U4738"/>
    </row>
    <row r="4739" spans="1:21">
      <c r="A4739"/>
      <c r="C4739"/>
      <c r="D4739"/>
      <c r="L4739"/>
      <c r="R4739"/>
      <c r="S4739"/>
      <c r="T4739"/>
      <c r="U4739"/>
    </row>
    <row r="4740" spans="1:21">
      <c r="A4740"/>
      <c r="C4740"/>
      <c r="D4740"/>
      <c r="L4740"/>
      <c r="R4740"/>
      <c r="S4740"/>
      <c r="T4740"/>
      <c r="U4740"/>
    </row>
    <row r="4741" spans="1:21">
      <c r="A4741"/>
      <c r="C4741"/>
      <c r="D4741"/>
      <c r="L4741"/>
      <c r="R4741"/>
      <c r="S4741"/>
      <c r="T4741"/>
      <c r="U4741"/>
    </row>
    <row r="4742" spans="1:21">
      <c r="A4742"/>
      <c r="C4742"/>
      <c r="D4742"/>
      <c r="L4742"/>
      <c r="R4742"/>
      <c r="S4742"/>
      <c r="T4742"/>
      <c r="U4742"/>
    </row>
    <row r="4743" spans="1:21">
      <c r="A4743"/>
      <c r="C4743"/>
      <c r="D4743"/>
      <c r="L4743"/>
      <c r="R4743"/>
      <c r="S4743"/>
      <c r="T4743"/>
      <c r="U4743"/>
    </row>
    <row r="4744" spans="1:21">
      <c r="A4744"/>
      <c r="C4744"/>
      <c r="D4744"/>
      <c r="L4744"/>
      <c r="R4744"/>
      <c r="S4744"/>
      <c r="T4744"/>
      <c r="U4744"/>
    </row>
    <row r="4745" spans="1:21">
      <c r="A4745"/>
      <c r="C4745"/>
      <c r="D4745"/>
      <c r="L4745"/>
      <c r="R4745"/>
      <c r="S4745"/>
      <c r="T4745"/>
      <c r="U4745"/>
    </row>
    <row r="4746" spans="1:21">
      <c r="A4746"/>
      <c r="C4746"/>
      <c r="D4746"/>
      <c r="L4746"/>
      <c r="R4746"/>
      <c r="S4746"/>
      <c r="T4746"/>
      <c r="U4746"/>
    </row>
    <row r="4747" spans="1:21">
      <c r="A4747"/>
      <c r="C4747"/>
      <c r="D4747"/>
      <c r="L4747"/>
      <c r="R4747"/>
      <c r="S4747"/>
      <c r="T4747"/>
      <c r="U4747"/>
    </row>
    <row r="4748" spans="1:21">
      <c r="A4748"/>
      <c r="C4748"/>
      <c r="D4748"/>
      <c r="L4748"/>
      <c r="R4748"/>
      <c r="S4748"/>
      <c r="T4748"/>
      <c r="U4748"/>
    </row>
    <row r="4749" spans="1:21">
      <c r="A4749"/>
      <c r="C4749"/>
      <c r="D4749"/>
      <c r="L4749"/>
      <c r="R4749"/>
      <c r="S4749"/>
      <c r="T4749"/>
      <c r="U4749"/>
    </row>
    <row r="4750" spans="1:21">
      <c r="A4750"/>
      <c r="C4750"/>
      <c r="D4750"/>
      <c r="L4750"/>
      <c r="R4750"/>
      <c r="S4750"/>
      <c r="T4750"/>
      <c r="U4750"/>
    </row>
    <row r="4751" spans="1:21">
      <c r="A4751"/>
      <c r="C4751"/>
      <c r="D4751"/>
      <c r="L4751"/>
      <c r="R4751"/>
      <c r="S4751"/>
      <c r="T4751"/>
      <c r="U4751"/>
    </row>
    <row r="4752" spans="1:21">
      <c r="A4752"/>
      <c r="C4752"/>
      <c r="D4752"/>
      <c r="L4752"/>
      <c r="R4752"/>
      <c r="S4752"/>
      <c r="T4752"/>
      <c r="U4752"/>
    </row>
    <row r="4753" spans="1:21">
      <c r="A4753"/>
      <c r="C4753"/>
      <c r="D4753"/>
      <c r="L4753"/>
      <c r="R4753"/>
      <c r="S4753"/>
      <c r="T4753"/>
      <c r="U4753"/>
    </row>
    <row r="4754" spans="1:21">
      <c r="A4754"/>
      <c r="C4754"/>
      <c r="D4754"/>
      <c r="L4754"/>
      <c r="R4754"/>
      <c r="S4754"/>
      <c r="T4754"/>
      <c r="U4754"/>
    </row>
    <row r="4755" spans="1:21">
      <c r="A4755"/>
      <c r="C4755"/>
      <c r="D4755"/>
      <c r="L4755"/>
      <c r="R4755"/>
      <c r="S4755"/>
      <c r="T4755"/>
      <c r="U4755"/>
    </row>
    <row r="4756" spans="1:21">
      <c r="A4756"/>
      <c r="C4756"/>
      <c r="D4756"/>
      <c r="L4756"/>
      <c r="R4756"/>
      <c r="S4756"/>
      <c r="T4756"/>
      <c r="U4756"/>
    </row>
    <row r="4757" spans="1:21">
      <c r="A4757"/>
      <c r="C4757"/>
      <c r="D4757"/>
      <c r="L4757"/>
      <c r="R4757"/>
      <c r="S4757"/>
      <c r="T4757"/>
      <c r="U4757"/>
    </row>
    <row r="4758" spans="1:21">
      <c r="A4758"/>
      <c r="C4758"/>
      <c r="D4758"/>
      <c r="L4758"/>
      <c r="R4758"/>
      <c r="S4758"/>
      <c r="T4758"/>
      <c r="U4758"/>
    </row>
    <row r="4759" spans="1:21">
      <c r="A4759"/>
      <c r="C4759"/>
      <c r="D4759"/>
      <c r="L4759"/>
      <c r="R4759"/>
      <c r="S4759"/>
      <c r="T4759"/>
      <c r="U4759"/>
    </row>
    <row r="4760" spans="1:21">
      <c r="A4760"/>
      <c r="C4760"/>
      <c r="D4760"/>
      <c r="L4760"/>
      <c r="R4760"/>
      <c r="S4760"/>
      <c r="T4760"/>
      <c r="U4760"/>
    </row>
    <row r="4761" spans="1:21">
      <c r="A4761"/>
      <c r="C4761"/>
      <c r="D4761"/>
      <c r="L4761"/>
      <c r="R4761"/>
      <c r="S4761"/>
      <c r="T4761"/>
      <c r="U4761"/>
    </row>
    <row r="4762" spans="1:21">
      <c r="A4762"/>
      <c r="C4762"/>
      <c r="D4762"/>
      <c r="L4762"/>
      <c r="R4762"/>
      <c r="S4762"/>
      <c r="T4762"/>
      <c r="U4762"/>
    </row>
    <row r="4763" spans="1:21">
      <c r="A4763"/>
      <c r="C4763"/>
      <c r="D4763"/>
      <c r="L4763"/>
      <c r="R4763"/>
      <c r="S4763"/>
      <c r="T4763"/>
      <c r="U4763"/>
    </row>
    <row r="4764" spans="1:21">
      <c r="A4764"/>
      <c r="C4764"/>
      <c r="D4764"/>
      <c r="L4764"/>
      <c r="R4764"/>
      <c r="S4764"/>
      <c r="T4764"/>
      <c r="U4764"/>
    </row>
    <row r="4765" spans="1:21">
      <c r="A4765"/>
      <c r="C4765"/>
      <c r="D4765"/>
      <c r="L4765"/>
      <c r="R4765"/>
      <c r="S4765"/>
      <c r="T4765"/>
      <c r="U4765"/>
    </row>
    <row r="4766" spans="1:21">
      <c r="A4766"/>
      <c r="C4766"/>
      <c r="D4766"/>
      <c r="L4766"/>
      <c r="R4766"/>
      <c r="S4766"/>
      <c r="T4766"/>
      <c r="U4766"/>
    </row>
    <row r="4767" spans="1:21">
      <c r="A4767"/>
      <c r="C4767"/>
      <c r="D4767"/>
      <c r="L4767"/>
      <c r="R4767"/>
      <c r="S4767"/>
      <c r="T4767"/>
      <c r="U4767"/>
    </row>
    <row r="4768" spans="1:21">
      <c r="A4768"/>
      <c r="C4768"/>
      <c r="D4768"/>
      <c r="L4768"/>
      <c r="R4768"/>
      <c r="S4768"/>
      <c r="T4768"/>
      <c r="U4768"/>
    </row>
    <row r="4769" spans="1:21">
      <c r="A4769"/>
      <c r="C4769"/>
      <c r="D4769"/>
      <c r="L4769"/>
      <c r="R4769"/>
      <c r="S4769"/>
      <c r="T4769"/>
      <c r="U4769"/>
    </row>
    <row r="4770" spans="1:21">
      <c r="A4770"/>
      <c r="C4770"/>
      <c r="D4770"/>
      <c r="L4770"/>
      <c r="R4770"/>
      <c r="S4770"/>
      <c r="T4770"/>
      <c r="U4770"/>
    </row>
    <row r="4771" spans="1:21">
      <c r="A4771"/>
      <c r="C4771"/>
      <c r="D4771"/>
      <c r="L4771"/>
      <c r="R4771"/>
      <c r="S4771"/>
      <c r="T4771"/>
      <c r="U4771"/>
    </row>
    <row r="4772" spans="1:21">
      <c r="A4772"/>
      <c r="C4772"/>
      <c r="D4772"/>
      <c r="L4772"/>
      <c r="R4772"/>
      <c r="S4772"/>
      <c r="T4772"/>
      <c r="U4772"/>
    </row>
    <row r="4773" spans="1:21">
      <c r="A4773"/>
      <c r="C4773"/>
      <c r="D4773"/>
      <c r="L4773"/>
      <c r="R4773"/>
      <c r="S4773"/>
      <c r="T4773"/>
      <c r="U4773"/>
    </row>
    <row r="4774" spans="1:21">
      <c r="A4774"/>
      <c r="C4774"/>
      <c r="D4774"/>
      <c r="L4774"/>
      <c r="R4774"/>
      <c r="S4774"/>
      <c r="T4774"/>
      <c r="U4774"/>
    </row>
    <row r="4775" spans="1:21">
      <c r="A4775"/>
      <c r="C4775"/>
      <c r="D4775"/>
      <c r="L4775"/>
      <c r="R4775"/>
      <c r="S4775"/>
      <c r="T4775"/>
      <c r="U4775"/>
    </row>
    <row r="4776" spans="1:21">
      <c r="A4776"/>
      <c r="C4776"/>
      <c r="D4776"/>
      <c r="L4776"/>
      <c r="R4776"/>
      <c r="S4776"/>
      <c r="T4776"/>
      <c r="U4776"/>
    </row>
    <row r="4777" spans="1:21">
      <c r="A4777"/>
      <c r="C4777"/>
      <c r="D4777"/>
      <c r="L4777"/>
      <c r="R4777"/>
      <c r="S4777"/>
      <c r="T4777"/>
      <c r="U4777"/>
    </row>
    <row r="4778" spans="1:21">
      <c r="A4778"/>
      <c r="C4778"/>
      <c r="D4778"/>
      <c r="L4778"/>
      <c r="R4778"/>
      <c r="S4778"/>
      <c r="T4778"/>
      <c r="U4778"/>
    </row>
    <row r="4779" spans="1:21">
      <c r="A4779"/>
      <c r="C4779"/>
      <c r="D4779"/>
      <c r="L4779"/>
      <c r="R4779"/>
      <c r="S4779"/>
      <c r="T4779"/>
      <c r="U4779"/>
    </row>
    <row r="4780" spans="1:21">
      <c r="A4780"/>
      <c r="C4780"/>
      <c r="D4780"/>
      <c r="L4780"/>
      <c r="R4780"/>
      <c r="S4780"/>
      <c r="T4780"/>
      <c r="U4780"/>
    </row>
    <row r="4781" spans="1:21">
      <c r="A4781"/>
      <c r="C4781"/>
      <c r="D4781"/>
      <c r="L4781"/>
      <c r="R4781"/>
      <c r="S4781"/>
      <c r="T4781"/>
      <c r="U4781"/>
    </row>
    <row r="4782" spans="1:21">
      <c r="A4782"/>
      <c r="C4782"/>
      <c r="D4782"/>
      <c r="L4782"/>
      <c r="R4782"/>
      <c r="S4782"/>
      <c r="T4782"/>
      <c r="U4782"/>
    </row>
    <row r="4783" spans="1:21">
      <c r="A4783"/>
      <c r="C4783"/>
      <c r="D4783"/>
      <c r="L4783"/>
      <c r="R4783"/>
      <c r="S4783"/>
      <c r="T4783"/>
      <c r="U4783"/>
    </row>
    <row r="4784" spans="1:21">
      <c r="A4784"/>
      <c r="C4784"/>
      <c r="D4784"/>
      <c r="L4784"/>
      <c r="R4784"/>
      <c r="S4784"/>
      <c r="T4784"/>
      <c r="U4784"/>
    </row>
    <row r="4785" spans="1:21">
      <c r="A4785"/>
      <c r="C4785"/>
      <c r="D4785"/>
      <c r="L4785"/>
      <c r="R4785"/>
      <c r="S4785"/>
      <c r="T4785"/>
      <c r="U4785"/>
    </row>
    <row r="4786" spans="1:21">
      <c r="A4786"/>
      <c r="C4786"/>
      <c r="D4786"/>
      <c r="L4786"/>
      <c r="R4786"/>
      <c r="S4786"/>
      <c r="T4786"/>
      <c r="U4786"/>
    </row>
    <row r="4787" spans="1:21">
      <c r="A4787"/>
      <c r="C4787"/>
      <c r="D4787"/>
      <c r="L4787"/>
      <c r="R4787"/>
      <c r="S4787"/>
      <c r="T4787"/>
      <c r="U4787"/>
    </row>
    <row r="4788" spans="1:21">
      <c r="A4788"/>
      <c r="C4788"/>
      <c r="D4788"/>
      <c r="L4788"/>
      <c r="R4788"/>
      <c r="S4788"/>
      <c r="T4788"/>
      <c r="U4788"/>
    </row>
    <row r="4789" spans="1:21">
      <c r="A4789"/>
      <c r="C4789"/>
      <c r="D4789"/>
      <c r="L4789"/>
      <c r="R4789"/>
      <c r="S4789"/>
      <c r="T4789"/>
      <c r="U4789"/>
    </row>
    <row r="4790" spans="1:21">
      <c r="A4790"/>
      <c r="C4790"/>
      <c r="D4790"/>
      <c r="L4790"/>
      <c r="R4790"/>
      <c r="S4790"/>
      <c r="T4790"/>
      <c r="U4790"/>
    </row>
    <row r="4791" spans="1:21">
      <c r="A4791"/>
      <c r="C4791"/>
      <c r="D4791"/>
      <c r="L4791"/>
      <c r="R4791"/>
      <c r="S4791"/>
      <c r="T4791"/>
      <c r="U4791"/>
    </row>
    <row r="4792" spans="1:21">
      <c r="A4792"/>
      <c r="C4792"/>
      <c r="D4792"/>
      <c r="L4792"/>
      <c r="R4792"/>
      <c r="S4792"/>
      <c r="T4792"/>
      <c r="U4792"/>
    </row>
    <row r="4793" spans="1:21">
      <c r="A4793"/>
      <c r="C4793"/>
      <c r="D4793"/>
      <c r="L4793"/>
      <c r="R4793"/>
      <c r="S4793"/>
      <c r="T4793"/>
      <c r="U4793"/>
    </row>
    <row r="4794" spans="1:21">
      <c r="A4794"/>
      <c r="C4794"/>
      <c r="D4794"/>
      <c r="L4794"/>
      <c r="R4794"/>
      <c r="S4794"/>
      <c r="T4794"/>
      <c r="U4794"/>
    </row>
    <row r="4795" spans="1:21">
      <c r="A4795"/>
      <c r="C4795"/>
      <c r="D4795"/>
      <c r="L4795"/>
      <c r="R4795"/>
      <c r="S4795"/>
      <c r="T4795"/>
      <c r="U4795"/>
    </row>
    <row r="4796" spans="1:21">
      <c r="A4796"/>
      <c r="C4796"/>
      <c r="D4796"/>
      <c r="L4796"/>
      <c r="R4796"/>
      <c r="S4796"/>
      <c r="T4796"/>
      <c r="U4796"/>
    </row>
    <row r="4797" spans="1:21">
      <c r="A4797"/>
      <c r="C4797"/>
      <c r="D4797"/>
      <c r="L4797"/>
      <c r="R4797"/>
      <c r="S4797"/>
      <c r="T4797"/>
      <c r="U4797"/>
    </row>
    <row r="4798" spans="1:21">
      <c r="A4798"/>
      <c r="C4798"/>
      <c r="D4798"/>
      <c r="L4798"/>
      <c r="R4798"/>
      <c r="S4798"/>
      <c r="T4798"/>
      <c r="U4798"/>
    </row>
    <row r="4799" spans="1:21">
      <c r="A4799"/>
      <c r="C4799"/>
      <c r="D4799"/>
      <c r="L4799"/>
      <c r="R4799"/>
      <c r="S4799"/>
      <c r="T4799"/>
      <c r="U4799"/>
    </row>
    <row r="4800" spans="1:21">
      <c r="A4800"/>
      <c r="C4800"/>
      <c r="D4800"/>
      <c r="L4800"/>
      <c r="R4800"/>
      <c r="S4800"/>
      <c r="T4800"/>
      <c r="U4800"/>
    </row>
    <row r="4801" spans="1:21">
      <c r="A4801"/>
      <c r="C4801"/>
      <c r="D4801"/>
      <c r="L4801"/>
      <c r="R4801"/>
      <c r="S4801"/>
      <c r="T4801"/>
      <c r="U4801"/>
    </row>
    <row r="4802" spans="1:21">
      <c r="A4802"/>
      <c r="C4802"/>
      <c r="D4802"/>
      <c r="L4802"/>
      <c r="R4802"/>
      <c r="S4802"/>
      <c r="T4802"/>
      <c r="U4802"/>
    </row>
    <row r="4803" spans="1:21">
      <c r="A4803"/>
      <c r="C4803"/>
      <c r="D4803"/>
      <c r="L4803"/>
      <c r="R4803"/>
      <c r="S4803"/>
      <c r="T4803"/>
      <c r="U4803"/>
    </row>
    <row r="4804" spans="1:21">
      <c r="A4804"/>
      <c r="C4804"/>
      <c r="D4804"/>
      <c r="L4804"/>
      <c r="R4804"/>
      <c r="S4804"/>
      <c r="T4804"/>
      <c r="U4804"/>
    </row>
    <row r="4805" spans="1:21">
      <c r="A4805"/>
      <c r="C4805"/>
      <c r="D4805"/>
      <c r="L4805"/>
      <c r="R4805"/>
      <c r="S4805"/>
      <c r="T4805"/>
      <c r="U4805"/>
    </row>
    <row r="4806" spans="1:21">
      <c r="A4806"/>
      <c r="C4806"/>
      <c r="D4806"/>
      <c r="L4806"/>
      <c r="R4806"/>
      <c r="S4806"/>
      <c r="T4806"/>
      <c r="U4806"/>
    </row>
    <row r="4807" spans="1:21">
      <c r="A4807"/>
      <c r="C4807"/>
      <c r="D4807"/>
      <c r="L4807"/>
      <c r="R4807"/>
      <c r="S4807"/>
      <c r="T4807"/>
      <c r="U4807"/>
    </row>
    <row r="4808" spans="1:21">
      <c r="A4808"/>
      <c r="C4808"/>
      <c r="D4808"/>
      <c r="L4808"/>
      <c r="R4808"/>
      <c r="S4808"/>
      <c r="T4808"/>
      <c r="U4808"/>
    </row>
    <row r="4809" spans="1:21">
      <c r="A4809"/>
      <c r="C4809"/>
      <c r="D4809"/>
      <c r="L4809"/>
      <c r="R4809"/>
      <c r="S4809"/>
      <c r="T4809"/>
      <c r="U4809"/>
    </row>
    <row r="4810" spans="1:21">
      <c r="A4810"/>
      <c r="C4810"/>
      <c r="D4810"/>
      <c r="L4810"/>
      <c r="R4810"/>
      <c r="S4810"/>
      <c r="T4810"/>
      <c r="U4810"/>
    </row>
    <row r="4811" spans="1:21">
      <c r="A4811"/>
      <c r="C4811"/>
      <c r="D4811"/>
      <c r="L4811"/>
      <c r="R4811"/>
      <c r="S4811"/>
      <c r="T4811"/>
      <c r="U4811"/>
    </row>
    <row r="4812" spans="1:21">
      <c r="A4812"/>
      <c r="C4812"/>
      <c r="D4812"/>
      <c r="L4812"/>
      <c r="R4812"/>
      <c r="S4812"/>
      <c r="T4812"/>
      <c r="U4812"/>
    </row>
    <row r="4813" spans="1:21">
      <c r="A4813"/>
      <c r="C4813"/>
      <c r="D4813"/>
      <c r="L4813"/>
      <c r="R4813"/>
      <c r="S4813"/>
      <c r="T4813"/>
      <c r="U4813"/>
    </row>
    <row r="4814" spans="1:21">
      <c r="A4814"/>
      <c r="C4814"/>
      <c r="D4814"/>
      <c r="L4814"/>
      <c r="R4814"/>
      <c r="S4814"/>
      <c r="T4814"/>
      <c r="U4814"/>
    </row>
    <row r="4815" spans="1:21">
      <c r="A4815"/>
      <c r="C4815"/>
      <c r="D4815"/>
      <c r="L4815"/>
      <c r="R4815"/>
      <c r="S4815"/>
      <c r="T4815"/>
      <c r="U4815"/>
    </row>
    <row r="4816" spans="1:21">
      <c r="A4816"/>
      <c r="C4816"/>
      <c r="D4816"/>
      <c r="L4816"/>
      <c r="R4816"/>
      <c r="S4816"/>
      <c r="T4816"/>
      <c r="U4816"/>
    </row>
    <row r="4817" spans="1:21">
      <c r="A4817"/>
      <c r="C4817"/>
      <c r="D4817"/>
      <c r="L4817"/>
      <c r="R4817"/>
      <c r="S4817"/>
      <c r="T4817"/>
      <c r="U4817"/>
    </row>
    <row r="4818" spans="1:21">
      <c r="A4818"/>
      <c r="C4818"/>
      <c r="D4818"/>
      <c r="L4818"/>
      <c r="R4818"/>
      <c r="S4818"/>
      <c r="T4818"/>
      <c r="U4818"/>
    </row>
    <row r="4819" spans="1:21">
      <c r="A4819"/>
      <c r="C4819"/>
      <c r="D4819"/>
      <c r="L4819"/>
      <c r="R4819"/>
      <c r="S4819"/>
      <c r="T4819"/>
      <c r="U4819"/>
    </row>
    <row r="4820" spans="1:21">
      <c r="A4820"/>
      <c r="C4820"/>
      <c r="D4820"/>
      <c r="L4820"/>
      <c r="R4820"/>
      <c r="S4820"/>
      <c r="T4820"/>
      <c r="U4820"/>
    </row>
    <row r="4821" spans="1:21">
      <c r="A4821"/>
      <c r="C4821"/>
      <c r="D4821"/>
      <c r="L4821"/>
      <c r="R4821"/>
      <c r="S4821"/>
      <c r="T4821"/>
      <c r="U4821"/>
    </row>
    <row r="4822" spans="1:21">
      <c r="A4822"/>
      <c r="C4822"/>
      <c r="D4822"/>
      <c r="L4822"/>
      <c r="R4822"/>
      <c r="S4822"/>
      <c r="T4822"/>
      <c r="U4822"/>
    </row>
    <row r="4823" spans="1:21">
      <c r="A4823"/>
      <c r="C4823"/>
      <c r="D4823"/>
      <c r="L4823"/>
      <c r="R4823"/>
      <c r="S4823"/>
      <c r="T4823"/>
      <c r="U4823"/>
    </row>
    <row r="4824" spans="1:21">
      <c r="A4824"/>
      <c r="C4824"/>
      <c r="D4824"/>
      <c r="L4824"/>
      <c r="R4824"/>
      <c r="S4824"/>
      <c r="T4824"/>
      <c r="U4824"/>
    </row>
    <row r="4825" spans="1:21">
      <c r="A4825"/>
      <c r="C4825"/>
      <c r="D4825"/>
      <c r="L4825"/>
      <c r="R4825"/>
      <c r="S4825"/>
      <c r="T4825"/>
      <c r="U4825"/>
    </row>
    <row r="4826" spans="1:21">
      <c r="A4826"/>
      <c r="C4826"/>
      <c r="D4826"/>
      <c r="L4826"/>
      <c r="R4826"/>
      <c r="S4826"/>
      <c r="T4826"/>
      <c r="U4826"/>
    </row>
    <row r="4827" spans="1:21">
      <c r="A4827"/>
      <c r="C4827"/>
      <c r="D4827"/>
      <c r="L4827"/>
      <c r="R4827"/>
      <c r="S4827"/>
      <c r="T4827"/>
      <c r="U4827"/>
    </row>
    <row r="4828" spans="1:21">
      <c r="A4828"/>
      <c r="C4828"/>
      <c r="D4828"/>
      <c r="L4828"/>
      <c r="R4828"/>
      <c r="S4828"/>
      <c r="T4828"/>
      <c r="U4828"/>
    </row>
    <row r="4829" spans="1:21">
      <c r="A4829"/>
      <c r="C4829"/>
      <c r="D4829"/>
      <c r="L4829"/>
      <c r="R4829"/>
      <c r="S4829"/>
      <c r="T4829"/>
      <c r="U4829"/>
    </row>
    <row r="4830" spans="1:21">
      <c r="A4830"/>
      <c r="C4830"/>
      <c r="D4830"/>
      <c r="L4830"/>
      <c r="R4830"/>
      <c r="S4830"/>
      <c r="T4830"/>
      <c r="U4830"/>
    </row>
    <row r="4831" spans="1:21">
      <c r="A4831"/>
      <c r="C4831"/>
      <c r="D4831"/>
      <c r="L4831"/>
      <c r="R4831"/>
      <c r="S4831"/>
      <c r="T4831"/>
      <c r="U4831"/>
    </row>
    <row r="4832" spans="1:21">
      <c r="A4832"/>
      <c r="C4832"/>
      <c r="D4832"/>
      <c r="L4832"/>
      <c r="R4832"/>
      <c r="S4832"/>
      <c r="T4832"/>
      <c r="U4832"/>
    </row>
    <row r="4833" spans="1:21">
      <c r="A4833"/>
      <c r="C4833"/>
      <c r="D4833"/>
      <c r="L4833"/>
      <c r="R4833"/>
      <c r="S4833"/>
      <c r="T4833"/>
      <c r="U4833"/>
    </row>
    <row r="4834" spans="1:21">
      <c r="A4834"/>
      <c r="C4834"/>
      <c r="D4834"/>
      <c r="L4834"/>
      <c r="R4834"/>
      <c r="S4834"/>
      <c r="T4834"/>
      <c r="U4834"/>
    </row>
    <row r="4835" spans="1:21">
      <c r="A4835"/>
      <c r="C4835"/>
      <c r="D4835"/>
      <c r="L4835"/>
      <c r="R4835"/>
      <c r="S4835"/>
      <c r="T4835"/>
      <c r="U4835"/>
    </row>
    <row r="4836" spans="1:21">
      <c r="A4836"/>
      <c r="C4836"/>
      <c r="D4836"/>
      <c r="L4836"/>
      <c r="R4836"/>
      <c r="S4836"/>
      <c r="T4836"/>
      <c r="U4836"/>
    </row>
    <row r="4837" spans="1:21">
      <c r="A4837"/>
      <c r="C4837"/>
      <c r="D4837"/>
      <c r="L4837"/>
      <c r="R4837"/>
      <c r="S4837"/>
      <c r="T4837"/>
      <c r="U4837"/>
    </row>
    <row r="4838" spans="1:21">
      <c r="A4838"/>
      <c r="C4838"/>
      <c r="D4838"/>
      <c r="L4838"/>
      <c r="R4838"/>
      <c r="S4838"/>
      <c r="T4838"/>
      <c r="U4838"/>
    </row>
    <row r="4839" spans="1:21">
      <c r="A4839"/>
      <c r="C4839"/>
      <c r="D4839"/>
      <c r="L4839"/>
      <c r="R4839"/>
      <c r="S4839"/>
      <c r="T4839"/>
      <c r="U4839"/>
    </row>
    <row r="4840" spans="1:21">
      <c r="A4840"/>
      <c r="C4840"/>
      <c r="D4840"/>
      <c r="L4840"/>
      <c r="R4840"/>
      <c r="S4840"/>
      <c r="T4840"/>
      <c r="U4840"/>
    </row>
    <row r="4841" spans="1:21">
      <c r="A4841"/>
      <c r="C4841"/>
      <c r="D4841"/>
      <c r="L4841"/>
      <c r="R4841"/>
      <c r="S4841"/>
      <c r="T4841"/>
      <c r="U4841"/>
    </row>
    <row r="4842" spans="1:21">
      <c r="A4842"/>
      <c r="C4842"/>
      <c r="D4842"/>
      <c r="L4842"/>
      <c r="R4842"/>
      <c r="S4842"/>
      <c r="T4842"/>
      <c r="U4842"/>
    </row>
    <row r="4843" spans="1:21">
      <c r="A4843"/>
      <c r="C4843"/>
      <c r="D4843"/>
      <c r="L4843"/>
      <c r="R4843"/>
      <c r="S4843"/>
      <c r="T4843"/>
      <c r="U4843"/>
    </row>
    <row r="4844" spans="1:21">
      <c r="A4844"/>
      <c r="C4844"/>
      <c r="D4844"/>
      <c r="L4844"/>
      <c r="R4844"/>
      <c r="S4844"/>
      <c r="T4844"/>
      <c r="U4844"/>
    </row>
    <row r="4845" spans="1:21">
      <c r="A4845"/>
      <c r="C4845"/>
      <c r="D4845"/>
      <c r="L4845"/>
      <c r="R4845"/>
      <c r="S4845"/>
      <c r="T4845"/>
      <c r="U4845"/>
    </row>
    <row r="4846" spans="1:21">
      <c r="A4846"/>
      <c r="C4846"/>
      <c r="D4846"/>
      <c r="L4846"/>
      <c r="R4846"/>
      <c r="S4846"/>
      <c r="T4846"/>
      <c r="U4846"/>
    </row>
    <row r="4847" spans="1:21">
      <c r="A4847"/>
      <c r="C4847"/>
      <c r="D4847"/>
      <c r="L4847"/>
      <c r="R4847"/>
      <c r="S4847"/>
      <c r="T4847"/>
      <c r="U4847"/>
    </row>
    <row r="4848" spans="1:21">
      <c r="A4848"/>
      <c r="C4848"/>
      <c r="D4848"/>
      <c r="L4848"/>
      <c r="R4848"/>
      <c r="S4848"/>
      <c r="T4848"/>
      <c r="U4848"/>
    </row>
    <row r="4849" spans="1:21">
      <c r="A4849"/>
      <c r="C4849"/>
      <c r="D4849"/>
      <c r="L4849"/>
      <c r="R4849"/>
      <c r="S4849"/>
      <c r="T4849"/>
      <c r="U4849"/>
    </row>
    <row r="4850" spans="1:21">
      <c r="A4850"/>
      <c r="C4850"/>
      <c r="D4850"/>
      <c r="L4850"/>
      <c r="R4850"/>
      <c r="S4850"/>
      <c r="T4850"/>
      <c r="U4850"/>
    </row>
    <row r="4851" spans="1:21">
      <c r="A4851"/>
      <c r="C4851"/>
      <c r="D4851"/>
      <c r="L4851"/>
      <c r="R4851"/>
      <c r="S4851"/>
      <c r="T4851"/>
      <c r="U4851"/>
    </row>
    <row r="4852" spans="1:21">
      <c r="A4852"/>
      <c r="C4852"/>
      <c r="D4852"/>
      <c r="L4852"/>
      <c r="R4852"/>
      <c r="S4852"/>
      <c r="T4852"/>
      <c r="U4852"/>
    </row>
    <row r="4853" spans="1:21">
      <c r="A4853"/>
      <c r="C4853"/>
      <c r="D4853"/>
      <c r="L4853"/>
      <c r="R4853"/>
      <c r="S4853"/>
      <c r="T4853"/>
      <c r="U4853"/>
    </row>
    <row r="4854" spans="1:21">
      <c r="A4854"/>
      <c r="C4854"/>
      <c r="D4854"/>
      <c r="L4854"/>
      <c r="R4854"/>
      <c r="S4854"/>
      <c r="T4854"/>
      <c r="U4854"/>
    </row>
    <row r="4855" spans="1:21">
      <c r="A4855"/>
      <c r="C4855"/>
      <c r="D4855"/>
      <c r="L4855"/>
      <c r="R4855"/>
      <c r="S4855"/>
      <c r="T4855"/>
      <c r="U4855"/>
    </row>
    <row r="4856" spans="1:21">
      <c r="A4856"/>
      <c r="C4856"/>
      <c r="D4856"/>
      <c r="L4856"/>
      <c r="R4856"/>
      <c r="S4856"/>
      <c r="T4856"/>
      <c r="U4856"/>
    </row>
    <row r="4857" spans="1:21">
      <c r="A4857"/>
      <c r="C4857"/>
      <c r="D4857"/>
      <c r="L4857"/>
      <c r="R4857"/>
      <c r="S4857"/>
      <c r="T4857"/>
      <c r="U4857"/>
    </row>
    <row r="4858" spans="1:21">
      <c r="A4858"/>
      <c r="C4858"/>
      <c r="D4858"/>
      <c r="L4858"/>
      <c r="R4858"/>
      <c r="S4858"/>
      <c r="T4858"/>
      <c r="U4858"/>
    </row>
    <row r="4859" spans="1:21">
      <c r="A4859"/>
      <c r="C4859"/>
      <c r="D4859"/>
      <c r="L4859"/>
      <c r="R4859"/>
      <c r="S4859"/>
      <c r="T4859"/>
      <c r="U4859"/>
    </row>
    <row r="4860" spans="1:21">
      <c r="A4860"/>
      <c r="C4860"/>
      <c r="D4860"/>
      <c r="L4860"/>
      <c r="R4860"/>
      <c r="S4860"/>
      <c r="T4860"/>
      <c r="U4860"/>
    </row>
    <row r="4861" spans="1:21">
      <c r="A4861"/>
      <c r="C4861"/>
      <c r="D4861"/>
      <c r="L4861"/>
      <c r="R4861"/>
      <c r="S4861"/>
      <c r="T4861"/>
      <c r="U4861"/>
    </row>
    <row r="4862" spans="1:21">
      <c r="A4862"/>
      <c r="C4862"/>
      <c r="D4862"/>
      <c r="L4862"/>
      <c r="R4862"/>
      <c r="S4862"/>
      <c r="T4862"/>
      <c r="U4862"/>
    </row>
    <row r="4863" spans="1:21">
      <c r="A4863"/>
      <c r="C4863"/>
      <c r="D4863"/>
      <c r="L4863"/>
      <c r="R4863"/>
      <c r="S4863"/>
      <c r="T4863"/>
      <c r="U4863"/>
    </row>
    <row r="4864" spans="1:21">
      <c r="A4864"/>
      <c r="C4864"/>
      <c r="D4864"/>
      <c r="L4864"/>
      <c r="R4864"/>
      <c r="S4864"/>
      <c r="T4864"/>
      <c r="U4864"/>
    </row>
    <row r="4865" spans="1:21">
      <c r="A4865"/>
      <c r="C4865"/>
      <c r="D4865"/>
      <c r="L4865"/>
      <c r="R4865"/>
      <c r="S4865"/>
      <c r="T4865"/>
      <c r="U4865"/>
    </row>
    <row r="4866" spans="1:21">
      <c r="A4866"/>
      <c r="C4866"/>
      <c r="D4866"/>
      <c r="L4866"/>
      <c r="R4866"/>
      <c r="S4866"/>
      <c r="T4866"/>
      <c r="U4866"/>
    </row>
    <row r="4867" spans="1:21">
      <c r="A4867"/>
      <c r="C4867"/>
      <c r="D4867"/>
      <c r="L4867"/>
      <c r="R4867"/>
      <c r="S4867"/>
      <c r="T4867"/>
      <c r="U4867"/>
    </row>
    <row r="4868" spans="1:21">
      <c r="A4868"/>
      <c r="C4868"/>
      <c r="D4868"/>
      <c r="L4868"/>
      <c r="R4868"/>
      <c r="S4868"/>
      <c r="T4868"/>
      <c r="U4868"/>
    </row>
    <row r="4869" spans="1:21">
      <c r="A4869"/>
      <c r="C4869"/>
      <c r="D4869"/>
      <c r="L4869"/>
      <c r="R4869"/>
      <c r="S4869"/>
      <c r="T4869"/>
      <c r="U4869"/>
    </row>
    <row r="4870" spans="1:21">
      <c r="A4870"/>
      <c r="C4870"/>
      <c r="D4870"/>
      <c r="L4870"/>
      <c r="R4870"/>
      <c r="S4870"/>
      <c r="T4870"/>
      <c r="U4870"/>
    </row>
    <row r="4871" spans="1:21">
      <c r="A4871"/>
      <c r="C4871"/>
      <c r="D4871"/>
      <c r="L4871"/>
      <c r="R4871"/>
      <c r="S4871"/>
      <c r="T4871"/>
      <c r="U4871"/>
    </row>
    <row r="4872" spans="1:21">
      <c r="A4872"/>
      <c r="C4872"/>
      <c r="D4872"/>
      <c r="L4872"/>
      <c r="R4872"/>
      <c r="S4872"/>
      <c r="T4872"/>
      <c r="U4872"/>
    </row>
    <row r="4873" spans="1:21">
      <c r="A4873"/>
      <c r="C4873"/>
      <c r="D4873"/>
      <c r="L4873"/>
      <c r="R4873"/>
      <c r="S4873"/>
      <c r="T4873"/>
      <c r="U4873"/>
    </row>
    <row r="4874" spans="1:21">
      <c r="A4874"/>
      <c r="C4874"/>
      <c r="D4874"/>
      <c r="L4874"/>
      <c r="R4874"/>
      <c r="S4874"/>
      <c r="T4874"/>
      <c r="U4874"/>
    </row>
    <row r="4875" spans="1:21">
      <c r="A4875"/>
      <c r="C4875"/>
      <c r="D4875"/>
      <c r="L4875"/>
      <c r="R4875"/>
      <c r="S4875"/>
      <c r="T4875"/>
      <c r="U4875"/>
    </row>
    <row r="4876" spans="1:21">
      <c r="A4876"/>
      <c r="C4876"/>
      <c r="D4876"/>
      <c r="L4876"/>
      <c r="R4876"/>
      <c r="S4876"/>
      <c r="T4876"/>
      <c r="U4876"/>
    </row>
    <row r="4877" spans="1:21">
      <c r="A4877"/>
      <c r="C4877"/>
      <c r="D4877"/>
      <c r="L4877"/>
      <c r="R4877"/>
      <c r="S4877"/>
      <c r="T4877"/>
      <c r="U4877"/>
    </row>
    <row r="4878" spans="1:21">
      <c r="A4878"/>
      <c r="C4878"/>
      <c r="D4878"/>
      <c r="L4878"/>
      <c r="R4878"/>
      <c r="S4878"/>
      <c r="T4878"/>
      <c r="U4878"/>
    </row>
    <row r="4879" spans="1:21">
      <c r="A4879"/>
      <c r="C4879"/>
      <c r="D4879"/>
      <c r="L4879"/>
      <c r="R4879"/>
      <c r="S4879"/>
      <c r="T4879"/>
      <c r="U4879"/>
    </row>
    <row r="4880" spans="1:21">
      <c r="A4880"/>
      <c r="C4880"/>
      <c r="D4880"/>
      <c r="L4880"/>
      <c r="R4880"/>
      <c r="S4880"/>
      <c r="T4880"/>
      <c r="U4880"/>
    </row>
    <row r="4881" spans="1:21">
      <c r="A4881"/>
      <c r="C4881"/>
      <c r="D4881"/>
      <c r="L4881"/>
      <c r="R4881"/>
      <c r="S4881"/>
      <c r="T4881"/>
      <c r="U4881"/>
    </row>
    <row r="4882" spans="1:21">
      <c r="A4882"/>
      <c r="C4882"/>
      <c r="D4882"/>
      <c r="L4882"/>
      <c r="R4882"/>
      <c r="S4882"/>
      <c r="T4882"/>
      <c r="U4882"/>
    </row>
    <row r="4883" spans="1:21">
      <c r="A4883"/>
      <c r="C4883"/>
      <c r="D4883"/>
      <c r="L4883"/>
      <c r="R4883"/>
      <c r="S4883"/>
      <c r="T4883"/>
      <c r="U4883"/>
    </row>
    <row r="4884" spans="1:21">
      <c r="A4884"/>
      <c r="C4884"/>
      <c r="D4884"/>
      <c r="L4884"/>
      <c r="R4884"/>
      <c r="S4884"/>
      <c r="T4884"/>
      <c r="U4884"/>
    </row>
    <row r="4885" spans="1:21">
      <c r="A4885"/>
      <c r="C4885"/>
      <c r="D4885"/>
      <c r="L4885"/>
      <c r="R4885"/>
      <c r="S4885"/>
      <c r="T4885"/>
      <c r="U4885"/>
    </row>
    <row r="4886" spans="1:21">
      <c r="A4886"/>
      <c r="C4886"/>
      <c r="D4886"/>
      <c r="L4886"/>
      <c r="R4886"/>
      <c r="S4886"/>
      <c r="T4886"/>
      <c r="U4886"/>
    </row>
    <row r="4887" spans="1:21">
      <c r="A4887"/>
      <c r="C4887"/>
      <c r="D4887"/>
      <c r="L4887"/>
      <c r="R4887"/>
      <c r="S4887"/>
      <c r="T4887"/>
      <c r="U4887"/>
    </row>
    <row r="4888" spans="1:21">
      <c r="A4888"/>
      <c r="C4888"/>
      <c r="D4888"/>
      <c r="L4888"/>
      <c r="R4888"/>
      <c r="S4888"/>
      <c r="T4888"/>
      <c r="U4888"/>
    </row>
    <row r="4889" spans="1:21">
      <c r="A4889"/>
      <c r="C4889"/>
      <c r="D4889"/>
      <c r="L4889"/>
      <c r="R4889"/>
      <c r="S4889"/>
      <c r="T4889"/>
      <c r="U4889"/>
    </row>
    <row r="4890" spans="1:21">
      <c r="A4890"/>
      <c r="C4890"/>
      <c r="D4890"/>
      <c r="L4890"/>
      <c r="R4890"/>
      <c r="S4890"/>
      <c r="T4890"/>
      <c r="U4890"/>
    </row>
    <row r="4891" spans="1:21">
      <c r="A4891"/>
      <c r="C4891"/>
      <c r="D4891"/>
      <c r="L4891"/>
      <c r="R4891"/>
      <c r="S4891"/>
      <c r="T4891"/>
      <c r="U4891"/>
    </row>
    <row r="4892" spans="1:21">
      <c r="A4892"/>
      <c r="C4892"/>
      <c r="D4892"/>
      <c r="L4892"/>
      <c r="R4892"/>
      <c r="S4892"/>
      <c r="T4892"/>
      <c r="U4892"/>
    </row>
    <row r="4893" spans="1:21">
      <c r="A4893"/>
      <c r="C4893"/>
      <c r="D4893"/>
      <c r="L4893"/>
      <c r="R4893"/>
      <c r="S4893"/>
      <c r="T4893"/>
      <c r="U4893"/>
    </row>
    <row r="4894" spans="1:21">
      <c r="A4894"/>
      <c r="C4894"/>
      <c r="D4894"/>
      <c r="L4894"/>
      <c r="R4894"/>
      <c r="S4894"/>
      <c r="T4894"/>
      <c r="U4894"/>
    </row>
    <row r="4895" spans="1:21">
      <c r="A4895"/>
      <c r="C4895"/>
      <c r="D4895"/>
      <c r="L4895"/>
      <c r="R4895"/>
      <c r="S4895"/>
      <c r="T4895"/>
      <c r="U4895"/>
    </row>
    <row r="4896" spans="1:21">
      <c r="A4896"/>
      <c r="C4896"/>
      <c r="D4896"/>
      <c r="L4896"/>
      <c r="R4896"/>
      <c r="S4896"/>
      <c r="T4896"/>
      <c r="U4896"/>
    </row>
    <row r="4897" spans="1:21">
      <c r="A4897"/>
      <c r="C4897"/>
      <c r="D4897"/>
      <c r="L4897"/>
      <c r="R4897"/>
      <c r="S4897"/>
      <c r="T4897"/>
      <c r="U4897"/>
    </row>
    <row r="4898" spans="1:21">
      <c r="A4898"/>
      <c r="C4898"/>
      <c r="D4898"/>
      <c r="L4898"/>
      <c r="R4898"/>
      <c r="S4898"/>
      <c r="T4898"/>
      <c r="U4898"/>
    </row>
    <row r="4899" spans="1:21">
      <c r="A4899"/>
      <c r="C4899"/>
      <c r="D4899"/>
      <c r="L4899"/>
      <c r="R4899"/>
      <c r="S4899"/>
      <c r="T4899"/>
      <c r="U4899"/>
    </row>
    <row r="4900" spans="1:21">
      <c r="A4900"/>
      <c r="C4900"/>
      <c r="D4900"/>
      <c r="L4900"/>
      <c r="R4900"/>
      <c r="S4900"/>
      <c r="T4900"/>
      <c r="U4900"/>
    </row>
    <row r="4901" spans="1:21">
      <c r="A4901"/>
      <c r="C4901"/>
      <c r="D4901"/>
      <c r="L4901"/>
      <c r="R4901"/>
      <c r="S4901"/>
      <c r="T4901"/>
      <c r="U4901"/>
    </row>
    <row r="4902" spans="1:21">
      <c r="A4902"/>
      <c r="C4902"/>
      <c r="D4902"/>
      <c r="L4902"/>
      <c r="R4902"/>
      <c r="S4902"/>
      <c r="T4902"/>
      <c r="U4902"/>
    </row>
    <row r="4903" spans="1:21">
      <c r="A4903"/>
      <c r="C4903"/>
      <c r="D4903"/>
      <c r="L4903"/>
      <c r="R4903"/>
      <c r="S4903"/>
      <c r="T4903"/>
      <c r="U4903"/>
    </row>
    <row r="4904" spans="1:21">
      <c r="A4904"/>
      <c r="C4904"/>
      <c r="D4904"/>
      <c r="L4904"/>
      <c r="R4904"/>
      <c r="S4904"/>
      <c r="T4904"/>
      <c r="U4904"/>
    </row>
    <row r="4905" spans="1:21">
      <c r="A4905"/>
      <c r="C4905"/>
      <c r="D4905"/>
      <c r="L4905"/>
      <c r="R4905"/>
      <c r="S4905"/>
      <c r="T4905"/>
      <c r="U4905"/>
    </row>
    <row r="4906" spans="1:21">
      <c r="A4906"/>
      <c r="C4906"/>
      <c r="D4906"/>
      <c r="L4906"/>
      <c r="R4906"/>
      <c r="S4906"/>
      <c r="T4906"/>
      <c r="U4906"/>
    </row>
    <row r="4907" spans="1:21">
      <c r="A4907"/>
      <c r="C4907"/>
      <c r="D4907"/>
      <c r="L4907"/>
      <c r="R4907"/>
      <c r="S4907"/>
      <c r="T4907"/>
      <c r="U4907"/>
    </row>
    <row r="4908" spans="1:21">
      <c r="A4908"/>
      <c r="C4908"/>
      <c r="D4908"/>
      <c r="L4908"/>
      <c r="R4908"/>
      <c r="S4908"/>
      <c r="T4908"/>
      <c r="U4908"/>
    </row>
    <row r="4909" spans="1:21">
      <c r="A4909"/>
      <c r="C4909"/>
      <c r="D4909"/>
      <c r="L4909"/>
      <c r="R4909"/>
      <c r="S4909"/>
      <c r="T4909"/>
      <c r="U4909"/>
    </row>
    <row r="4910" spans="1:21">
      <c r="A4910"/>
      <c r="C4910"/>
      <c r="D4910"/>
      <c r="L4910"/>
      <c r="R4910"/>
      <c r="S4910"/>
      <c r="T4910"/>
      <c r="U4910"/>
    </row>
    <row r="4911" spans="1:21">
      <c r="A4911"/>
      <c r="C4911"/>
      <c r="D4911"/>
      <c r="L4911"/>
      <c r="R4911"/>
      <c r="S4911"/>
      <c r="T4911"/>
      <c r="U4911"/>
    </row>
    <row r="4912" spans="1:21">
      <c r="A4912"/>
      <c r="C4912"/>
      <c r="D4912"/>
      <c r="L4912"/>
      <c r="R4912"/>
      <c r="S4912"/>
      <c r="T4912"/>
      <c r="U4912"/>
    </row>
    <row r="4913" spans="1:21">
      <c r="A4913"/>
      <c r="C4913"/>
      <c r="D4913"/>
      <c r="L4913"/>
      <c r="R4913"/>
      <c r="S4913"/>
      <c r="T4913"/>
      <c r="U4913"/>
    </row>
    <row r="4914" spans="1:21">
      <c r="A4914"/>
      <c r="C4914"/>
      <c r="D4914"/>
      <c r="L4914"/>
      <c r="R4914"/>
      <c r="S4914"/>
      <c r="T4914"/>
      <c r="U4914"/>
    </row>
    <row r="4915" spans="1:21">
      <c r="A4915"/>
      <c r="C4915"/>
      <c r="D4915"/>
      <c r="L4915"/>
      <c r="R4915"/>
      <c r="S4915"/>
      <c r="T4915"/>
      <c r="U4915"/>
    </row>
    <row r="4916" spans="1:21">
      <c r="A4916"/>
      <c r="C4916"/>
      <c r="D4916"/>
      <c r="L4916"/>
      <c r="R4916"/>
      <c r="S4916"/>
      <c r="T4916"/>
      <c r="U4916"/>
    </row>
    <row r="4917" spans="1:21">
      <c r="A4917"/>
      <c r="C4917"/>
      <c r="D4917"/>
      <c r="L4917"/>
      <c r="R4917"/>
      <c r="S4917"/>
      <c r="T4917"/>
      <c r="U4917"/>
    </row>
    <row r="4918" spans="1:21">
      <c r="A4918"/>
      <c r="C4918"/>
      <c r="D4918"/>
      <c r="L4918"/>
      <c r="R4918"/>
      <c r="S4918"/>
      <c r="T4918"/>
      <c r="U4918"/>
    </row>
    <row r="4919" spans="1:21">
      <c r="A4919"/>
      <c r="C4919"/>
      <c r="D4919"/>
      <c r="L4919"/>
      <c r="R4919"/>
      <c r="S4919"/>
      <c r="T4919"/>
      <c r="U4919"/>
    </row>
    <row r="4920" spans="1:21">
      <c r="A4920"/>
      <c r="C4920"/>
      <c r="D4920"/>
      <c r="L4920"/>
      <c r="R4920"/>
      <c r="S4920"/>
      <c r="T4920"/>
      <c r="U4920"/>
    </row>
    <row r="4921" spans="1:21">
      <c r="A4921"/>
      <c r="C4921"/>
      <c r="D4921"/>
      <c r="L4921"/>
      <c r="R4921"/>
      <c r="S4921"/>
      <c r="T4921"/>
      <c r="U4921"/>
    </row>
    <row r="4922" spans="1:21">
      <c r="A4922"/>
      <c r="C4922"/>
      <c r="D4922"/>
      <c r="L4922"/>
      <c r="R4922"/>
      <c r="S4922"/>
      <c r="T4922"/>
      <c r="U4922"/>
    </row>
    <row r="4923" spans="1:21">
      <c r="A4923"/>
      <c r="C4923"/>
      <c r="D4923"/>
      <c r="L4923"/>
      <c r="R4923"/>
      <c r="S4923"/>
      <c r="T4923"/>
      <c r="U4923"/>
    </row>
    <row r="4924" spans="1:21">
      <c r="A4924"/>
      <c r="C4924"/>
      <c r="D4924"/>
      <c r="L4924"/>
      <c r="R4924"/>
      <c r="S4924"/>
      <c r="T4924"/>
      <c r="U4924"/>
    </row>
    <row r="4925" spans="1:21">
      <c r="A4925"/>
      <c r="C4925"/>
      <c r="D4925"/>
      <c r="L4925"/>
      <c r="R4925"/>
      <c r="S4925"/>
      <c r="T4925"/>
      <c r="U4925"/>
    </row>
    <row r="4926" spans="1:21">
      <c r="A4926"/>
      <c r="C4926"/>
      <c r="D4926"/>
      <c r="L4926"/>
      <c r="R4926"/>
      <c r="S4926"/>
      <c r="T4926"/>
      <c r="U4926"/>
    </row>
    <row r="4927" spans="1:21">
      <c r="A4927"/>
      <c r="C4927"/>
      <c r="D4927"/>
      <c r="L4927"/>
      <c r="R4927"/>
      <c r="S4927"/>
      <c r="T4927"/>
      <c r="U4927"/>
    </row>
    <row r="4928" spans="1:21">
      <c r="A4928"/>
      <c r="C4928"/>
      <c r="D4928"/>
      <c r="L4928"/>
      <c r="R4928"/>
      <c r="S4928"/>
      <c r="T4928"/>
      <c r="U4928"/>
    </row>
    <row r="4929" spans="1:21">
      <c r="A4929"/>
      <c r="C4929"/>
      <c r="D4929"/>
      <c r="L4929"/>
      <c r="R4929"/>
      <c r="S4929"/>
      <c r="T4929"/>
      <c r="U4929"/>
    </row>
    <row r="4930" spans="1:21">
      <c r="A4930"/>
      <c r="C4930"/>
      <c r="D4930"/>
      <c r="L4930"/>
      <c r="R4930"/>
      <c r="S4930"/>
      <c r="T4930"/>
      <c r="U4930"/>
    </row>
    <row r="4931" spans="1:21">
      <c r="A4931"/>
      <c r="C4931"/>
      <c r="D4931"/>
      <c r="L4931"/>
      <c r="R4931"/>
      <c r="S4931"/>
      <c r="T4931"/>
      <c r="U4931"/>
    </row>
    <row r="4932" spans="1:21">
      <c r="A4932"/>
      <c r="C4932"/>
      <c r="D4932"/>
      <c r="L4932"/>
      <c r="R4932"/>
      <c r="S4932"/>
      <c r="T4932"/>
      <c r="U4932"/>
    </row>
    <row r="4933" spans="1:21">
      <c r="A4933"/>
      <c r="C4933"/>
      <c r="D4933"/>
      <c r="L4933"/>
      <c r="R4933"/>
      <c r="S4933"/>
      <c r="T4933"/>
      <c r="U4933"/>
    </row>
    <row r="4934" spans="1:21">
      <c r="A4934"/>
      <c r="C4934"/>
      <c r="D4934"/>
      <c r="L4934"/>
      <c r="R4934"/>
      <c r="S4934"/>
      <c r="T4934"/>
      <c r="U4934"/>
    </row>
    <row r="4935" spans="1:21">
      <c r="A4935"/>
      <c r="C4935"/>
      <c r="D4935"/>
      <c r="L4935"/>
      <c r="R4935"/>
      <c r="S4935"/>
      <c r="T4935"/>
      <c r="U4935"/>
    </row>
    <row r="4936" spans="1:21">
      <c r="A4936"/>
      <c r="C4936"/>
      <c r="D4936"/>
      <c r="L4936"/>
      <c r="R4936"/>
      <c r="S4936"/>
      <c r="T4936"/>
      <c r="U4936"/>
    </row>
    <row r="4937" spans="1:21">
      <c r="A4937"/>
      <c r="C4937"/>
      <c r="D4937"/>
      <c r="L4937"/>
      <c r="R4937"/>
      <c r="S4937"/>
      <c r="T4937"/>
      <c r="U4937"/>
    </row>
    <row r="4938" spans="1:21">
      <c r="A4938"/>
      <c r="C4938"/>
      <c r="D4938"/>
      <c r="L4938"/>
      <c r="R4938"/>
      <c r="S4938"/>
      <c r="T4938"/>
      <c r="U4938"/>
    </row>
    <row r="4939" spans="1:21">
      <c r="A4939"/>
      <c r="C4939"/>
      <c r="D4939"/>
      <c r="L4939"/>
      <c r="R4939"/>
      <c r="S4939"/>
      <c r="T4939"/>
      <c r="U4939"/>
    </row>
    <row r="4940" spans="1:21">
      <c r="A4940"/>
      <c r="C4940"/>
      <c r="D4940"/>
      <c r="L4940"/>
      <c r="R4940"/>
      <c r="S4940"/>
      <c r="T4940"/>
      <c r="U4940"/>
    </row>
    <row r="4941" spans="1:21">
      <c r="A4941"/>
      <c r="C4941"/>
      <c r="D4941"/>
      <c r="L4941"/>
      <c r="R4941"/>
      <c r="S4941"/>
      <c r="T4941"/>
      <c r="U4941"/>
    </row>
    <row r="4942" spans="1:21">
      <c r="A4942"/>
      <c r="C4942"/>
      <c r="D4942"/>
      <c r="L4942"/>
      <c r="R4942"/>
      <c r="S4942"/>
      <c r="T4942"/>
      <c r="U4942"/>
    </row>
    <row r="4943" spans="1:21">
      <c r="A4943"/>
      <c r="C4943"/>
      <c r="D4943"/>
      <c r="L4943"/>
      <c r="R4943"/>
      <c r="S4943"/>
      <c r="T4943"/>
      <c r="U4943"/>
    </row>
    <row r="4944" spans="1:21">
      <c r="A4944"/>
      <c r="C4944"/>
      <c r="D4944"/>
      <c r="L4944"/>
      <c r="R4944"/>
      <c r="S4944"/>
      <c r="T4944"/>
      <c r="U4944"/>
    </row>
    <row r="4945" spans="1:21">
      <c r="A4945"/>
      <c r="C4945"/>
      <c r="D4945"/>
      <c r="L4945"/>
      <c r="R4945"/>
      <c r="S4945"/>
      <c r="T4945"/>
      <c r="U4945"/>
    </row>
    <row r="4946" spans="1:21">
      <c r="A4946"/>
      <c r="C4946"/>
      <c r="D4946"/>
      <c r="L4946"/>
      <c r="R4946"/>
      <c r="S4946"/>
      <c r="T4946"/>
      <c r="U4946"/>
    </row>
    <row r="4947" spans="1:21">
      <c r="A4947"/>
      <c r="C4947"/>
      <c r="D4947"/>
      <c r="L4947"/>
      <c r="R4947"/>
      <c r="S4947"/>
      <c r="T4947"/>
      <c r="U4947"/>
    </row>
    <row r="4948" spans="1:21">
      <c r="A4948"/>
      <c r="C4948"/>
      <c r="D4948"/>
      <c r="L4948"/>
      <c r="R4948"/>
      <c r="S4948"/>
      <c r="T4948"/>
      <c r="U4948"/>
    </row>
    <row r="4949" spans="1:21">
      <c r="A4949"/>
      <c r="C4949"/>
      <c r="D4949"/>
      <c r="L4949"/>
      <c r="R4949"/>
      <c r="S4949"/>
      <c r="T4949"/>
      <c r="U4949"/>
    </row>
    <row r="4950" spans="1:21">
      <c r="A4950"/>
      <c r="C4950"/>
      <c r="D4950"/>
      <c r="L4950"/>
      <c r="R4950"/>
      <c r="S4950"/>
      <c r="T4950"/>
      <c r="U4950"/>
    </row>
    <row r="4951" spans="1:21">
      <c r="A4951"/>
      <c r="C4951"/>
      <c r="D4951"/>
      <c r="L4951"/>
      <c r="R4951"/>
      <c r="S4951"/>
      <c r="T4951"/>
      <c r="U4951"/>
    </row>
    <row r="4952" spans="1:21">
      <c r="A4952"/>
      <c r="C4952"/>
      <c r="D4952"/>
      <c r="L4952"/>
      <c r="R4952"/>
      <c r="S4952"/>
      <c r="T4952"/>
      <c r="U4952"/>
    </row>
    <row r="4953" spans="1:21">
      <c r="A4953"/>
      <c r="C4953"/>
      <c r="D4953"/>
      <c r="L4953"/>
      <c r="R4953"/>
      <c r="S4953"/>
      <c r="T4953"/>
      <c r="U4953"/>
    </row>
    <row r="4954" spans="1:21">
      <c r="A4954"/>
      <c r="C4954"/>
      <c r="D4954"/>
      <c r="L4954"/>
      <c r="R4954"/>
      <c r="S4954"/>
      <c r="T4954"/>
      <c r="U4954"/>
    </row>
    <row r="4955" spans="1:21">
      <c r="A4955"/>
      <c r="C4955"/>
      <c r="D4955"/>
      <c r="L4955"/>
      <c r="R4955"/>
      <c r="S4955"/>
      <c r="T4955"/>
      <c r="U4955"/>
    </row>
    <row r="4956" spans="1:21">
      <c r="A4956"/>
      <c r="C4956"/>
      <c r="D4956"/>
      <c r="L4956"/>
      <c r="R4956"/>
      <c r="S4956"/>
      <c r="T4956"/>
      <c r="U4956"/>
    </row>
    <row r="4957" spans="1:21">
      <c r="A4957"/>
      <c r="C4957"/>
      <c r="D4957"/>
      <c r="L4957"/>
      <c r="R4957"/>
      <c r="S4957"/>
      <c r="T4957"/>
      <c r="U4957"/>
    </row>
    <row r="4958" spans="1:21">
      <c r="A4958"/>
      <c r="C4958"/>
      <c r="D4958"/>
      <c r="L4958"/>
      <c r="R4958"/>
      <c r="S4958"/>
      <c r="T4958"/>
      <c r="U4958"/>
    </row>
    <row r="4959" spans="1:21">
      <c r="A4959"/>
      <c r="C4959"/>
      <c r="D4959"/>
      <c r="L4959"/>
      <c r="R4959"/>
      <c r="S4959"/>
      <c r="T4959"/>
      <c r="U4959"/>
    </row>
    <row r="4960" spans="1:21">
      <c r="A4960"/>
      <c r="C4960"/>
      <c r="D4960"/>
      <c r="L4960"/>
      <c r="R4960"/>
      <c r="S4960"/>
      <c r="T4960"/>
      <c r="U4960"/>
    </row>
    <row r="4961" spans="1:21">
      <c r="A4961"/>
      <c r="C4961"/>
      <c r="D4961"/>
      <c r="L4961"/>
      <c r="R4961"/>
      <c r="S4961"/>
      <c r="T4961"/>
      <c r="U4961"/>
    </row>
    <row r="4962" spans="1:21">
      <c r="A4962"/>
      <c r="C4962"/>
      <c r="D4962"/>
      <c r="L4962"/>
      <c r="R4962"/>
      <c r="S4962"/>
      <c r="T4962"/>
      <c r="U4962"/>
    </row>
    <row r="4963" spans="1:21">
      <c r="A4963"/>
      <c r="C4963"/>
      <c r="D4963"/>
      <c r="L4963"/>
      <c r="R4963"/>
      <c r="S4963"/>
      <c r="T4963"/>
      <c r="U4963"/>
    </row>
    <row r="4964" spans="1:21">
      <c r="A4964"/>
      <c r="C4964"/>
      <c r="D4964"/>
      <c r="L4964"/>
      <c r="R4964"/>
      <c r="S4964"/>
      <c r="T4964"/>
      <c r="U4964"/>
    </row>
    <row r="4965" spans="1:21">
      <c r="A4965"/>
      <c r="C4965"/>
      <c r="D4965"/>
      <c r="L4965"/>
      <c r="R4965"/>
      <c r="S4965"/>
      <c r="T4965"/>
      <c r="U4965"/>
    </row>
    <row r="4966" spans="1:21">
      <c r="A4966"/>
      <c r="C4966"/>
      <c r="D4966"/>
      <c r="L4966"/>
      <c r="R4966"/>
      <c r="S4966"/>
      <c r="T4966"/>
      <c r="U4966"/>
    </row>
    <row r="4967" spans="1:21">
      <c r="A4967"/>
      <c r="C4967"/>
      <c r="D4967"/>
      <c r="L4967"/>
      <c r="R4967"/>
      <c r="S4967"/>
      <c r="T4967"/>
      <c r="U4967"/>
    </row>
    <row r="4968" spans="1:21">
      <c r="A4968"/>
      <c r="C4968"/>
      <c r="D4968"/>
      <c r="L4968"/>
      <c r="R4968"/>
      <c r="S4968"/>
      <c r="T4968"/>
      <c r="U4968"/>
    </row>
    <row r="4969" spans="1:21">
      <c r="A4969"/>
      <c r="C4969"/>
      <c r="D4969"/>
      <c r="L4969"/>
      <c r="R4969"/>
      <c r="S4969"/>
      <c r="T4969"/>
      <c r="U4969"/>
    </row>
    <row r="4970" spans="1:21">
      <c r="A4970"/>
      <c r="C4970"/>
      <c r="D4970"/>
      <c r="L4970"/>
      <c r="R4970"/>
      <c r="S4970"/>
      <c r="T4970"/>
      <c r="U4970"/>
    </row>
    <row r="4971" spans="1:21">
      <c r="A4971"/>
      <c r="C4971"/>
      <c r="D4971"/>
      <c r="L4971"/>
      <c r="R4971"/>
      <c r="S4971"/>
      <c r="T4971"/>
      <c r="U4971"/>
    </row>
    <row r="4972" spans="1:21">
      <c r="A4972"/>
      <c r="C4972"/>
      <c r="D4972"/>
      <c r="L4972"/>
      <c r="R4972"/>
      <c r="S4972"/>
      <c r="T4972"/>
      <c r="U4972"/>
    </row>
    <row r="4973" spans="1:21">
      <c r="A4973"/>
      <c r="C4973"/>
      <c r="D4973"/>
      <c r="L4973"/>
      <c r="R4973"/>
      <c r="S4973"/>
      <c r="T4973"/>
      <c r="U4973"/>
    </row>
    <row r="4974" spans="1:21">
      <c r="A4974"/>
      <c r="C4974"/>
      <c r="D4974"/>
      <c r="L4974"/>
      <c r="R4974"/>
      <c r="S4974"/>
      <c r="T4974"/>
      <c r="U4974"/>
    </row>
    <row r="4975" spans="1:21">
      <c r="A4975"/>
      <c r="C4975"/>
      <c r="D4975"/>
      <c r="L4975"/>
      <c r="R4975"/>
      <c r="S4975"/>
      <c r="T4975"/>
      <c r="U4975"/>
    </row>
    <row r="4976" spans="1:21">
      <c r="A4976"/>
      <c r="C4976"/>
      <c r="D4976"/>
      <c r="L4976"/>
      <c r="R4976"/>
      <c r="S4976"/>
      <c r="T4976"/>
      <c r="U4976"/>
    </row>
    <row r="4977" spans="1:21">
      <c r="A4977"/>
      <c r="C4977"/>
      <c r="D4977"/>
      <c r="L4977"/>
      <c r="R4977"/>
      <c r="S4977"/>
      <c r="T4977"/>
      <c r="U4977"/>
    </row>
    <row r="4978" spans="1:21">
      <c r="A4978"/>
      <c r="C4978"/>
      <c r="D4978"/>
      <c r="L4978"/>
      <c r="R4978"/>
      <c r="S4978"/>
      <c r="T4978"/>
      <c r="U4978"/>
    </row>
    <row r="4979" spans="1:21">
      <c r="A4979"/>
      <c r="C4979"/>
      <c r="D4979"/>
      <c r="L4979"/>
      <c r="R4979"/>
      <c r="S4979"/>
      <c r="T4979"/>
      <c r="U4979"/>
    </row>
    <row r="4980" spans="1:21">
      <c r="A4980"/>
      <c r="C4980"/>
      <c r="D4980"/>
      <c r="L4980"/>
      <c r="R4980"/>
      <c r="S4980"/>
      <c r="T4980"/>
      <c r="U4980"/>
    </row>
    <row r="4981" spans="1:21">
      <c r="A4981"/>
      <c r="C4981"/>
      <c r="D4981"/>
      <c r="L4981"/>
      <c r="R4981"/>
      <c r="S4981"/>
      <c r="T4981"/>
      <c r="U4981"/>
    </row>
    <row r="4982" spans="1:21">
      <c r="A4982"/>
      <c r="C4982"/>
      <c r="D4982"/>
      <c r="L4982"/>
      <c r="R4982"/>
      <c r="S4982"/>
      <c r="T4982"/>
      <c r="U4982"/>
    </row>
    <row r="4983" spans="1:21">
      <c r="A4983"/>
      <c r="C4983"/>
      <c r="D4983"/>
      <c r="L4983"/>
      <c r="R4983"/>
      <c r="S4983"/>
      <c r="T4983"/>
      <c r="U4983"/>
    </row>
    <row r="4984" spans="1:21">
      <c r="A4984"/>
      <c r="C4984"/>
      <c r="D4984"/>
      <c r="L4984"/>
      <c r="R4984"/>
      <c r="S4984"/>
      <c r="T4984"/>
      <c r="U4984"/>
    </row>
    <row r="4985" spans="1:21">
      <c r="A4985"/>
      <c r="C4985"/>
      <c r="D4985"/>
      <c r="L4985"/>
      <c r="R4985"/>
      <c r="S4985"/>
      <c r="T4985"/>
      <c r="U4985"/>
    </row>
    <row r="4986" spans="1:21">
      <c r="A4986"/>
      <c r="C4986"/>
      <c r="D4986"/>
      <c r="L4986"/>
      <c r="R4986"/>
      <c r="S4986"/>
      <c r="T4986"/>
      <c r="U4986"/>
    </row>
    <row r="4987" spans="1:21">
      <c r="A4987"/>
      <c r="C4987"/>
      <c r="D4987"/>
      <c r="L4987"/>
      <c r="R4987"/>
      <c r="S4987"/>
      <c r="T4987"/>
      <c r="U4987"/>
    </row>
    <row r="4988" spans="1:21">
      <c r="A4988"/>
      <c r="C4988"/>
      <c r="D4988"/>
      <c r="L4988"/>
      <c r="R4988"/>
      <c r="S4988"/>
      <c r="T4988"/>
      <c r="U4988"/>
    </row>
    <row r="4989" spans="1:21">
      <c r="A4989"/>
      <c r="C4989"/>
      <c r="D4989"/>
      <c r="L4989"/>
      <c r="R4989"/>
      <c r="S4989"/>
      <c r="T4989"/>
      <c r="U4989"/>
    </row>
    <row r="4990" spans="1:21">
      <c r="A4990"/>
      <c r="C4990"/>
      <c r="D4990"/>
      <c r="L4990"/>
      <c r="R4990"/>
      <c r="S4990"/>
      <c r="T4990"/>
      <c r="U4990"/>
    </row>
    <row r="4991" spans="1:21">
      <c r="A4991"/>
      <c r="C4991"/>
      <c r="D4991"/>
      <c r="L4991"/>
      <c r="R4991"/>
      <c r="S4991"/>
      <c r="T4991"/>
      <c r="U4991"/>
    </row>
    <row r="4992" spans="1:21">
      <c r="A4992"/>
      <c r="C4992"/>
      <c r="D4992"/>
      <c r="L4992"/>
      <c r="R4992"/>
      <c r="S4992"/>
      <c r="T4992"/>
      <c r="U4992"/>
    </row>
    <row r="4993" spans="1:21">
      <c r="A4993"/>
      <c r="C4993"/>
      <c r="D4993"/>
      <c r="L4993"/>
      <c r="R4993"/>
      <c r="S4993"/>
      <c r="T4993"/>
      <c r="U4993"/>
    </row>
    <row r="4994" spans="1:21">
      <c r="A4994"/>
      <c r="C4994"/>
      <c r="D4994"/>
      <c r="L4994"/>
      <c r="R4994"/>
      <c r="S4994"/>
      <c r="T4994"/>
      <c r="U4994"/>
    </row>
    <row r="4995" spans="1:21">
      <c r="A4995"/>
      <c r="C4995"/>
      <c r="D4995"/>
      <c r="L4995"/>
      <c r="R4995"/>
      <c r="S4995"/>
      <c r="T4995"/>
      <c r="U4995"/>
    </row>
    <row r="4996" spans="1:21">
      <c r="A4996"/>
      <c r="C4996"/>
      <c r="D4996"/>
      <c r="L4996"/>
      <c r="R4996"/>
      <c r="S4996"/>
      <c r="T4996"/>
      <c r="U4996"/>
    </row>
    <row r="4997" spans="1:21">
      <c r="A4997"/>
      <c r="C4997"/>
      <c r="D4997"/>
      <c r="L4997"/>
      <c r="R4997"/>
      <c r="S4997"/>
      <c r="T4997"/>
      <c r="U4997"/>
    </row>
    <row r="4998" spans="1:21">
      <c r="A4998"/>
      <c r="C4998"/>
      <c r="D4998"/>
      <c r="L4998"/>
      <c r="R4998"/>
      <c r="S4998"/>
      <c r="T4998"/>
      <c r="U4998"/>
    </row>
    <row r="4999" spans="1:21">
      <c r="A4999"/>
      <c r="C4999"/>
      <c r="D4999"/>
      <c r="L4999"/>
      <c r="R4999"/>
      <c r="S4999"/>
      <c r="T4999"/>
      <c r="U4999"/>
    </row>
    <row r="5000" spans="1:21">
      <c r="A5000"/>
      <c r="C5000"/>
      <c r="D5000"/>
      <c r="L5000"/>
      <c r="R5000"/>
      <c r="S5000"/>
      <c r="T5000"/>
      <c r="U5000"/>
    </row>
    <row r="5001" spans="1:21">
      <c r="A5001"/>
      <c r="C5001"/>
      <c r="D5001"/>
      <c r="L5001"/>
      <c r="R5001"/>
      <c r="S5001"/>
      <c r="T5001"/>
      <c r="U5001"/>
    </row>
    <row r="5002" spans="1:21">
      <c r="A5002"/>
      <c r="C5002"/>
      <c r="D5002"/>
      <c r="L5002"/>
      <c r="R5002"/>
      <c r="S5002"/>
      <c r="T5002"/>
      <c r="U5002"/>
    </row>
    <row r="5003" spans="1:21">
      <c r="A5003"/>
      <c r="C5003"/>
      <c r="D5003"/>
      <c r="L5003"/>
      <c r="R5003"/>
      <c r="S5003"/>
      <c r="T5003"/>
      <c r="U5003"/>
    </row>
    <row r="5004" spans="1:21">
      <c r="A5004"/>
      <c r="C5004"/>
      <c r="D5004"/>
      <c r="L5004"/>
      <c r="R5004"/>
      <c r="S5004"/>
      <c r="T5004"/>
      <c r="U5004"/>
    </row>
    <row r="5005" spans="1:21">
      <c r="A5005"/>
      <c r="C5005"/>
      <c r="D5005"/>
      <c r="L5005"/>
      <c r="R5005"/>
      <c r="S5005"/>
      <c r="T5005"/>
      <c r="U5005"/>
    </row>
    <row r="5006" spans="1:21">
      <c r="A5006"/>
      <c r="C5006"/>
      <c r="D5006"/>
      <c r="L5006"/>
      <c r="R5006"/>
      <c r="S5006"/>
      <c r="T5006"/>
      <c r="U5006"/>
    </row>
    <row r="5007" spans="1:21">
      <c r="A5007"/>
      <c r="C5007"/>
      <c r="D5007"/>
      <c r="L5007"/>
      <c r="R5007"/>
      <c r="S5007"/>
      <c r="T5007"/>
      <c r="U5007"/>
    </row>
    <row r="5008" spans="1:21">
      <c r="A5008"/>
      <c r="C5008"/>
      <c r="D5008"/>
      <c r="L5008"/>
      <c r="R5008"/>
      <c r="S5008"/>
      <c r="T5008"/>
      <c r="U5008"/>
    </row>
    <row r="5009" spans="1:21">
      <c r="A5009"/>
      <c r="C5009"/>
      <c r="D5009"/>
      <c r="L5009"/>
      <c r="R5009"/>
      <c r="S5009"/>
      <c r="T5009"/>
      <c r="U5009"/>
    </row>
    <row r="5010" spans="1:21">
      <c r="A5010"/>
      <c r="C5010"/>
      <c r="D5010"/>
      <c r="L5010"/>
      <c r="R5010"/>
      <c r="S5010"/>
      <c r="T5010"/>
      <c r="U5010"/>
    </row>
    <row r="5011" spans="1:21">
      <c r="A5011"/>
      <c r="C5011"/>
      <c r="D5011"/>
      <c r="L5011"/>
      <c r="R5011"/>
      <c r="S5011"/>
      <c r="T5011"/>
      <c r="U5011"/>
    </row>
    <row r="5012" spans="1:21">
      <c r="A5012"/>
      <c r="C5012"/>
      <c r="D5012"/>
      <c r="L5012"/>
      <c r="R5012"/>
      <c r="S5012"/>
      <c r="T5012"/>
      <c r="U5012"/>
    </row>
    <row r="5013" spans="1:21">
      <c r="A5013"/>
      <c r="C5013"/>
      <c r="D5013"/>
      <c r="L5013"/>
      <c r="R5013"/>
      <c r="S5013"/>
      <c r="T5013"/>
      <c r="U5013"/>
    </row>
    <row r="5014" spans="1:21">
      <c r="A5014"/>
      <c r="C5014"/>
      <c r="D5014"/>
      <c r="L5014"/>
      <c r="R5014"/>
      <c r="S5014"/>
      <c r="T5014"/>
      <c r="U5014"/>
    </row>
    <row r="5015" spans="1:21">
      <c r="A5015"/>
      <c r="C5015"/>
      <c r="D5015"/>
      <c r="L5015"/>
      <c r="R5015"/>
      <c r="S5015"/>
      <c r="T5015"/>
      <c r="U5015"/>
    </row>
    <row r="5016" spans="1:21">
      <c r="A5016"/>
      <c r="C5016"/>
      <c r="D5016"/>
      <c r="L5016"/>
      <c r="R5016"/>
      <c r="S5016"/>
      <c r="T5016"/>
      <c r="U5016"/>
    </row>
    <row r="5017" spans="1:21">
      <c r="A5017"/>
      <c r="C5017"/>
      <c r="D5017"/>
      <c r="L5017"/>
      <c r="R5017"/>
      <c r="S5017"/>
      <c r="T5017"/>
      <c r="U5017"/>
    </row>
    <row r="5018" spans="1:21">
      <c r="A5018"/>
      <c r="C5018"/>
      <c r="D5018"/>
      <c r="L5018"/>
      <c r="R5018"/>
      <c r="S5018"/>
      <c r="T5018"/>
      <c r="U5018"/>
    </row>
    <row r="5019" spans="1:21">
      <c r="A5019"/>
      <c r="C5019"/>
      <c r="D5019"/>
      <c r="L5019"/>
      <c r="R5019"/>
      <c r="S5019"/>
      <c r="T5019"/>
      <c r="U5019"/>
    </row>
    <row r="5020" spans="1:21">
      <c r="A5020"/>
      <c r="C5020"/>
      <c r="D5020"/>
      <c r="L5020"/>
      <c r="R5020"/>
      <c r="S5020"/>
      <c r="T5020"/>
      <c r="U5020"/>
    </row>
    <row r="5021" spans="1:21">
      <c r="A5021"/>
      <c r="C5021"/>
      <c r="D5021"/>
      <c r="L5021"/>
      <c r="R5021"/>
      <c r="S5021"/>
      <c r="T5021"/>
      <c r="U5021"/>
    </row>
    <row r="5022" spans="1:21">
      <c r="A5022"/>
      <c r="C5022"/>
      <c r="D5022"/>
      <c r="L5022"/>
      <c r="R5022"/>
      <c r="S5022"/>
      <c r="T5022"/>
      <c r="U5022"/>
    </row>
    <row r="5023" spans="1:21">
      <c r="A5023"/>
      <c r="C5023"/>
      <c r="D5023"/>
      <c r="L5023"/>
      <c r="R5023"/>
      <c r="S5023"/>
      <c r="T5023"/>
      <c r="U5023"/>
    </row>
    <row r="5024" spans="1:21">
      <c r="A5024"/>
      <c r="C5024"/>
      <c r="D5024"/>
      <c r="L5024"/>
      <c r="R5024"/>
      <c r="S5024"/>
      <c r="T5024"/>
      <c r="U5024"/>
    </row>
    <row r="5025" spans="1:21">
      <c r="A5025"/>
      <c r="C5025"/>
      <c r="D5025"/>
      <c r="L5025"/>
      <c r="R5025"/>
      <c r="S5025"/>
      <c r="T5025"/>
      <c r="U5025"/>
    </row>
    <row r="5026" spans="1:21">
      <c r="A5026"/>
      <c r="C5026"/>
      <c r="D5026"/>
      <c r="L5026"/>
      <c r="R5026"/>
      <c r="S5026"/>
      <c r="T5026"/>
      <c r="U5026"/>
    </row>
    <row r="5027" spans="1:21">
      <c r="A5027"/>
      <c r="C5027"/>
      <c r="D5027"/>
      <c r="L5027"/>
      <c r="R5027"/>
      <c r="S5027"/>
      <c r="T5027"/>
      <c r="U5027"/>
    </row>
    <row r="5028" spans="1:21">
      <c r="A5028"/>
      <c r="C5028"/>
      <c r="D5028"/>
      <c r="L5028"/>
      <c r="R5028"/>
      <c r="S5028"/>
      <c r="T5028"/>
      <c r="U5028"/>
    </row>
    <row r="5029" spans="1:21">
      <c r="A5029"/>
      <c r="C5029"/>
      <c r="D5029"/>
      <c r="L5029"/>
      <c r="R5029"/>
      <c r="S5029"/>
      <c r="T5029"/>
      <c r="U5029"/>
    </row>
    <row r="5030" spans="1:21">
      <c r="A5030"/>
      <c r="C5030"/>
      <c r="D5030"/>
      <c r="L5030"/>
      <c r="R5030"/>
      <c r="S5030"/>
      <c r="T5030"/>
      <c r="U5030"/>
    </row>
    <row r="5031" spans="1:21">
      <c r="A5031"/>
      <c r="C5031"/>
      <c r="D5031"/>
      <c r="L5031"/>
      <c r="R5031"/>
      <c r="S5031"/>
      <c r="T5031"/>
      <c r="U5031"/>
    </row>
    <row r="5032" spans="1:21">
      <c r="A5032"/>
      <c r="C5032"/>
      <c r="D5032"/>
      <c r="L5032"/>
      <c r="R5032"/>
      <c r="S5032"/>
      <c r="T5032"/>
      <c r="U5032"/>
    </row>
    <row r="5033" spans="1:21">
      <c r="A5033"/>
      <c r="C5033"/>
      <c r="D5033"/>
      <c r="L5033"/>
      <c r="R5033"/>
      <c r="S5033"/>
      <c r="T5033"/>
      <c r="U5033"/>
    </row>
    <row r="5034" spans="1:21">
      <c r="A5034"/>
      <c r="C5034"/>
      <c r="D5034"/>
      <c r="L5034"/>
      <c r="R5034"/>
      <c r="S5034"/>
      <c r="T5034"/>
      <c r="U5034"/>
    </row>
    <row r="5035" spans="1:21">
      <c r="A5035"/>
      <c r="C5035"/>
      <c r="D5035"/>
      <c r="L5035"/>
      <c r="R5035"/>
      <c r="S5035"/>
      <c r="T5035"/>
      <c r="U5035"/>
    </row>
    <row r="5036" spans="1:21">
      <c r="A5036"/>
      <c r="C5036"/>
      <c r="D5036"/>
      <c r="L5036"/>
      <c r="R5036"/>
      <c r="S5036"/>
      <c r="T5036"/>
      <c r="U5036"/>
    </row>
    <row r="5037" spans="1:21">
      <c r="A5037"/>
      <c r="C5037"/>
      <c r="D5037"/>
      <c r="L5037"/>
      <c r="R5037"/>
      <c r="S5037"/>
      <c r="T5037"/>
      <c r="U5037"/>
    </row>
    <row r="5038" spans="1:21">
      <c r="A5038"/>
      <c r="C5038"/>
      <c r="D5038"/>
      <c r="L5038"/>
      <c r="R5038"/>
      <c r="S5038"/>
      <c r="T5038"/>
      <c r="U5038"/>
    </row>
    <row r="5039" spans="1:21">
      <c r="A5039"/>
      <c r="C5039"/>
      <c r="D5039"/>
      <c r="L5039"/>
      <c r="R5039"/>
      <c r="S5039"/>
      <c r="T5039"/>
      <c r="U5039"/>
    </row>
    <row r="5040" spans="1:21">
      <c r="A5040"/>
      <c r="C5040"/>
      <c r="D5040"/>
      <c r="L5040"/>
      <c r="R5040"/>
      <c r="S5040"/>
      <c r="T5040"/>
      <c r="U5040"/>
    </row>
    <row r="5041" spans="1:21">
      <c r="A5041"/>
      <c r="C5041"/>
      <c r="D5041"/>
      <c r="L5041"/>
      <c r="R5041"/>
      <c r="S5041"/>
      <c r="T5041"/>
      <c r="U5041"/>
    </row>
    <row r="5042" spans="1:21">
      <c r="A5042"/>
      <c r="C5042"/>
      <c r="D5042"/>
      <c r="L5042"/>
      <c r="R5042"/>
      <c r="S5042"/>
      <c r="T5042"/>
      <c r="U5042"/>
    </row>
    <row r="5043" spans="1:21">
      <c r="A5043"/>
      <c r="C5043"/>
      <c r="D5043"/>
      <c r="L5043"/>
      <c r="R5043"/>
      <c r="S5043"/>
      <c r="T5043"/>
      <c r="U5043"/>
    </row>
    <row r="5044" spans="1:21">
      <c r="A5044"/>
      <c r="C5044"/>
      <c r="D5044"/>
      <c r="L5044"/>
      <c r="R5044"/>
      <c r="S5044"/>
      <c r="T5044"/>
      <c r="U5044"/>
    </row>
    <row r="5045" spans="1:21">
      <c r="A5045"/>
      <c r="C5045"/>
      <c r="D5045"/>
      <c r="L5045"/>
      <c r="R5045"/>
      <c r="S5045"/>
      <c r="T5045"/>
      <c r="U5045"/>
    </row>
    <row r="5046" spans="1:21">
      <c r="A5046"/>
      <c r="C5046"/>
      <c r="D5046"/>
      <c r="L5046"/>
      <c r="R5046"/>
      <c r="S5046"/>
      <c r="T5046"/>
      <c r="U5046"/>
    </row>
    <row r="5047" spans="1:21">
      <c r="A5047"/>
      <c r="C5047"/>
      <c r="D5047"/>
      <c r="L5047"/>
      <c r="R5047"/>
      <c r="S5047"/>
      <c r="T5047"/>
      <c r="U5047"/>
    </row>
    <row r="5048" spans="1:21">
      <c r="A5048"/>
      <c r="C5048"/>
      <c r="D5048"/>
      <c r="L5048"/>
      <c r="R5048"/>
      <c r="S5048"/>
      <c r="T5048"/>
      <c r="U5048"/>
    </row>
    <row r="5049" spans="1:21">
      <c r="A5049"/>
      <c r="C5049"/>
      <c r="D5049"/>
      <c r="L5049"/>
      <c r="R5049"/>
      <c r="S5049"/>
      <c r="T5049"/>
      <c r="U5049"/>
    </row>
    <row r="5050" spans="1:21">
      <c r="A5050"/>
      <c r="C5050"/>
      <c r="D5050"/>
      <c r="L5050"/>
      <c r="R5050"/>
      <c r="S5050"/>
      <c r="T5050"/>
      <c r="U5050"/>
    </row>
    <row r="5051" spans="1:21">
      <c r="A5051"/>
      <c r="C5051"/>
      <c r="D5051"/>
      <c r="L5051"/>
      <c r="R5051"/>
      <c r="S5051"/>
      <c r="T5051"/>
      <c r="U5051"/>
    </row>
    <row r="5052" spans="1:21">
      <c r="A5052"/>
      <c r="C5052"/>
      <c r="D5052"/>
      <c r="L5052"/>
      <c r="R5052"/>
      <c r="S5052"/>
      <c r="T5052"/>
      <c r="U5052"/>
    </row>
    <row r="5053" spans="1:21">
      <c r="A5053"/>
      <c r="C5053"/>
      <c r="D5053"/>
      <c r="L5053"/>
      <c r="R5053"/>
      <c r="S5053"/>
      <c r="T5053"/>
      <c r="U5053"/>
    </row>
    <row r="5054" spans="1:21">
      <c r="A5054"/>
      <c r="C5054"/>
      <c r="D5054"/>
      <c r="L5054"/>
      <c r="R5054"/>
      <c r="S5054"/>
      <c r="T5054"/>
      <c r="U5054"/>
    </row>
    <row r="5055" spans="1:21">
      <c r="A5055"/>
      <c r="C5055"/>
      <c r="D5055"/>
      <c r="L5055"/>
      <c r="R5055"/>
      <c r="S5055"/>
      <c r="T5055"/>
      <c r="U5055"/>
    </row>
    <row r="5056" spans="1:21">
      <c r="A5056"/>
      <c r="C5056"/>
      <c r="D5056"/>
      <c r="L5056"/>
      <c r="R5056"/>
      <c r="S5056"/>
      <c r="T5056"/>
      <c r="U5056"/>
    </row>
    <row r="5057" spans="1:21">
      <c r="A5057"/>
      <c r="C5057"/>
      <c r="D5057"/>
      <c r="L5057"/>
      <c r="R5057"/>
      <c r="S5057"/>
      <c r="T5057"/>
      <c r="U5057"/>
    </row>
    <row r="5058" spans="1:21">
      <c r="A5058"/>
      <c r="C5058"/>
      <c r="D5058"/>
      <c r="L5058"/>
      <c r="R5058"/>
      <c r="S5058"/>
      <c r="T5058"/>
      <c r="U5058"/>
    </row>
    <row r="5059" spans="1:21">
      <c r="A5059"/>
      <c r="C5059"/>
      <c r="D5059"/>
      <c r="L5059"/>
      <c r="R5059"/>
      <c r="S5059"/>
      <c r="T5059"/>
      <c r="U5059"/>
    </row>
    <row r="5060" spans="1:21">
      <c r="A5060"/>
      <c r="C5060"/>
      <c r="D5060"/>
      <c r="L5060"/>
      <c r="R5060"/>
      <c r="S5060"/>
      <c r="T5060"/>
      <c r="U5060"/>
    </row>
    <row r="5061" spans="1:21">
      <c r="A5061"/>
      <c r="C5061"/>
      <c r="D5061"/>
      <c r="L5061"/>
      <c r="R5061"/>
      <c r="S5061"/>
      <c r="T5061"/>
      <c r="U5061"/>
    </row>
    <row r="5062" spans="1:21">
      <c r="A5062"/>
      <c r="C5062"/>
      <c r="D5062"/>
      <c r="L5062"/>
      <c r="R5062"/>
      <c r="S5062"/>
      <c r="T5062"/>
      <c r="U5062"/>
    </row>
    <row r="5063" spans="1:21">
      <c r="A5063"/>
      <c r="C5063"/>
      <c r="D5063"/>
      <c r="L5063"/>
      <c r="R5063"/>
      <c r="S5063"/>
      <c r="T5063"/>
      <c r="U5063"/>
    </row>
    <row r="5064" spans="1:21">
      <c r="A5064"/>
      <c r="C5064"/>
      <c r="D5064"/>
      <c r="L5064"/>
      <c r="R5064"/>
      <c r="S5064"/>
      <c r="T5064"/>
      <c r="U5064"/>
    </row>
    <row r="5065" spans="1:21">
      <c r="A5065"/>
      <c r="C5065"/>
      <c r="D5065"/>
      <c r="L5065"/>
      <c r="R5065"/>
      <c r="S5065"/>
      <c r="T5065"/>
      <c r="U5065"/>
    </row>
    <row r="5066" spans="1:21">
      <c r="A5066"/>
      <c r="C5066"/>
      <c r="D5066"/>
      <c r="L5066"/>
      <c r="R5066"/>
      <c r="S5066"/>
      <c r="T5066"/>
      <c r="U5066"/>
    </row>
    <row r="5067" spans="1:21">
      <c r="A5067"/>
      <c r="C5067"/>
      <c r="D5067"/>
      <c r="L5067"/>
      <c r="R5067"/>
      <c r="S5067"/>
      <c r="T5067"/>
      <c r="U5067"/>
    </row>
    <row r="5068" spans="1:21">
      <c r="A5068"/>
      <c r="C5068"/>
      <c r="D5068"/>
      <c r="L5068"/>
      <c r="R5068"/>
      <c r="S5068"/>
      <c r="T5068"/>
      <c r="U5068"/>
    </row>
    <row r="5069" spans="1:21">
      <c r="A5069"/>
      <c r="C5069"/>
      <c r="D5069"/>
      <c r="L5069"/>
      <c r="R5069"/>
      <c r="S5069"/>
      <c r="T5069"/>
      <c r="U5069"/>
    </row>
    <row r="5070" spans="1:21">
      <c r="A5070"/>
      <c r="C5070"/>
      <c r="D5070"/>
      <c r="L5070"/>
      <c r="R5070"/>
      <c r="S5070"/>
      <c r="T5070"/>
      <c r="U5070"/>
    </row>
    <row r="5071" spans="1:21">
      <c r="A5071"/>
      <c r="C5071"/>
      <c r="D5071"/>
      <c r="L5071"/>
      <c r="R5071"/>
      <c r="S5071"/>
      <c r="T5071"/>
      <c r="U5071"/>
    </row>
    <row r="5072" spans="1:21">
      <c r="A5072"/>
      <c r="C5072"/>
      <c r="D5072"/>
      <c r="L5072"/>
      <c r="R5072"/>
      <c r="S5072"/>
      <c r="T5072"/>
      <c r="U5072"/>
    </row>
    <row r="5073" spans="1:21">
      <c r="A5073"/>
      <c r="C5073"/>
      <c r="D5073"/>
      <c r="L5073"/>
      <c r="R5073"/>
      <c r="S5073"/>
      <c r="T5073"/>
      <c r="U5073"/>
    </row>
    <row r="5074" spans="1:21">
      <c r="A5074"/>
      <c r="C5074"/>
      <c r="D5074"/>
      <c r="L5074"/>
      <c r="R5074"/>
      <c r="S5074"/>
      <c r="T5074"/>
      <c r="U5074"/>
    </row>
    <row r="5075" spans="1:21">
      <c r="A5075"/>
      <c r="C5075"/>
      <c r="D5075"/>
      <c r="L5075"/>
      <c r="R5075"/>
      <c r="S5075"/>
      <c r="T5075"/>
      <c r="U5075"/>
    </row>
    <row r="5076" spans="1:21">
      <c r="A5076"/>
      <c r="C5076"/>
      <c r="D5076"/>
      <c r="L5076"/>
      <c r="R5076"/>
      <c r="S5076"/>
      <c r="T5076"/>
      <c r="U5076"/>
    </row>
    <row r="5077" spans="1:21">
      <c r="A5077"/>
      <c r="C5077"/>
      <c r="D5077"/>
      <c r="L5077"/>
      <c r="R5077"/>
      <c r="S5077"/>
      <c r="T5077"/>
      <c r="U5077"/>
    </row>
    <row r="5078" spans="1:21">
      <c r="A5078"/>
      <c r="C5078"/>
      <c r="D5078"/>
      <c r="L5078"/>
      <c r="R5078"/>
      <c r="S5078"/>
      <c r="T5078"/>
      <c r="U5078"/>
    </row>
    <row r="5079" spans="1:21">
      <c r="A5079"/>
      <c r="C5079"/>
      <c r="D5079"/>
      <c r="L5079"/>
      <c r="R5079"/>
      <c r="S5079"/>
      <c r="T5079"/>
      <c r="U5079"/>
    </row>
    <row r="5080" spans="1:21">
      <c r="A5080"/>
      <c r="C5080"/>
      <c r="D5080"/>
      <c r="L5080"/>
      <c r="R5080"/>
      <c r="S5080"/>
      <c r="T5080"/>
      <c r="U5080"/>
    </row>
    <row r="5081" spans="1:21">
      <c r="A5081"/>
      <c r="C5081"/>
      <c r="D5081"/>
      <c r="L5081"/>
      <c r="R5081"/>
      <c r="S5081"/>
      <c r="T5081"/>
      <c r="U5081"/>
    </row>
    <row r="5082" spans="1:21">
      <c r="A5082"/>
      <c r="C5082"/>
      <c r="D5082"/>
      <c r="L5082"/>
      <c r="R5082"/>
      <c r="S5082"/>
      <c r="T5082"/>
      <c r="U5082"/>
    </row>
    <row r="5083" spans="1:21">
      <c r="A5083"/>
      <c r="C5083"/>
      <c r="D5083"/>
      <c r="L5083"/>
      <c r="R5083"/>
      <c r="S5083"/>
      <c r="T5083"/>
      <c r="U5083"/>
    </row>
    <row r="5084" spans="1:21">
      <c r="A5084"/>
      <c r="C5084"/>
      <c r="D5084"/>
      <c r="L5084"/>
      <c r="R5084"/>
      <c r="S5084"/>
      <c r="T5084"/>
      <c r="U5084"/>
    </row>
    <row r="5085" spans="1:21">
      <c r="A5085"/>
      <c r="C5085"/>
      <c r="D5085"/>
      <c r="L5085"/>
      <c r="R5085"/>
      <c r="S5085"/>
      <c r="T5085"/>
      <c r="U5085"/>
    </row>
    <row r="5086" spans="1:21">
      <c r="A5086"/>
      <c r="C5086"/>
      <c r="D5086"/>
      <c r="L5086"/>
      <c r="R5086"/>
      <c r="S5086"/>
      <c r="T5086"/>
      <c r="U5086"/>
    </row>
    <row r="5087" spans="1:21">
      <c r="A5087"/>
      <c r="C5087"/>
      <c r="D5087"/>
      <c r="L5087"/>
      <c r="R5087"/>
      <c r="S5087"/>
      <c r="T5087"/>
      <c r="U5087"/>
    </row>
    <row r="5088" spans="1:21">
      <c r="A5088"/>
      <c r="C5088"/>
      <c r="D5088"/>
      <c r="L5088"/>
      <c r="R5088"/>
      <c r="S5088"/>
      <c r="T5088"/>
      <c r="U5088"/>
    </row>
    <row r="5089" spans="1:21">
      <c r="A5089"/>
      <c r="C5089"/>
      <c r="D5089"/>
      <c r="L5089"/>
      <c r="R5089"/>
      <c r="S5089"/>
      <c r="T5089"/>
      <c r="U5089"/>
    </row>
    <row r="5090" spans="1:21">
      <c r="A5090"/>
      <c r="C5090"/>
      <c r="D5090"/>
      <c r="L5090"/>
      <c r="R5090"/>
      <c r="S5090"/>
      <c r="T5090"/>
      <c r="U5090"/>
    </row>
    <row r="5091" spans="1:21">
      <c r="A5091"/>
      <c r="C5091"/>
      <c r="D5091"/>
      <c r="L5091"/>
      <c r="R5091"/>
      <c r="S5091"/>
      <c r="T5091"/>
      <c r="U5091"/>
    </row>
    <row r="5092" spans="1:21">
      <c r="A5092"/>
      <c r="C5092"/>
      <c r="D5092"/>
      <c r="L5092"/>
      <c r="R5092"/>
      <c r="S5092"/>
      <c r="T5092"/>
      <c r="U5092"/>
    </row>
    <row r="5093" spans="1:21">
      <c r="A5093"/>
      <c r="C5093"/>
      <c r="D5093"/>
      <c r="L5093"/>
      <c r="R5093"/>
      <c r="S5093"/>
      <c r="T5093"/>
      <c r="U5093"/>
    </row>
    <row r="5094" spans="1:21">
      <c r="A5094"/>
      <c r="C5094"/>
      <c r="D5094"/>
      <c r="L5094"/>
      <c r="R5094"/>
      <c r="S5094"/>
      <c r="T5094"/>
      <c r="U5094"/>
    </row>
    <row r="5095" spans="1:21">
      <c r="A5095"/>
      <c r="C5095"/>
      <c r="D5095"/>
      <c r="L5095"/>
      <c r="R5095"/>
      <c r="S5095"/>
      <c r="T5095"/>
      <c r="U5095"/>
    </row>
    <row r="5096" spans="1:21">
      <c r="A5096"/>
      <c r="C5096"/>
      <c r="D5096"/>
      <c r="L5096"/>
      <c r="R5096"/>
      <c r="S5096"/>
      <c r="T5096"/>
      <c r="U5096"/>
    </row>
    <row r="5097" spans="1:21">
      <c r="A5097"/>
      <c r="C5097"/>
      <c r="D5097"/>
      <c r="L5097"/>
      <c r="R5097"/>
      <c r="S5097"/>
      <c r="T5097"/>
      <c r="U5097"/>
    </row>
    <row r="5098" spans="1:21">
      <c r="A5098"/>
      <c r="C5098"/>
      <c r="D5098"/>
      <c r="L5098"/>
      <c r="R5098"/>
      <c r="S5098"/>
      <c r="T5098"/>
      <c r="U5098"/>
    </row>
    <row r="5099" spans="1:21">
      <c r="A5099"/>
      <c r="C5099"/>
      <c r="D5099"/>
      <c r="L5099"/>
      <c r="R5099"/>
      <c r="S5099"/>
      <c r="T5099"/>
      <c r="U5099"/>
    </row>
    <row r="5100" spans="1:21">
      <c r="A5100"/>
      <c r="C5100"/>
      <c r="D5100"/>
      <c r="L5100"/>
      <c r="R5100"/>
      <c r="S5100"/>
      <c r="T5100"/>
      <c r="U5100"/>
    </row>
    <row r="5101" spans="1:21">
      <c r="A5101"/>
      <c r="C5101"/>
      <c r="D5101"/>
      <c r="L5101"/>
      <c r="R5101"/>
      <c r="S5101"/>
      <c r="T5101"/>
      <c r="U5101"/>
    </row>
    <row r="5102" spans="1:21">
      <c r="A5102"/>
      <c r="C5102"/>
      <c r="D5102"/>
      <c r="L5102"/>
      <c r="R5102"/>
      <c r="S5102"/>
      <c r="T5102"/>
      <c r="U5102"/>
    </row>
    <row r="5103" spans="1:21">
      <c r="A5103"/>
      <c r="C5103"/>
      <c r="D5103"/>
      <c r="L5103"/>
      <c r="R5103"/>
      <c r="S5103"/>
      <c r="T5103"/>
      <c r="U5103"/>
    </row>
    <row r="5104" spans="1:21">
      <c r="A5104"/>
      <c r="C5104"/>
      <c r="D5104"/>
      <c r="L5104"/>
      <c r="R5104"/>
      <c r="S5104"/>
      <c r="T5104"/>
      <c r="U5104"/>
    </row>
    <row r="5105" spans="1:21">
      <c r="A5105"/>
      <c r="C5105"/>
      <c r="D5105"/>
      <c r="L5105"/>
      <c r="R5105"/>
      <c r="S5105"/>
      <c r="T5105"/>
      <c r="U5105"/>
    </row>
    <row r="5106" spans="1:21">
      <c r="A5106"/>
      <c r="C5106"/>
      <c r="D5106"/>
      <c r="L5106"/>
      <c r="R5106"/>
      <c r="S5106"/>
      <c r="T5106"/>
      <c r="U5106"/>
    </row>
    <row r="5107" spans="1:21">
      <c r="A5107"/>
      <c r="C5107"/>
      <c r="D5107"/>
      <c r="L5107"/>
      <c r="R5107"/>
      <c r="S5107"/>
      <c r="T5107"/>
      <c r="U5107"/>
    </row>
    <row r="5108" spans="1:21">
      <c r="A5108"/>
      <c r="C5108"/>
      <c r="D5108"/>
      <c r="L5108"/>
      <c r="R5108"/>
      <c r="S5108"/>
      <c r="T5108"/>
      <c r="U5108"/>
    </row>
    <row r="5109" spans="1:21">
      <c r="A5109"/>
      <c r="C5109"/>
      <c r="D5109"/>
      <c r="L5109"/>
      <c r="R5109"/>
      <c r="S5109"/>
      <c r="T5109"/>
      <c r="U5109"/>
    </row>
    <row r="5110" spans="1:21">
      <c r="A5110"/>
      <c r="C5110"/>
      <c r="D5110"/>
      <c r="L5110"/>
      <c r="R5110"/>
      <c r="S5110"/>
      <c r="T5110"/>
      <c r="U5110"/>
    </row>
    <row r="5111" spans="1:21">
      <c r="A5111"/>
      <c r="C5111"/>
      <c r="D5111"/>
      <c r="L5111"/>
      <c r="R5111"/>
      <c r="S5111"/>
      <c r="T5111"/>
      <c r="U5111"/>
    </row>
    <row r="5112" spans="1:21">
      <c r="A5112"/>
      <c r="C5112"/>
      <c r="D5112"/>
      <c r="L5112"/>
      <c r="R5112"/>
      <c r="S5112"/>
      <c r="T5112"/>
      <c r="U5112"/>
    </row>
    <row r="5113" spans="1:21">
      <c r="A5113"/>
      <c r="C5113"/>
      <c r="D5113"/>
      <c r="L5113"/>
      <c r="R5113"/>
      <c r="S5113"/>
      <c r="T5113"/>
      <c r="U5113"/>
    </row>
    <row r="5114" spans="1:21">
      <c r="A5114"/>
      <c r="C5114"/>
      <c r="D5114"/>
      <c r="L5114"/>
      <c r="R5114"/>
      <c r="S5114"/>
      <c r="T5114"/>
      <c r="U5114"/>
    </row>
    <row r="5115" spans="1:21">
      <c r="A5115"/>
      <c r="C5115"/>
      <c r="D5115"/>
      <c r="L5115"/>
      <c r="R5115"/>
      <c r="S5115"/>
      <c r="T5115"/>
      <c r="U5115"/>
    </row>
    <row r="5116" spans="1:21">
      <c r="A5116"/>
      <c r="C5116"/>
      <c r="D5116"/>
      <c r="L5116"/>
      <c r="R5116"/>
      <c r="S5116"/>
      <c r="T5116"/>
      <c r="U5116"/>
    </row>
    <row r="5117" spans="1:21">
      <c r="A5117"/>
      <c r="C5117"/>
      <c r="D5117"/>
      <c r="L5117"/>
      <c r="R5117"/>
      <c r="S5117"/>
      <c r="T5117"/>
      <c r="U5117"/>
    </row>
    <row r="5118" spans="1:21">
      <c r="A5118"/>
      <c r="C5118"/>
      <c r="D5118"/>
      <c r="L5118"/>
      <c r="R5118"/>
      <c r="S5118"/>
      <c r="T5118"/>
      <c r="U5118"/>
    </row>
    <row r="5119" spans="1:21">
      <c r="A5119"/>
      <c r="C5119"/>
      <c r="D5119"/>
      <c r="L5119"/>
      <c r="R5119"/>
      <c r="S5119"/>
      <c r="T5119"/>
      <c r="U5119"/>
    </row>
    <row r="5120" spans="1:21">
      <c r="A5120"/>
      <c r="C5120"/>
      <c r="D5120"/>
      <c r="L5120"/>
      <c r="R5120"/>
      <c r="S5120"/>
      <c r="T5120"/>
      <c r="U5120"/>
    </row>
    <row r="5121" spans="1:21">
      <c r="A5121"/>
      <c r="C5121"/>
      <c r="D5121"/>
      <c r="L5121"/>
      <c r="R5121"/>
      <c r="S5121"/>
      <c r="T5121"/>
      <c r="U5121"/>
    </row>
    <row r="5122" spans="1:21">
      <c r="A5122"/>
      <c r="C5122"/>
      <c r="D5122"/>
      <c r="L5122"/>
      <c r="R5122"/>
      <c r="S5122"/>
      <c r="T5122"/>
      <c r="U5122"/>
    </row>
    <row r="5123" spans="1:21">
      <c r="A5123"/>
      <c r="C5123"/>
      <c r="D5123"/>
      <c r="L5123"/>
      <c r="R5123"/>
      <c r="S5123"/>
      <c r="T5123"/>
      <c r="U5123"/>
    </row>
    <row r="5124" spans="1:21">
      <c r="A5124"/>
      <c r="C5124"/>
      <c r="D5124"/>
      <c r="L5124"/>
      <c r="R5124"/>
      <c r="S5124"/>
      <c r="T5124"/>
      <c r="U5124"/>
    </row>
    <row r="5125" spans="1:21">
      <c r="A5125"/>
      <c r="C5125"/>
      <c r="D5125"/>
      <c r="L5125"/>
      <c r="R5125"/>
      <c r="S5125"/>
      <c r="T5125"/>
      <c r="U5125"/>
    </row>
    <row r="5126" spans="1:21">
      <c r="A5126"/>
      <c r="C5126"/>
      <c r="D5126"/>
      <c r="L5126"/>
      <c r="R5126"/>
      <c r="S5126"/>
      <c r="T5126"/>
      <c r="U5126"/>
    </row>
    <row r="5127" spans="1:21">
      <c r="A5127"/>
      <c r="C5127"/>
      <c r="D5127"/>
      <c r="L5127"/>
      <c r="R5127"/>
      <c r="S5127"/>
      <c r="T5127"/>
      <c r="U5127"/>
    </row>
    <row r="5128" spans="1:21">
      <c r="A5128"/>
      <c r="C5128"/>
      <c r="D5128"/>
      <c r="L5128"/>
      <c r="R5128"/>
      <c r="S5128"/>
      <c r="T5128"/>
      <c r="U5128"/>
    </row>
    <row r="5129" spans="1:21">
      <c r="A5129"/>
      <c r="C5129"/>
      <c r="D5129"/>
      <c r="L5129"/>
      <c r="R5129"/>
      <c r="S5129"/>
      <c r="T5129"/>
      <c r="U5129"/>
    </row>
    <row r="5130" spans="1:21">
      <c r="A5130"/>
      <c r="C5130"/>
      <c r="D5130"/>
      <c r="L5130"/>
      <c r="R5130"/>
      <c r="S5130"/>
      <c r="T5130"/>
      <c r="U5130"/>
    </row>
    <row r="5131" spans="1:21">
      <c r="A5131"/>
      <c r="C5131"/>
      <c r="D5131"/>
      <c r="L5131"/>
      <c r="R5131"/>
      <c r="S5131"/>
      <c r="T5131"/>
      <c r="U5131"/>
    </row>
    <row r="5132" spans="1:21">
      <c r="A5132"/>
      <c r="C5132"/>
      <c r="D5132"/>
      <c r="L5132"/>
      <c r="R5132"/>
      <c r="S5132"/>
      <c r="T5132"/>
      <c r="U5132"/>
    </row>
    <row r="5133" spans="1:21">
      <c r="A5133"/>
      <c r="C5133"/>
      <c r="D5133"/>
      <c r="L5133"/>
      <c r="R5133"/>
      <c r="S5133"/>
      <c r="T5133"/>
      <c r="U5133"/>
    </row>
    <row r="5134" spans="1:21">
      <c r="A5134"/>
      <c r="C5134"/>
      <c r="D5134"/>
      <c r="L5134"/>
      <c r="R5134"/>
      <c r="S5134"/>
      <c r="T5134"/>
      <c r="U5134"/>
    </row>
    <row r="5135" spans="1:21">
      <c r="A5135"/>
      <c r="C5135"/>
      <c r="D5135"/>
      <c r="L5135"/>
      <c r="R5135"/>
      <c r="S5135"/>
      <c r="T5135"/>
      <c r="U5135"/>
    </row>
    <row r="5136" spans="1:21">
      <c r="A5136"/>
      <c r="C5136"/>
      <c r="D5136"/>
      <c r="L5136"/>
      <c r="R5136"/>
      <c r="S5136"/>
      <c r="T5136"/>
      <c r="U5136"/>
    </row>
    <row r="5137" spans="1:21">
      <c r="A5137"/>
      <c r="C5137"/>
      <c r="D5137"/>
      <c r="L5137"/>
      <c r="R5137"/>
      <c r="S5137"/>
      <c r="T5137"/>
      <c r="U5137"/>
    </row>
    <row r="5138" spans="1:21">
      <c r="A5138"/>
      <c r="C5138"/>
      <c r="D5138"/>
      <c r="L5138"/>
      <c r="R5138"/>
      <c r="S5138"/>
      <c r="T5138"/>
      <c r="U5138"/>
    </row>
    <row r="5139" spans="1:21">
      <c r="A5139"/>
      <c r="C5139"/>
      <c r="D5139"/>
      <c r="L5139"/>
      <c r="R5139"/>
      <c r="S5139"/>
      <c r="T5139"/>
      <c r="U5139"/>
    </row>
    <row r="5140" spans="1:21">
      <c r="A5140"/>
      <c r="C5140"/>
      <c r="D5140"/>
      <c r="L5140"/>
      <c r="R5140"/>
      <c r="S5140"/>
      <c r="T5140"/>
      <c r="U5140"/>
    </row>
    <row r="5141" spans="1:21">
      <c r="A5141"/>
      <c r="C5141"/>
      <c r="D5141"/>
      <c r="L5141"/>
      <c r="R5141"/>
      <c r="S5141"/>
      <c r="T5141"/>
      <c r="U5141"/>
    </row>
    <row r="5142" spans="1:21">
      <c r="A5142"/>
      <c r="C5142"/>
      <c r="D5142"/>
      <c r="L5142"/>
      <c r="R5142"/>
      <c r="S5142"/>
      <c r="T5142"/>
      <c r="U5142"/>
    </row>
    <row r="5143" spans="1:21">
      <c r="A5143"/>
      <c r="C5143"/>
      <c r="D5143"/>
      <c r="L5143"/>
      <c r="R5143"/>
      <c r="S5143"/>
      <c r="T5143"/>
      <c r="U5143"/>
    </row>
    <row r="5144" spans="1:21">
      <c r="A5144"/>
      <c r="C5144"/>
      <c r="D5144"/>
      <c r="L5144"/>
      <c r="R5144"/>
      <c r="S5144"/>
      <c r="T5144"/>
      <c r="U5144"/>
    </row>
    <row r="5145" spans="1:21">
      <c r="A5145"/>
      <c r="C5145"/>
      <c r="D5145"/>
      <c r="L5145"/>
      <c r="R5145"/>
      <c r="S5145"/>
      <c r="T5145"/>
      <c r="U5145"/>
    </row>
    <row r="5146" spans="1:21">
      <c r="A5146"/>
      <c r="C5146"/>
      <c r="D5146"/>
      <c r="L5146"/>
      <c r="R5146"/>
      <c r="S5146"/>
      <c r="T5146"/>
      <c r="U5146"/>
    </row>
    <row r="5147" spans="1:21">
      <c r="A5147"/>
      <c r="C5147"/>
      <c r="D5147"/>
      <c r="L5147"/>
      <c r="R5147"/>
      <c r="S5147"/>
      <c r="T5147"/>
      <c r="U5147"/>
    </row>
    <row r="5148" spans="1:21">
      <c r="A5148"/>
      <c r="C5148"/>
      <c r="D5148"/>
      <c r="L5148"/>
      <c r="R5148"/>
      <c r="S5148"/>
      <c r="T5148"/>
      <c r="U5148"/>
    </row>
    <row r="5149" spans="1:21">
      <c r="A5149"/>
      <c r="C5149"/>
      <c r="D5149"/>
      <c r="L5149"/>
      <c r="R5149"/>
      <c r="S5149"/>
      <c r="T5149"/>
      <c r="U5149"/>
    </row>
    <row r="5150" spans="1:21">
      <c r="A5150"/>
      <c r="C5150"/>
      <c r="D5150"/>
      <c r="L5150"/>
      <c r="R5150"/>
      <c r="S5150"/>
      <c r="T5150"/>
      <c r="U5150"/>
    </row>
    <row r="5151" spans="1:21">
      <c r="A5151"/>
      <c r="C5151"/>
      <c r="D5151"/>
      <c r="L5151"/>
      <c r="R5151"/>
      <c r="S5151"/>
      <c r="T5151"/>
      <c r="U5151"/>
    </row>
    <row r="5152" spans="1:21">
      <c r="A5152"/>
      <c r="C5152"/>
      <c r="D5152"/>
      <c r="L5152"/>
      <c r="R5152"/>
      <c r="S5152"/>
      <c r="T5152"/>
      <c r="U5152"/>
    </row>
    <row r="5153" spans="1:21">
      <c r="A5153"/>
      <c r="C5153"/>
      <c r="D5153"/>
      <c r="L5153"/>
      <c r="R5153"/>
      <c r="S5153"/>
      <c r="T5153"/>
      <c r="U5153"/>
    </row>
    <row r="5154" spans="1:21">
      <c r="A5154"/>
      <c r="C5154"/>
      <c r="D5154"/>
      <c r="L5154"/>
      <c r="R5154"/>
      <c r="S5154"/>
      <c r="T5154"/>
      <c r="U5154"/>
    </row>
    <row r="5155" spans="1:21">
      <c r="A5155"/>
      <c r="C5155"/>
      <c r="D5155"/>
      <c r="L5155"/>
      <c r="R5155"/>
      <c r="S5155"/>
      <c r="T5155"/>
      <c r="U5155"/>
    </row>
    <row r="5156" spans="1:21">
      <c r="A5156"/>
      <c r="C5156"/>
      <c r="D5156"/>
      <c r="L5156"/>
      <c r="R5156"/>
      <c r="S5156"/>
      <c r="T5156"/>
      <c r="U5156"/>
    </row>
    <row r="5157" spans="1:21">
      <c r="A5157"/>
      <c r="C5157"/>
      <c r="D5157"/>
      <c r="L5157"/>
      <c r="R5157"/>
      <c r="S5157"/>
      <c r="T5157"/>
      <c r="U5157"/>
    </row>
    <row r="5158" spans="1:21">
      <c r="A5158"/>
      <c r="C5158"/>
      <c r="D5158"/>
      <c r="L5158"/>
      <c r="R5158"/>
      <c r="S5158"/>
      <c r="T5158"/>
      <c r="U5158"/>
    </row>
    <row r="5159" spans="1:21">
      <c r="A5159"/>
      <c r="C5159"/>
      <c r="D5159"/>
      <c r="L5159"/>
      <c r="R5159"/>
      <c r="S5159"/>
      <c r="T5159"/>
      <c r="U5159"/>
    </row>
    <row r="5160" spans="1:21">
      <c r="A5160"/>
      <c r="C5160"/>
      <c r="D5160"/>
      <c r="L5160"/>
      <c r="R5160"/>
      <c r="S5160"/>
      <c r="T5160"/>
      <c r="U5160"/>
    </row>
    <row r="5161" spans="1:21">
      <c r="A5161"/>
      <c r="C5161"/>
      <c r="D5161"/>
      <c r="L5161"/>
      <c r="R5161"/>
      <c r="S5161"/>
      <c r="T5161"/>
      <c r="U5161"/>
    </row>
    <row r="5162" spans="1:21">
      <c r="A5162"/>
      <c r="C5162"/>
      <c r="D5162"/>
      <c r="L5162"/>
      <c r="R5162"/>
      <c r="S5162"/>
      <c r="T5162"/>
      <c r="U5162"/>
    </row>
    <row r="5163" spans="1:21">
      <c r="A5163"/>
      <c r="C5163"/>
      <c r="D5163"/>
      <c r="L5163"/>
      <c r="R5163"/>
      <c r="S5163"/>
      <c r="T5163"/>
      <c r="U5163"/>
    </row>
    <row r="5164" spans="1:21">
      <c r="A5164"/>
      <c r="C5164"/>
      <c r="D5164"/>
      <c r="L5164"/>
      <c r="R5164"/>
      <c r="S5164"/>
      <c r="T5164"/>
      <c r="U5164"/>
    </row>
    <row r="5165" spans="1:21">
      <c r="A5165"/>
      <c r="C5165"/>
      <c r="D5165"/>
      <c r="L5165"/>
      <c r="R5165"/>
      <c r="S5165"/>
      <c r="T5165"/>
      <c r="U5165"/>
    </row>
    <row r="5166" spans="1:21">
      <c r="A5166"/>
      <c r="C5166"/>
      <c r="D5166"/>
      <c r="L5166"/>
      <c r="R5166"/>
      <c r="S5166"/>
      <c r="T5166"/>
      <c r="U5166"/>
    </row>
    <row r="5167" spans="1:21">
      <c r="A5167"/>
      <c r="C5167"/>
      <c r="D5167"/>
      <c r="L5167"/>
      <c r="R5167"/>
      <c r="S5167"/>
      <c r="T5167"/>
      <c r="U5167"/>
    </row>
    <row r="5168" spans="1:21">
      <c r="A5168"/>
      <c r="C5168"/>
      <c r="D5168"/>
      <c r="L5168"/>
      <c r="R5168"/>
      <c r="S5168"/>
      <c r="T5168"/>
      <c r="U5168"/>
    </row>
    <row r="5169" spans="1:21">
      <c r="A5169"/>
      <c r="C5169"/>
      <c r="D5169"/>
      <c r="L5169"/>
      <c r="R5169"/>
      <c r="S5169"/>
      <c r="T5169"/>
      <c r="U5169"/>
    </row>
    <row r="5170" spans="1:21">
      <c r="A5170"/>
      <c r="C5170"/>
      <c r="D5170"/>
      <c r="L5170"/>
      <c r="R5170"/>
      <c r="S5170"/>
      <c r="T5170"/>
      <c r="U5170"/>
    </row>
    <row r="5171" spans="1:21">
      <c r="A5171"/>
      <c r="C5171"/>
      <c r="D5171"/>
      <c r="L5171"/>
      <c r="R5171"/>
      <c r="S5171"/>
      <c r="T5171"/>
      <c r="U5171"/>
    </row>
    <row r="5172" spans="1:21">
      <c r="A5172"/>
      <c r="C5172"/>
      <c r="D5172"/>
      <c r="L5172"/>
      <c r="R5172"/>
      <c r="S5172"/>
      <c r="T5172"/>
      <c r="U5172"/>
    </row>
    <row r="5173" spans="1:21">
      <c r="A5173"/>
      <c r="C5173"/>
      <c r="D5173"/>
      <c r="L5173"/>
      <c r="R5173"/>
      <c r="S5173"/>
      <c r="T5173"/>
      <c r="U5173"/>
    </row>
    <row r="5174" spans="1:21">
      <c r="A5174"/>
      <c r="C5174"/>
      <c r="D5174"/>
      <c r="L5174"/>
      <c r="R5174"/>
      <c r="S5174"/>
      <c r="T5174"/>
      <c r="U5174"/>
    </row>
    <row r="5175" spans="1:21">
      <c r="A5175"/>
      <c r="C5175"/>
      <c r="D5175"/>
      <c r="L5175"/>
      <c r="R5175"/>
      <c r="S5175"/>
      <c r="T5175"/>
      <c r="U5175"/>
    </row>
    <row r="5176" spans="1:21">
      <c r="A5176"/>
      <c r="C5176"/>
      <c r="D5176"/>
      <c r="L5176"/>
      <c r="R5176"/>
      <c r="S5176"/>
      <c r="T5176"/>
      <c r="U5176"/>
    </row>
    <row r="5177" spans="1:21">
      <c r="A5177"/>
      <c r="C5177"/>
      <c r="D5177"/>
      <c r="L5177"/>
      <c r="R5177"/>
      <c r="S5177"/>
      <c r="T5177"/>
      <c r="U5177"/>
    </row>
    <row r="5178" spans="1:21">
      <c r="A5178"/>
      <c r="C5178"/>
      <c r="D5178"/>
      <c r="L5178"/>
      <c r="R5178"/>
      <c r="S5178"/>
      <c r="T5178"/>
      <c r="U5178"/>
    </row>
    <row r="5179" spans="1:21">
      <c r="A5179"/>
      <c r="C5179"/>
      <c r="D5179"/>
      <c r="L5179"/>
      <c r="R5179"/>
      <c r="S5179"/>
      <c r="T5179"/>
      <c r="U5179"/>
    </row>
    <row r="5180" spans="1:21">
      <c r="A5180"/>
      <c r="C5180"/>
      <c r="D5180"/>
      <c r="L5180"/>
      <c r="R5180"/>
      <c r="S5180"/>
      <c r="T5180"/>
      <c r="U5180"/>
    </row>
    <row r="5181" spans="1:21">
      <c r="A5181"/>
      <c r="C5181"/>
      <c r="D5181"/>
      <c r="L5181"/>
      <c r="R5181"/>
      <c r="S5181"/>
      <c r="T5181"/>
      <c r="U5181"/>
    </row>
    <row r="5182" spans="1:21">
      <c r="A5182"/>
      <c r="C5182"/>
      <c r="D5182"/>
      <c r="L5182"/>
      <c r="R5182"/>
      <c r="S5182"/>
      <c r="T5182"/>
      <c r="U5182"/>
    </row>
    <row r="5183" spans="1:21">
      <c r="A5183"/>
      <c r="C5183"/>
      <c r="D5183"/>
      <c r="L5183"/>
      <c r="R5183"/>
      <c r="S5183"/>
      <c r="T5183"/>
      <c r="U5183"/>
    </row>
    <row r="5184" spans="1:21">
      <c r="A5184"/>
      <c r="C5184"/>
      <c r="D5184"/>
      <c r="L5184"/>
      <c r="R5184"/>
      <c r="S5184"/>
      <c r="T5184"/>
      <c r="U5184"/>
    </row>
    <row r="5185" spans="1:21">
      <c r="A5185"/>
      <c r="C5185"/>
      <c r="D5185"/>
      <c r="L5185"/>
      <c r="R5185"/>
      <c r="S5185"/>
      <c r="T5185"/>
      <c r="U5185"/>
    </row>
    <row r="5186" spans="1:21">
      <c r="A5186"/>
      <c r="C5186"/>
      <c r="D5186"/>
      <c r="L5186"/>
      <c r="R5186"/>
      <c r="S5186"/>
      <c r="T5186"/>
      <c r="U5186"/>
    </row>
    <row r="5187" spans="1:21">
      <c r="A5187"/>
      <c r="C5187"/>
      <c r="D5187"/>
      <c r="L5187"/>
      <c r="R5187"/>
      <c r="S5187"/>
      <c r="T5187"/>
      <c r="U5187"/>
    </row>
    <row r="5188" spans="1:21">
      <c r="A5188"/>
      <c r="C5188"/>
      <c r="D5188"/>
      <c r="L5188"/>
      <c r="R5188"/>
      <c r="S5188"/>
      <c r="T5188"/>
      <c r="U5188"/>
    </row>
    <row r="5189" spans="1:21">
      <c r="A5189"/>
      <c r="C5189"/>
      <c r="D5189"/>
      <c r="L5189"/>
      <c r="R5189"/>
      <c r="S5189"/>
      <c r="T5189"/>
      <c r="U5189"/>
    </row>
    <row r="5190" spans="1:21">
      <c r="A5190"/>
      <c r="C5190"/>
      <c r="D5190"/>
      <c r="L5190"/>
      <c r="R5190"/>
      <c r="S5190"/>
      <c r="T5190"/>
      <c r="U5190"/>
    </row>
    <row r="5191" spans="1:21">
      <c r="A5191"/>
      <c r="C5191"/>
      <c r="D5191"/>
      <c r="L5191"/>
      <c r="R5191"/>
      <c r="S5191"/>
      <c r="T5191"/>
      <c r="U5191"/>
    </row>
    <row r="5192" spans="1:21">
      <c r="A5192"/>
      <c r="C5192"/>
      <c r="D5192"/>
      <c r="L5192"/>
      <c r="R5192"/>
      <c r="S5192"/>
      <c r="T5192"/>
      <c r="U5192"/>
    </row>
    <row r="5193" spans="1:21">
      <c r="A5193"/>
      <c r="C5193"/>
      <c r="D5193"/>
      <c r="L5193"/>
      <c r="R5193"/>
      <c r="S5193"/>
      <c r="T5193"/>
      <c r="U5193"/>
    </row>
    <row r="5194" spans="1:21">
      <c r="A5194"/>
      <c r="C5194"/>
      <c r="D5194"/>
      <c r="L5194"/>
      <c r="R5194"/>
      <c r="S5194"/>
      <c r="T5194"/>
      <c r="U5194"/>
    </row>
    <row r="5195" spans="1:21">
      <c r="A5195"/>
      <c r="C5195"/>
      <c r="D5195"/>
      <c r="L5195"/>
      <c r="R5195"/>
      <c r="S5195"/>
      <c r="T5195"/>
      <c r="U5195"/>
    </row>
    <row r="5196" spans="1:21">
      <c r="A5196"/>
      <c r="C5196"/>
      <c r="D5196"/>
      <c r="L5196"/>
      <c r="R5196"/>
      <c r="S5196"/>
      <c r="T5196"/>
      <c r="U5196"/>
    </row>
    <row r="5197" spans="1:21">
      <c r="A5197"/>
      <c r="C5197"/>
      <c r="D5197"/>
      <c r="L5197"/>
      <c r="R5197"/>
      <c r="S5197"/>
      <c r="T5197"/>
      <c r="U5197"/>
    </row>
    <row r="5198" spans="1:21">
      <c r="A5198"/>
      <c r="C5198"/>
      <c r="D5198"/>
      <c r="L5198"/>
      <c r="R5198"/>
      <c r="S5198"/>
      <c r="T5198"/>
      <c r="U5198"/>
    </row>
    <row r="5199" spans="1:21">
      <c r="A5199"/>
      <c r="C5199"/>
      <c r="D5199"/>
      <c r="L5199"/>
      <c r="R5199"/>
      <c r="S5199"/>
      <c r="T5199"/>
      <c r="U5199"/>
    </row>
    <row r="5200" spans="1:21">
      <c r="A5200"/>
      <c r="C5200"/>
      <c r="D5200"/>
      <c r="L5200"/>
      <c r="R5200"/>
      <c r="S5200"/>
      <c r="T5200"/>
      <c r="U5200"/>
    </row>
    <row r="5201" spans="1:21">
      <c r="A5201"/>
      <c r="C5201"/>
      <c r="D5201"/>
      <c r="L5201"/>
      <c r="R5201"/>
      <c r="S5201"/>
      <c r="T5201"/>
      <c r="U5201"/>
    </row>
    <row r="5202" spans="1:21">
      <c r="A5202"/>
      <c r="C5202"/>
      <c r="D5202"/>
      <c r="L5202"/>
      <c r="R5202"/>
      <c r="S5202"/>
      <c r="T5202"/>
      <c r="U5202"/>
    </row>
    <row r="5203" spans="1:21">
      <c r="A5203"/>
      <c r="C5203"/>
      <c r="D5203"/>
      <c r="L5203"/>
      <c r="R5203"/>
      <c r="S5203"/>
      <c r="T5203"/>
      <c r="U5203"/>
    </row>
    <row r="5204" spans="1:21">
      <c r="A5204"/>
      <c r="C5204"/>
      <c r="D5204"/>
      <c r="L5204"/>
      <c r="R5204"/>
      <c r="S5204"/>
      <c r="T5204"/>
      <c r="U5204"/>
    </row>
    <row r="5205" spans="1:21">
      <c r="A5205"/>
      <c r="C5205"/>
      <c r="D5205"/>
      <c r="L5205"/>
      <c r="R5205"/>
      <c r="S5205"/>
      <c r="T5205"/>
      <c r="U5205"/>
    </row>
    <row r="5206" spans="1:21">
      <c r="A5206"/>
      <c r="C5206"/>
      <c r="D5206"/>
      <c r="L5206"/>
      <c r="R5206"/>
      <c r="S5206"/>
      <c r="T5206"/>
      <c r="U5206"/>
    </row>
    <row r="5207" spans="1:21">
      <c r="A5207"/>
      <c r="C5207"/>
      <c r="D5207"/>
      <c r="L5207"/>
      <c r="R5207"/>
      <c r="S5207"/>
      <c r="T5207"/>
      <c r="U5207"/>
    </row>
    <row r="5208" spans="1:21">
      <c r="A5208"/>
      <c r="C5208"/>
      <c r="D5208"/>
      <c r="L5208"/>
      <c r="R5208"/>
      <c r="S5208"/>
      <c r="T5208"/>
      <c r="U5208"/>
    </row>
    <row r="5209" spans="1:21">
      <c r="A5209"/>
      <c r="C5209"/>
      <c r="D5209"/>
      <c r="L5209"/>
      <c r="R5209"/>
      <c r="S5209"/>
      <c r="T5209"/>
      <c r="U5209"/>
    </row>
    <row r="5210" spans="1:21">
      <c r="A5210"/>
      <c r="C5210"/>
      <c r="D5210"/>
      <c r="L5210"/>
      <c r="R5210"/>
      <c r="S5210"/>
      <c r="T5210"/>
      <c r="U5210"/>
    </row>
    <row r="5211" spans="1:21">
      <c r="A5211"/>
      <c r="C5211"/>
      <c r="D5211"/>
      <c r="L5211"/>
      <c r="R5211"/>
      <c r="S5211"/>
      <c r="T5211"/>
      <c r="U5211"/>
    </row>
    <row r="5212" spans="1:21">
      <c r="A5212"/>
      <c r="C5212"/>
      <c r="D5212"/>
      <c r="L5212"/>
      <c r="R5212"/>
      <c r="S5212"/>
      <c r="T5212"/>
      <c r="U5212"/>
    </row>
    <row r="5213" spans="1:21">
      <c r="A5213"/>
      <c r="C5213"/>
      <c r="D5213"/>
      <c r="L5213"/>
      <c r="R5213"/>
      <c r="S5213"/>
      <c r="T5213"/>
      <c r="U5213"/>
    </row>
    <row r="5214" spans="1:21">
      <c r="A5214"/>
      <c r="C5214"/>
      <c r="D5214"/>
      <c r="L5214"/>
      <c r="R5214"/>
      <c r="S5214"/>
      <c r="T5214"/>
      <c r="U5214"/>
    </row>
    <row r="5215" spans="1:21">
      <c r="A5215"/>
      <c r="C5215"/>
      <c r="D5215"/>
      <c r="L5215"/>
      <c r="R5215"/>
      <c r="S5215"/>
      <c r="T5215"/>
      <c r="U5215"/>
    </row>
    <row r="5216" spans="1:21">
      <c r="A5216"/>
      <c r="C5216"/>
      <c r="D5216"/>
      <c r="L5216"/>
      <c r="R5216"/>
      <c r="S5216"/>
      <c r="T5216"/>
      <c r="U5216"/>
    </row>
    <row r="5217" spans="1:21">
      <c r="A5217"/>
      <c r="C5217"/>
      <c r="D5217"/>
      <c r="L5217"/>
      <c r="R5217"/>
      <c r="S5217"/>
      <c r="T5217"/>
      <c r="U5217"/>
    </row>
    <row r="5218" spans="1:21">
      <c r="A5218"/>
      <c r="C5218"/>
      <c r="D5218"/>
      <c r="L5218"/>
      <c r="R5218"/>
      <c r="S5218"/>
      <c r="T5218"/>
      <c r="U5218"/>
    </row>
    <row r="5219" spans="1:21">
      <c r="A5219"/>
      <c r="C5219"/>
      <c r="D5219"/>
      <c r="L5219"/>
      <c r="R5219"/>
      <c r="S5219"/>
      <c r="T5219"/>
      <c r="U5219"/>
    </row>
    <row r="5220" spans="1:21">
      <c r="A5220"/>
      <c r="C5220"/>
      <c r="D5220"/>
      <c r="L5220"/>
      <c r="R5220"/>
      <c r="S5220"/>
      <c r="T5220"/>
      <c r="U5220"/>
    </row>
    <row r="5221" spans="1:21">
      <c r="A5221"/>
      <c r="C5221"/>
      <c r="D5221"/>
      <c r="L5221"/>
      <c r="R5221"/>
      <c r="S5221"/>
      <c r="T5221"/>
      <c r="U5221"/>
    </row>
    <row r="5222" spans="1:21">
      <c r="A5222"/>
      <c r="C5222"/>
      <c r="D5222"/>
      <c r="L5222"/>
      <c r="R5222"/>
      <c r="S5222"/>
      <c r="T5222"/>
      <c r="U5222"/>
    </row>
    <row r="5223" spans="1:21">
      <c r="A5223"/>
      <c r="C5223"/>
      <c r="D5223"/>
      <c r="L5223"/>
      <c r="R5223"/>
      <c r="S5223"/>
      <c r="T5223"/>
      <c r="U5223"/>
    </row>
    <row r="5224" spans="1:21">
      <c r="A5224"/>
      <c r="C5224"/>
      <c r="D5224"/>
      <c r="L5224"/>
      <c r="R5224"/>
      <c r="S5224"/>
      <c r="T5224"/>
      <c r="U5224"/>
    </row>
    <row r="5225" spans="1:21">
      <c r="A5225"/>
      <c r="C5225"/>
      <c r="D5225"/>
      <c r="L5225"/>
      <c r="R5225"/>
      <c r="S5225"/>
      <c r="T5225"/>
      <c r="U5225"/>
    </row>
    <row r="5226" spans="1:21">
      <c r="A5226"/>
      <c r="C5226"/>
      <c r="D5226"/>
      <c r="L5226"/>
      <c r="R5226"/>
      <c r="S5226"/>
      <c r="T5226"/>
      <c r="U5226"/>
    </row>
    <row r="5227" spans="1:21">
      <c r="A5227"/>
      <c r="C5227"/>
      <c r="D5227"/>
      <c r="L5227"/>
      <c r="R5227"/>
      <c r="S5227"/>
      <c r="T5227"/>
      <c r="U5227"/>
    </row>
    <row r="5228" spans="1:21">
      <c r="A5228"/>
      <c r="C5228"/>
      <c r="D5228"/>
      <c r="L5228"/>
      <c r="R5228"/>
      <c r="S5228"/>
      <c r="T5228"/>
      <c r="U5228"/>
    </row>
    <row r="5229" spans="1:21">
      <c r="A5229"/>
      <c r="C5229"/>
      <c r="D5229"/>
      <c r="L5229"/>
      <c r="R5229"/>
      <c r="S5229"/>
      <c r="T5229"/>
      <c r="U5229"/>
    </row>
    <row r="5230" spans="1:21">
      <c r="A5230"/>
      <c r="C5230"/>
      <c r="D5230"/>
      <c r="L5230"/>
      <c r="R5230"/>
      <c r="S5230"/>
      <c r="T5230"/>
      <c r="U5230"/>
    </row>
    <row r="5231" spans="1:21">
      <c r="A5231"/>
      <c r="C5231"/>
      <c r="D5231"/>
      <c r="L5231"/>
      <c r="R5231"/>
      <c r="S5231"/>
      <c r="T5231"/>
      <c r="U5231"/>
    </row>
    <row r="5232" spans="1:21">
      <c r="A5232"/>
      <c r="C5232"/>
      <c r="D5232"/>
      <c r="L5232"/>
      <c r="R5232"/>
      <c r="S5232"/>
      <c r="T5232"/>
      <c r="U5232"/>
    </row>
    <row r="5233" spans="1:21">
      <c r="A5233"/>
      <c r="C5233"/>
      <c r="D5233"/>
      <c r="L5233"/>
      <c r="R5233"/>
      <c r="S5233"/>
      <c r="T5233"/>
      <c r="U5233"/>
    </row>
    <row r="5234" spans="1:21">
      <c r="A5234"/>
      <c r="C5234"/>
      <c r="D5234"/>
      <c r="L5234"/>
      <c r="R5234"/>
      <c r="S5234"/>
      <c r="T5234"/>
      <c r="U5234"/>
    </row>
    <row r="5235" spans="1:21">
      <c r="A5235"/>
      <c r="C5235"/>
      <c r="D5235"/>
      <c r="L5235"/>
      <c r="R5235"/>
      <c r="S5235"/>
      <c r="T5235"/>
      <c r="U5235"/>
    </row>
    <row r="5236" spans="1:21">
      <c r="A5236"/>
      <c r="C5236"/>
      <c r="D5236"/>
      <c r="L5236"/>
      <c r="R5236"/>
      <c r="S5236"/>
      <c r="T5236"/>
      <c r="U5236"/>
    </row>
    <row r="5237" spans="1:21">
      <c r="A5237"/>
      <c r="C5237"/>
      <c r="D5237"/>
      <c r="L5237"/>
      <c r="R5237"/>
      <c r="S5237"/>
      <c r="T5237"/>
      <c r="U5237"/>
    </row>
    <row r="5238" spans="1:21">
      <c r="A5238"/>
      <c r="C5238"/>
      <c r="D5238"/>
      <c r="L5238"/>
      <c r="R5238"/>
      <c r="S5238"/>
      <c r="T5238"/>
      <c r="U5238"/>
    </row>
    <row r="5239" spans="1:21">
      <c r="A5239"/>
      <c r="C5239"/>
      <c r="D5239"/>
      <c r="L5239"/>
      <c r="R5239"/>
      <c r="S5239"/>
      <c r="T5239"/>
      <c r="U5239"/>
    </row>
    <row r="5240" spans="1:21">
      <c r="A5240"/>
      <c r="C5240"/>
      <c r="D5240"/>
      <c r="L5240"/>
      <c r="R5240"/>
      <c r="S5240"/>
      <c r="T5240"/>
      <c r="U5240"/>
    </row>
    <row r="5241" spans="1:21">
      <c r="A5241"/>
      <c r="C5241"/>
      <c r="D5241"/>
      <c r="L5241"/>
      <c r="R5241"/>
      <c r="S5241"/>
      <c r="T5241"/>
      <c r="U5241"/>
    </row>
    <row r="5242" spans="1:21">
      <c r="A5242"/>
      <c r="C5242"/>
      <c r="D5242"/>
      <c r="L5242"/>
      <c r="R5242"/>
      <c r="S5242"/>
      <c r="T5242"/>
      <c r="U5242"/>
    </row>
    <row r="5243" spans="1:21">
      <c r="A5243"/>
      <c r="C5243"/>
      <c r="D5243"/>
      <c r="L5243"/>
      <c r="R5243"/>
      <c r="S5243"/>
      <c r="T5243"/>
      <c r="U5243"/>
    </row>
    <row r="5244" spans="1:21">
      <c r="A5244"/>
      <c r="C5244"/>
      <c r="D5244"/>
      <c r="L5244"/>
      <c r="R5244"/>
      <c r="S5244"/>
      <c r="T5244"/>
      <c r="U5244"/>
    </row>
    <row r="5245" spans="1:21">
      <c r="A5245"/>
      <c r="C5245"/>
      <c r="D5245"/>
      <c r="L5245"/>
      <c r="R5245"/>
      <c r="S5245"/>
      <c r="T5245"/>
      <c r="U5245"/>
    </row>
    <row r="5246" spans="1:21">
      <c r="A5246"/>
      <c r="C5246"/>
      <c r="D5246"/>
      <c r="L5246"/>
      <c r="R5246"/>
      <c r="S5246"/>
      <c r="T5246"/>
      <c r="U5246"/>
    </row>
    <row r="5247" spans="1:21">
      <c r="A5247"/>
      <c r="C5247"/>
      <c r="D5247"/>
      <c r="L5247"/>
      <c r="R5247"/>
      <c r="S5247"/>
      <c r="T5247"/>
      <c r="U5247"/>
    </row>
    <row r="5248" spans="1:21">
      <c r="A5248"/>
      <c r="C5248"/>
      <c r="D5248"/>
      <c r="L5248"/>
      <c r="R5248"/>
      <c r="S5248"/>
      <c r="T5248"/>
      <c r="U5248"/>
    </row>
    <row r="5249" spans="1:21">
      <c r="A5249"/>
      <c r="C5249"/>
      <c r="D5249"/>
      <c r="L5249"/>
      <c r="R5249"/>
      <c r="S5249"/>
      <c r="T5249"/>
      <c r="U5249"/>
    </row>
    <row r="5250" spans="1:21">
      <c r="A5250"/>
      <c r="C5250"/>
      <c r="D5250"/>
      <c r="L5250"/>
      <c r="R5250"/>
      <c r="S5250"/>
      <c r="T5250"/>
      <c r="U5250"/>
    </row>
    <row r="5251" spans="1:21">
      <c r="A5251"/>
      <c r="C5251"/>
      <c r="D5251"/>
      <c r="L5251"/>
      <c r="R5251"/>
      <c r="S5251"/>
      <c r="T5251"/>
      <c r="U5251"/>
    </row>
    <row r="5252" spans="1:21">
      <c r="A5252"/>
      <c r="C5252"/>
      <c r="D5252"/>
      <c r="L5252"/>
      <c r="R5252"/>
      <c r="S5252"/>
      <c r="T5252"/>
      <c r="U5252"/>
    </row>
    <row r="5253" spans="1:21">
      <c r="A5253"/>
      <c r="C5253"/>
      <c r="D5253"/>
      <c r="L5253"/>
      <c r="R5253"/>
      <c r="S5253"/>
      <c r="T5253"/>
      <c r="U5253"/>
    </row>
    <row r="5254" spans="1:21">
      <c r="A5254"/>
      <c r="C5254"/>
      <c r="D5254"/>
      <c r="L5254"/>
      <c r="R5254"/>
      <c r="S5254"/>
      <c r="T5254"/>
      <c r="U5254"/>
    </row>
    <row r="5255" spans="1:21">
      <c r="A5255"/>
      <c r="C5255"/>
      <c r="D5255"/>
      <c r="L5255"/>
      <c r="R5255"/>
      <c r="S5255"/>
      <c r="T5255"/>
      <c r="U5255"/>
    </row>
    <row r="5256" spans="1:21">
      <c r="A5256"/>
      <c r="C5256"/>
      <c r="D5256"/>
      <c r="L5256"/>
      <c r="R5256"/>
      <c r="S5256"/>
      <c r="T5256"/>
      <c r="U5256"/>
    </row>
    <row r="5257" spans="1:21">
      <c r="A5257"/>
      <c r="C5257"/>
      <c r="D5257"/>
      <c r="L5257"/>
      <c r="R5257"/>
      <c r="S5257"/>
      <c r="T5257"/>
      <c r="U5257"/>
    </row>
    <row r="5258" spans="1:21">
      <c r="A5258"/>
      <c r="C5258"/>
      <c r="D5258"/>
      <c r="L5258"/>
      <c r="R5258"/>
      <c r="S5258"/>
      <c r="T5258"/>
      <c r="U5258"/>
    </row>
    <row r="5259" spans="1:21">
      <c r="A5259"/>
      <c r="C5259"/>
      <c r="D5259"/>
      <c r="L5259"/>
      <c r="R5259"/>
      <c r="S5259"/>
      <c r="T5259"/>
      <c r="U5259"/>
    </row>
    <row r="5260" spans="1:21">
      <c r="A5260"/>
      <c r="C5260"/>
      <c r="D5260"/>
      <c r="L5260"/>
      <c r="R5260"/>
      <c r="S5260"/>
      <c r="T5260"/>
      <c r="U5260"/>
    </row>
    <row r="5261" spans="1:21">
      <c r="A5261"/>
      <c r="C5261"/>
      <c r="D5261"/>
      <c r="L5261"/>
      <c r="R5261"/>
      <c r="S5261"/>
      <c r="T5261"/>
      <c r="U5261"/>
    </row>
    <row r="5262" spans="1:21">
      <c r="A5262"/>
      <c r="C5262"/>
      <c r="D5262"/>
      <c r="L5262"/>
      <c r="R5262"/>
      <c r="S5262"/>
      <c r="T5262"/>
      <c r="U5262"/>
    </row>
    <row r="5263" spans="1:21">
      <c r="A5263"/>
      <c r="C5263"/>
      <c r="D5263"/>
      <c r="L5263"/>
      <c r="R5263"/>
      <c r="S5263"/>
      <c r="T5263"/>
      <c r="U5263"/>
    </row>
    <row r="5264" spans="1:21">
      <c r="A5264"/>
      <c r="C5264"/>
      <c r="D5264"/>
      <c r="L5264"/>
      <c r="R5264"/>
      <c r="S5264"/>
      <c r="T5264"/>
      <c r="U5264"/>
    </row>
    <row r="5265" spans="1:21">
      <c r="A5265"/>
      <c r="C5265"/>
      <c r="D5265"/>
      <c r="L5265"/>
      <c r="R5265"/>
      <c r="S5265"/>
      <c r="T5265"/>
      <c r="U5265"/>
    </row>
    <row r="5266" spans="1:21">
      <c r="A5266"/>
      <c r="C5266"/>
      <c r="D5266"/>
      <c r="L5266"/>
      <c r="R5266"/>
      <c r="S5266"/>
      <c r="T5266"/>
      <c r="U5266"/>
    </row>
    <row r="5267" spans="1:21">
      <c r="A5267"/>
      <c r="C5267"/>
      <c r="D5267"/>
      <c r="L5267"/>
      <c r="R5267"/>
      <c r="S5267"/>
      <c r="T5267"/>
      <c r="U5267"/>
    </row>
    <row r="5268" spans="1:21">
      <c r="A5268"/>
      <c r="C5268"/>
      <c r="D5268"/>
      <c r="L5268"/>
      <c r="R5268"/>
      <c r="S5268"/>
      <c r="T5268"/>
      <c r="U5268"/>
    </row>
    <row r="5269" spans="1:21">
      <c r="A5269"/>
      <c r="C5269"/>
      <c r="D5269"/>
      <c r="L5269"/>
      <c r="R5269"/>
      <c r="S5269"/>
      <c r="T5269"/>
      <c r="U5269"/>
    </row>
    <row r="5270" spans="1:21">
      <c r="A5270"/>
      <c r="C5270"/>
      <c r="D5270"/>
      <c r="L5270"/>
      <c r="R5270"/>
      <c r="S5270"/>
      <c r="T5270"/>
      <c r="U5270"/>
    </row>
    <row r="5271" spans="1:21">
      <c r="A5271"/>
      <c r="C5271"/>
      <c r="D5271"/>
      <c r="L5271"/>
      <c r="R5271"/>
      <c r="S5271"/>
      <c r="T5271"/>
      <c r="U5271"/>
    </row>
    <row r="5272" spans="1:21">
      <c r="A5272"/>
      <c r="C5272"/>
      <c r="D5272"/>
      <c r="L5272"/>
      <c r="R5272"/>
      <c r="S5272"/>
      <c r="T5272"/>
      <c r="U5272"/>
    </row>
    <row r="5273" spans="1:21">
      <c r="A5273"/>
      <c r="C5273"/>
      <c r="D5273"/>
      <c r="L5273"/>
      <c r="R5273"/>
      <c r="S5273"/>
      <c r="T5273"/>
      <c r="U5273"/>
    </row>
    <row r="5274" spans="1:21">
      <c r="A5274"/>
      <c r="C5274"/>
      <c r="D5274"/>
      <c r="L5274"/>
      <c r="R5274"/>
      <c r="S5274"/>
      <c r="T5274"/>
      <c r="U5274"/>
    </row>
    <row r="5275" spans="1:21">
      <c r="A5275"/>
      <c r="C5275"/>
      <c r="D5275"/>
      <c r="L5275"/>
      <c r="R5275"/>
      <c r="S5275"/>
      <c r="T5275"/>
      <c r="U5275"/>
    </row>
    <row r="5276" spans="1:21">
      <c r="A5276"/>
      <c r="C5276"/>
      <c r="D5276"/>
      <c r="L5276"/>
      <c r="R5276"/>
      <c r="S5276"/>
      <c r="T5276"/>
      <c r="U5276"/>
    </row>
    <row r="5277" spans="1:21">
      <c r="A5277"/>
      <c r="C5277"/>
      <c r="D5277"/>
      <c r="L5277"/>
      <c r="R5277"/>
      <c r="S5277"/>
      <c r="T5277"/>
      <c r="U5277"/>
    </row>
    <row r="5278" spans="1:21">
      <c r="A5278"/>
      <c r="C5278"/>
      <c r="D5278"/>
      <c r="L5278"/>
      <c r="R5278"/>
      <c r="S5278"/>
      <c r="T5278"/>
      <c r="U5278"/>
    </row>
    <row r="5279" spans="1:21">
      <c r="A5279"/>
      <c r="C5279"/>
      <c r="D5279"/>
      <c r="L5279"/>
      <c r="R5279"/>
      <c r="S5279"/>
      <c r="T5279"/>
      <c r="U5279"/>
    </row>
    <row r="5280" spans="1:21">
      <c r="A5280"/>
      <c r="C5280"/>
      <c r="D5280"/>
      <c r="L5280"/>
      <c r="R5280"/>
      <c r="S5280"/>
      <c r="T5280"/>
      <c r="U5280"/>
    </row>
    <row r="5281" spans="1:21">
      <c r="A5281"/>
      <c r="C5281"/>
      <c r="D5281"/>
      <c r="L5281"/>
      <c r="R5281"/>
      <c r="S5281"/>
      <c r="T5281"/>
      <c r="U5281"/>
    </row>
    <row r="5282" spans="1:21">
      <c r="A5282"/>
      <c r="C5282"/>
      <c r="D5282"/>
      <c r="L5282"/>
      <c r="R5282"/>
      <c r="S5282"/>
      <c r="T5282"/>
      <c r="U5282"/>
    </row>
    <row r="5283" spans="1:21">
      <c r="A5283"/>
      <c r="C5283"/>
      <c r="D5283"/>
      <c r="L5283"/>
      <c r="R5283"/>
      <c r="S5283"/>
      <c r="T5283"/>
      <c r="U5283"/>
    </row>
    <row r="5284" spans="1:21">
      <c r="A5284"/>
      <c r="C5284"/>
      <c r="D5284"/>
      <c r="L5284"/>
      <c r="R5284"/>
      <c r="S5284"/>
      <c r="T5284"/>
      <c r="U5284"/>
    </row>
    <row r="5285" spans="1:21">
      <c r="A5285"/>
      <c r="C5285"/>
      <c r="D5285"/>
      <c r="L5285"/>
      <c r="R5285"/>
      <c r="S5285"/>
      <c r="T5285"/>
      <c r="U5285"/>
    </row>
    <row r="5286" spans="1:21">
      <c r="A5286"/>
      <c r="C5286"/>
      <c r="D5286"/>
      <c r="L5286"/>
      <c r="R5286"/>
      <c r="S5286"/>
      <c r="T5286"/>
      <c r="U5286"/>
    </row>
    <row r="5287" spans="1:21">
      <c r="A5287"/>
      <c r="C5287"/>
      <c r="D5287"/>
      <c r="L5287"/>
      <c r="R5287"/>
      <c r="S5287"/>
      <c r="T5287"/>
      <c r="U5287"/>
    </row>
    <row r="5288" spans="1:21">
      <c r="A5288"/>
      <c r="C5288"/>
      <c r="D5288"/>
      <c r="L5288"/>
      <c r="R5288"/>
      <c r="S5288"/>
      <c r="T5288"/>
      <c r="U5288"/>
    </row>
    <row r="5289" spans="1:21">
      <c r="A5289"/>
      <c r="C5289"/>
      <c r="D5289"/>
      <c r="L5289"/>
      <c r="R5289"/>
      <c r="S5289"/>
      <c r="T5289"/>
      <c r="U5289"/>
    </row>
    <row r="5290" spans="1:21">
      <c r="A5290"/>
      <c r="C5290"/>
      <c r="D5290"/>
      <c r="L5290"/>
      <c r="R5290"/>
      <c r="S5290"/>
      <c r="T5290"/>
      <c r="U5290"/>
    </row>
    <row r="5291" spans="1:21">
      <c r="A5291"/>
      <c r="C5291"/>
      <c r="D5291"/>
      <c r="L5291"/>
      <c r="R5291"/>
      <c r="S5291"/>
      <c r="T5291"/>
      <c r="U5291"/>
    </row>
    <row r="5292" spans="1:21">
      <c r="A5292"/>
      <c r="C5292"/>
      <c r="D5292"/>
      <c r="L5292"/>
      <c r="R5292"/>
      <c r="S5292"/>
      <c r="T5292"/>
      <c r="U5292"/>
    </row>
    <row r="5293" spans="1:21">
      <c r="A5293"/>
      <c r="C5293"/>
      <c r="D5293"/>
      <c r="L5293"/>
      <c r="R5293"/>
      <c r="S5293"/>
      <c r="T5293"/>
      <c r="U5293"/>
    </row>
    <row r="5294" spans="1:21">
      <c r="A5294"/>
      <c r="C5294"/>
      <c r="D5294"/>
      <c r="L5294"/>
      <c r="R5294"/>
      <c r="S5294"/>
      <c r="T5294"/>
      <c r="U5294"/>
    </row>
    <row r="5295" spans="1:21">
      <c r="A5295"/>
      <c r="C5295"/>
      <c r="D5295"/>
      <c r="L5295"/>
      <c r="R5295"/>
      <c r="S5295"/>
      <c r="T5295"/>
      <c r="U5295"/>
    </row>
    <row r="5296" spans="1:21">
      <c r="A5296"/>
      <c r="C5296"/>
      <c r="D5296"/>
      <c r="L5296"/>
      <c r="R5296"/>
      <c r="S5296"/>
      <c r="T5296"/>
      <c r="U5296"/>
    </row>
    <row r="5297" spans="1:21">
      <c r="A5297"/>
      <c r="C5297"/>
      <c r="D5297"/>
      <c r="L5297"/>
      <c r="R5297"/>
      <c r="S5297"/>
      <c r="T5297"/>
      <c r="U5297"/>
    </row>
    <row r="5298" spans="1:21">
      <c r="A5298"/>
      <c r="C5298"/>
      <c r="D5298"/>
      <c r="L5298"/>
      <c r="R5298"/>
      <c r="S5298"/>
      <c r="T5298"/>
      <c r="U5298"/>
    </row>
    <row r="5299" spans="1:21">
      <c r="A5299"/>
      <c r="C5299"/>
      <c r="D5299"/>
      <c r="L5299"/>
      <c r="R5299"/>
      <c r="S5299"/>
      <c r="T5299"/>
      <c r="U5299"/>
    </row>
    <row r="5300" spans="1:21">
      <c r="A5300"/>
      <c r="C5300"/>
      <c r="D5300"/>
      <c r="L5300"/>
      <c r="R5300"/>
      <c r="S5300"/>
      <c r="T5300"/>
      <c r="U5300"/>
    </row>
    <row r="5301" spans="1:21">
      <c r="A5301"/>
      <c r="C5301"/>
      <c r="D5301"/>
      <c r="L5301"/>
      <c r="R5301"/>
      <c r="S5301"/>
      <c r="T5301"/>
      <c r="U5301"/>
    </row>
    <row r="5302" spans="1:21">
      <c r="A5302"/>
      <c r="C5302"/>
      <c r="D5302"/>
      <c r="L5302"/>
      <c r="R5302"/>
      <c r="S5302"/>
      <c r="T5302"/>
      <c r="U5302"/>
    </row>
    <row r="5303" spans="1:21">
      <c r="A5303"/>
      <c r="C5303"/>
      <c r="D5303"/>
      <c r="L5303"/>
      <c r="R5303"/>
      <c r="S5303"/>
      <c r="T5303"/>
      <c r="U5303"/>
    </row>
    <row r="5304" spans="1:21">
      <c r="A5304"/>
      <c r="C5304"/>
      <c r="D5304"/>
      <c r="L5304"/>
      <c r="R5304"/>
      <c r="S5304"/>
      <c r="T5304"/>
      <c r="U5304"/>
    </row>
    <row r="5305" spans="1:21">
      <c r="A5305"/>
      <c r="C5305"/>
      <c r="D5305"/>
      <c r="L5305"/>
      <c r="R5305"/>
      <c r="S5305"/>
      <c r="T5305"/>
      <c r="U5305"/>
    </row>
    <row r="5306" spans="1:21">
      <c r="A5306"/>
      <c r="C5306"/>
      <c r="D5306"/>
      <c r="L5306"/>
      <c r="R5306"/>
      <c r="S5306"/>
      <c r="T5306"/>
      <c r="U5306"/>
    </row>
    <row r="5307" spans="1:21">
      <c r="A5307"/>
      <c r="C5307"/>
      <c r="D5307"/>
      <c r="L5307"/>
      <c r="R5307"/>
      <c r="S5307"/>
      <c r="T5307"/>
      <c r="U5307"/>
    </row>
    <row r="5308" spans="1:21">
      <c r="A5308"/>
      <c r="C5308"/>
      <c r="D5308"/>
      <c r="L5308"/>
      <c r="R5308"/>
      <c r="S5308"/>
      <c r="T5308"/>
      <c r="U5308"/>
    </row>
    <row r="5309" spans="1:21">
      <c r="A5309"/>
      <c r="C5309"/>
      <c r="D5309"/>
      <c r="L5309"/>
      <c r="R5309"/>
      <c r="S5309"/>
      <c r="T5309"/>
      <c r="U5309"/>
    </row>
    <row r="5310" spans="1:21">
      <c r="A5310"/>
      <c r="C5310"/>
      <c r="D5310"/>
      <c r="L5310"/>
      <c r="R5310"/>
      <c r="S5310"/>
      <c r="T5310"/>
      <c r="U5310"/>
    </row>
    <row r="5311" spans="1:21">
      <c r="A5311"/>
      <c r="C5311"/>
      <c r="D5311"/>
      <c r="L5311"/>
      <c r="R5311"/>
      <c r="S5311"/>
      <c r="T5311"/>
      <c r="U5311"/>
    </row>
    <row r="5312" spans="1:21">
      <c r="A5312"/>
      <c r="C5312"/>
      <c r="D5312"/>
      <c r="L5312"/>
      <c r="R5312"/>
      <c r="S5312"/>
      <c r="T5312"/>
      <c r="U5312"/>
    </row>
    <row r="5313" spans="1:21">
      <c r="A5313"/>
      <c r="C5313"/>
      <c r="D5313"/>
      <c r="L5313"/>
      <c r="R5313"/>
      <c r="S5313"/>
      <c r="T5313"/>
      <c r="U5313"/>
    </row>
    <row r="5314" spans="1:21">
      <c r="A5314"/>
      <c r="C5314"/>
      <c r="D5314"/>
      <c r="L5314"/>
      <c r="R5314"/>
      <c r="S5314"/>
      <c r="T5314"/>
      <c r="U5314"/>
    </row>
    <row r="5315" spans="1:21">
      <c r="A5315"/>
      <c r="C5315"/>
      <c r="D5315"/>
      <c r="L5315"/>
      <c r="R5315"/>
      <c r="S5315"/>
      <c r="T5315"/>
      <c r="U5315"/>
    </row>
    <row r="5316" spans="1:21">
      <c r="A5316"/>
      <c r="C5316"/>
      <c r="D5316"/>
      <c r="L5316"/>
      <c r="R5316"/>
      <c r="S5316"/>
      <c r="T5316"/>
      <c r="U5316"/>
    </row>
    <row r="5317" spans="1:21">
      <c r="A5317"/>
      <c r="C5317"/>
      <c r="D5317"/>
      <c r="L5317"/>
      <c r="R5317"/>
      <c r="S5317"/>
      <c r="T5317"/>
      <c r="U5317"/>
    </row>
    <row r="5318" spans="1:21">
      <c r="A5318"/>
      <c r="C5318"/>
      <c r="D5318"/>
      <c r="L5318"/>
      <c r="R5318"/>
      <c r="S5318"/>
      <c r="T5318"/>
      <c r="U5318"/>
    </row>
    <row r="5319" spans="1:21">
      <c r="A5319"/>
      <c r="C5319"/>
      <c r="D5319"/>
      <c r="L5319"/>
      <c r="R5319"/>
      <c r="S5319"/>
      <c r="T5319"/>
      <c r="U5319"/>
    </row>
    <row r="5320" spans="1:21">
      <c r="A5320"/>
      <c r="C5320"/>
      <c r="D5320"/>
      <c r="L5320"/>
      <c r="R5320"/>
      <c r="S5320"/>
      <c r="T5320"/>
      <c r="U5320"/>
    </row>
    <row r="5321" spans="1:21">
      <c r="A5321"/>
      <c r="C5321"/>
      <c r="D5321"/>
      <c r="L5321"/>
      <c r="R5321"/>
      <c r="S5321"/>
      <c r="T5321"/>
      <c r="U5321"/>
    </row>
    <row r="5322" spans="1:21">
      <c r="A5322"/>
      <c r="C5322"/>
      <c r="D5322"/>
      <c r="L5322"/>
      <c r="R5322"/>
      <c r="S5322"/>
      <c r="T5322"/>
      <c r="U5322"/>
    </row>
    <row r="5323" spans="1:21">
      <c r="A5323"/>
      <c r="C5323"/>
      <c r="D5323"/>
      <c r="L5323"/>
      <c r="R5323"/>
      <c r="S5323"/>
      <c r="T5323"/>
      <c r="U5323"/>
    </row>
    <row r="5324" spans="1:21">
      <c r="A5324"/>
      <c r="C5324"/>
      <c r="D5324"/>
      <c r="L5324"/>
      <c r="R5324"/>
      <c r="S5324"/>
      <c r="T5324"/>
      <c r="U5324"/>
    </row>
    <row r="5325" spans="1:21">
      <c r="A5325"/>
      <c r="C5325"/>
      <c r="D5325"/>
      <c r="L5325"/>
      <c r="R5325"/>
      <c r="S5325"/>
      <c r="T5325"/>
      <c r="U5325"/>
    </row>
    <row r="5326" spans="1:21">
      <c r="A5326"/>
      <c r="C5326"/>
      <c r="D5326"/>
      <c r="L5326"/>
      <c r="R5326"/>
      <c r="S5326"/>
      <c r="T5326"/>
      <c r="U5326"/>
    </row>
    <row r="5327" spans="1:21">
      <c r="A5327"/>
      <c r="C5327"/>
      <c r="D5327"/>
      <c r="L5327"/>
      <c r="R5327"/>
      <c r="S5327"/>
      <c r="T5327"/>
      <c r="U5327"/>
    </row>
    <row r="5328" spans="1:21">
      <c r="A5328"/>
      <c r="C5328"/>
      <c r="D5328"/>
      <c r="L5328"/>
      <c r="R5328"/>
      <c r="S5328"/>
      <c r="T5328"/>
      <c r="U5328"/>
    </row>
    <row r="5329" spans="1:21">
      <c r="A5329"/>
      <c r="C5329"/>
      <c r="D5329"/>
      <c r="L5329"/>
      <c r="R5329"/>
      <c r="S5329"/>
      <c r="T5329"/>
      <c r="U5329"/>
    </row>
    <row r="5330" spans="1:21">
      <c r="A5330"/>
      <c r="C5330"/>
      <c r="D5330"/>
      <c r="L5330"/>
      <c r="R5330"/>
      <c r="S5330"/>
      <c r="T5330"/>
      <c r="U5330"/>
    </row>
    <row r="5331" spans="1:21">
      <c r="A5331"/>
      <c r="C5331"/>
      <c r="D5331"/>
      <c r="L5331"/>
      <c r="R5331"/>
      <c r="S5331"/>
      <c r="T5331"/>
      <c r="U5331"/>
    </row>
    <row r="5332" spans="1:21">
      <c r="A5332"/>
      <c r="C5332"/>
      <c r="D5332"/>
      <c r="L5332"/>
      <c r="R5332"/>
      <c r="S5332"/>
      <c r="T5332"/>
      <c r="U5332"/>
    </row>
    <row r="5333" spans="1:21">
      <c r="A5333"/>
      <c r="C5333"/>
      <c r="D5333"/>
      <c r="L5333"/>
      <c r="R5333"/>
      <c r="S5333"/>
      <c r="T5333"/>
      <c r="U5333"/>
    </row>
    <row r="5334" spans="1:21">
      <c r="A5334"/>
      <c r="C5334"/>
      <c r="D5334"/>
      <c r="L5334"/>
      <c r="R5334"/>
      <c r="S5334"/>
      <c r="T5334"/>
      <c r="U5334"/>
    </row>
    <row r="5335" spans="1:21">
      <c r="A5335"/>
      <c r="C5335"/>
      <c r="D5335"/>
      <c r="L5335"/>
      <c r="R5335"/>
      <c r="S5335"/>
      <c r="T5335"/>
      <c r="U5335"/>
    </row>
    <row r="5336" spans="1:21">
      <c r="A5336"/>
      <c r="C5336"/>
      <c r="D5336"/>
      <c r="L5336"/>
      <c r="R5336"/>
      <c r="S5336"/>
      <c r="T5336"/>
      <c r="U5336"/>
    </row>
    <row r="5337" spans="1:21">
      <c r="A5337"/>
      <c r="C5337"/>
      <c r="D5337"/>
      <c r="L5337"/>
      <c r="R5337"/>
      <c r="S5337"/>
      <c r="T5337"/>
      <c r="U5337"/>
    </row>
    <row r="5338" spans="1:21">
      <c r="A5338"/>
      <c r="C5338"/>
      <c r="D5338"/>
      <c r="L5338"/>
      <c r="R5338"/>
      <c r="S5338"/>
      <c r="T5338"/>
      <c r="U5338"/>
    </row>
    <row r="5339" spans="1:21">
      <c r="A5339"/>
      <c r="C5339"/>
      <c r="D5339"/>
      <c r="L5339"/>
      <c r="R5339"/>
      <c r="S5339"/>
      <c r="T5339"/>
      <c r="U5339"/>
    </row>
    <row r="5340" spans="1:21">
      <c r="A5340"/>
      <c r="C5340"/>
      <c r="D5340"/>
      <c r="L5340"/>
      <c r="R5340"/>
      <c r="S5340"/>
      <c r="T5340"/>
      <c r="U5340"/>
    </row>
    <row r="5341" spans="1:21">
      <c r="A5341"/>
      <c r="C5341"/>
      <c r="D5341"/>
      <c r="L5341"/>
      <c r="R5341"/>
      <c r="S5341"/>
      <c r="T5341"/>
      <c r="U5341"/>
    </row>
    <row r="5342" spans="1:21">
      <c r="A5342"/>
      <c r="C5342"/>
      <c r="D5342"/>
      <c r="L5342"/>
      <c r="R5342"/>
      <c r="S5342"/>
      <c r="T5342"/>
      <c r="U5342"/>
    </row>
    <row r="5343" spans="1:21">
      <c r="A5343"/>
      <c r="C5343"/>
      <c r="D5343"/>
      <c r="L5343"/>
      <c r="R5343"/>
      <c r="S5343"/>
      <c r="T5343"/>
      <c r="U5343"/>
    </row>
    <row r="5344" spans="1:21">
      <c r="A5344"/>
      <c r="C5344"/>
      <c r="D5344"/>
      <c r="L5344"/>
      <c r="R5344"/>
      <c r="S5344"/>
      <c r="T5344"/>
      <c r="U5344"/>
    </row>
    <row r="5345" spans="1:21">
      <c r="A5345"/>
      <c r="C5345"/>
      <c r="D5345"/>
      <c r="L5345"/>
      <c r="R5345"/>
      <c r="S5345"/>
      <c r="T5345"/>
      <c r="U5345"/>
    </row>
    <row r="5346" spans="1:21">
      <c r="A5346"/>
      <c r="C5346"/>
      <c r="D5346"/>
      <c r="L5346"/>
      <c r="R5346"/>
      <c r="S5346"/>
      <c r="T5346"/>
      <c r="U5346"/>
    </row>
    <row r="5347" spans="1:21">
      <c r="A5347"/>
      <c r="C5347"/>
      <c r="D5347"/>
      <c r="L5347"/>
      <c r="R5347"/>
      <c r="S5347"/>
      <c r="T5347"/>
      <c r="U5347"/>
    </row>
    <row r="5348" spans="1:21">
      <c r="A5348"/>
      <c r="C5348"/>
      <c r="D5348"/>
      <c r="L5348"/>
      <c r="R5348"/>
      <c r="S5348"/>
      <c r="T5348"/>
      <c r="U5348"/>
    </row>
    <row r="5349" spans="1:21">
      <c r="A5349"/>
      <c r="C5349"/>
      <c r="D5349"/>
      <c r="L5349"/>
      <c r="R5349"/>
      <c r="S5349"/>
      <c r="T5349"/>
      <c r="U5349"/>
    </row>
    <row r="5350" spans="1:21">
      <c r="A5350"/>
      <c r="C5350"/>
      <c r="D5350"/>
      <c r="L5350"/>
      <c r="R5350"/>
      <c r="S5350"/>
      <c r="T5350"/>
      <c r="U5350"/>
    </row>
    <row r="5351" spans="1:21">
      <c r="A5351"/>
      <c r="C5351"/>
      <c r="D5351"/>
      <c r="L5351"/>
      <c r="R5351"/>
      <c r="S5351"/>
      <c r="T5351"/>
      <c r="U5351"/>
    </row>
    <row r="5352" spans="1:21">
      <c r="A5352"/>
      <c r="C5352"/>
      <c r="D5352"/>
      <c r="L5352"/>
      <c r="R5352"/>
      <c r="S5352"/>
      <c r="T5352"/>
      <c r="U5352"/>
    </row>
    <row r="5353" spans="1:21">
      <c r="A5353"/>
      <c r="C5353"/>
      <c r="D5353"/>
      <c r="L5353"/>
      <c r="R5353"/>
      <c r="S5353"/>
      <c r="T5353"/>
      <c r="U5353"/>
    </row>
    <row r="5354" spans="1:21">
      <c r="A5354"/>
      <c r="C5354"/>
      <c r="D5354"/>
      <c r="L5354"/>
      <c r="R5354"/>
      <c r="S5354"/>
      <c r="T5354"/>
      <c r="U5354"/>
    </row>
    <row r="5355" spans="1:21">
      <c r="A5355"/>
      <c r="C5355"/>
      <c r="D5355"/>
      <c r="L5355"/>
      <c r="R5355"/>
      <c r="S5355"/>
      <c r="T5355"/>
      <c r="U5355"/>
    </row>
    <row r="5356" spans="1:21">
      <c r="A5356"/>
      <c r="C5356"/>
      <c r="D5356"/>
      <c r="L5356"/>
      <c r="R5356"/>
      <c r="S5356"/>
      <c r="T5356"/>
      <c r="U5356"/>
    </row>
    <row r="5357" spans="1:21">
      <c r="A5357"/>
      <c r="C5357"/>
      <c r="D5357"/>
      <c r="L5357"/>
      <c r="R5357"/>
      <c r="S5357"/>
      <c r="T5357"/>
      <c r="U5357"/>
    </row>
    <row r="5358" spans="1:21">
      <c r="A5358"/>
      <c r="C5358"/>
      <c r="D5358"/>
      <c r="L5358"/>
      <c r="R5358"/>
      <c r="S5358"/>
      <c r="T5358"/>
      <c r="U5358"/>
    </row>
    <row r="5359" spans="1:21">
      <c r="A5359"/>
      <c r="C5359"/>
      <c r="D5359"/>
      <c r="L5359"/>
      <c r="R5359"/>
      <c r="S5359"/>
      <c r="T5359"/>
      <c r="U5359"/>
    </row>
    <row r="5360" spans="1:21">
      <c r="A5360"/>
      <c r="C5360"/>
      <c r="D5360"/>
      <c r="L5360"/>
      <c r="R5360"/>
      <c r="S5360"/>
      <c r="T5360"/>
      <c r="U5360"/>
    </row>
    <row r="5361" spans="1:21">
      <c r="A5361"/>
      <c r="C5361"/>
      <c r="D5361"/>
      <c r="L5361"/>
      <c r="R5361"/>
      <c r="S5361"/>
      <c r="T5361"/>
      <c r="U5361"/>
    </row>
    <row r="5362" spans="1:21">
      <c r="A5362"/>
      <c r="C5362"/>
      <c r="D5362"/>
      <c r="L5362"/>
      <c r="R5362"/>
      <c r="S5362"/>
      <c r="T5362"/>
      <c r="U5362"/>
    </row>
    <row r="5363" spans="1:21">
      <c r="A5363"/>
      <c r="C5363"/>
      <c r="D5363"/>
      <c r="L5363"/>
      <c r="R5363"/>
      <c r="S5363"/>
      <c r="T5363"/>
      <c r="U5363"/>
    </row>
    <row r="5364" spans="1:21">
      <c r="A5364"/>
      <c r="C5364"/>
      <c r="D5364"/>
      <c r="L5364"/>
      <c r="R5364"/>
      <c r="S5364"/>
      <c r="T5364"/>
      <c r="U5364"/>
    </row>
    <row r="5365" spans="1:21">
      <c r="A5365"/>
      <c r="C5365"/>
      <c r="D5365"/>
      <c r="L5365"/>
      <c r="R5365"/>
      <c r="S5365"/>
      <c r="T5365"/>
      <c r="U5365"/>
    </row>
    <row r="5366" spans="1:21">
      <c r="A5366"/>
      <c r="C5366"/>
      <c r="D5366"/>
      <c r="L5366"/>
      <c r="R5366"/>
      <c r="S5366"/>
      <c r="T5366"/>
      <c r="U5366"/>
    </row>
    <row r="5367" spans="1:21">
      <c r="A5367"/>
      <c r="C5367"/>
      <c r="D5367"/>
      <c r="L5367"/>
      <c r="R5367"/>
      <c r="S5367"/>
      <c r="T5367"/>
      <c r="U5367"/>
    </row>
    <row r="5368" spans="1:21">
      <c r="A5368"/>
      <c r="C5368"/>
      <c r="D5368"/>
      <c r="L5368"/>
      <c r="R5368"/>
      <c r="S5368"/>
      <c r="T5368"/>
      <c r="U5368"/>
    </row>
    <row r="5369" spans="1:21">
      <c r="A5369"/>
      <c r="C5369"/>
      <c r="D5369"/>
      <c r="L5369"/>
      <c r="R5369"/>
      <c r="S5369"/>
      <c r="T5369"/>
      <c r="U5369"/>
    </row>
    <row r="5370" spans="1:21">
      <c r="A5370"/>
      <c r="C5370"/>
      <c r="D5370"/>
      <c r="L5370"/>
      <c r="R5370"/>
      <c r="S5370"/>
      <c r="T5370"/>
      <c r="U5370"/>
    </row>
    <row r="5371" spans="1:21">
      <c r="A5371"/>
      <c r="C5371"/>
      <c r="D5371"/>
      <c r="L5371"/>
      <c r="R5371"/>
      <c r="S5371"/>
      <c r="T5371"/>
      <c r="U5371"/>
    </row>
    <row r="5372" spans="1:21">
      <c r="A5372"/>
      <c r="C5372"/>
      <c r="D5372"/>
      <c r="L5372"/>
      <c r="R5372"/>
      <c r="S5372"/>
      <c r="T5372"/>
      <c r="U5372"/>
    </row>
    <row r="5373" spans="1:21">
      <c r="A5373"/>
      <c r="C5373"/>
      <c r="D5373"/>
      <c r="L5373"/>
      <c r="R5373"/>
      <c r="S5373"/>
      <c r="T5373"/>
      <c r="U5373"/>
    </row>
    <row r="5374" spans="1:21">
      <c r="A5374"/>
      <c r="C5374"/>
      <c r="D5374"/>
      <c r="L5374"/>
      <c r="R5374"/>
      <c r="S5374"/>
      <c r="T5374"/>
      <c r="U5374"/>
    </row>
    <row r="5375" spans="1:21">
      <c r="A5375"/>
      <c r="C5375"/>
      <c r="D5375"/>
      <c r="L5375"/>
      <c r="R5375"/>
      <c r="S5375"/>
      <c r="T5375"/>
      <c r="U5375"/>
    </row>
    <row r="5376" spans="1:21">
      <c r="A5376"/>
      <c r="C5376"/>
      <c r="D5376"/>
      <c r="L5376"/>
      <c r="R5376"/>
      <c r="S5376"/>
      <c r="T5376"/>
      <c r="U5376"/>
    </row>
    <row r="5377" spans="1:21">
      <c r="A5377"/>
      <c r="C5377"/>
      <c r="D5377"/>
      <c r="L5377"/>
      <c r="R5377"/>
      <c r="S5377"/>
      <c r="T5377"/>
      <c r="U5377"/>
    </row>
    <row r="5378" spans="1:21">
      <c r="A5378"/>
      <c r="C5378"/>
      <c r="D5378"/>
      <c r="L5378"/>
      <c r="R5378"/>
      <c r="S5378"/>
      <c r="T5378"/>
      <c r="U5378"/>
    </row>
    <row r="5379" spans="1:21">
      <c r="A5379"/>
      <c r="C5379"/>
      <c r="D5379"/>
      <c r="L5379"/>
      <c r="R5379"/>
      <c r="S5379"/>
      <c r="T5379"/>
      <c r="U5379"/>
    </row>
    <row r="5380" spans="1:21">
      <c r="A5380"/>
      <c r="C5380"/>
      <c r="D5380"/>
      <c r="L5380"/>
      <c r="R5380"/>
      <c r="S5380"/>
      <c r="T5380"/>
      <c r="U5380"/>
    </row>
    <row r="5381" spans="1:21">
      <c r="A5381"/>
      <c r="C5381"/>
      <c r="D5381"/>
      <c r="L5381"/>
      <c r="R5381"/>
      <c r="S5381"/>
      <c r="T5381"/>
      <c r="U5381"/>
    </row>
    <row r="5382" spans="1:21">
      <c r="A5382"/>
      <c r="C5382"/>
      <c r="D5382"/>
      <c r="L5382"/>
      <c r="R5382"/>
      <c r="S5382"/>
      <c r="T5382"/>
      <c r="U5382"/>
    </row>
    <row r="5383" spans="1:21">
      <c r="A5383"/>
      <c r="C5383"/>
      <c r="D5383"/>
      <c r="L5383"/>
      <c r="R5383"/>
      <c r="S5383"/>
      <c r="T5383"/>
      <c r="U5383"/>
    </row>
    <row r="5384" spans="1:21">
      <c r="A5384"/>
      <c r="C5384"/>
      <c r="D5384"/>
      <c r="L5384"/>
      <c r="R5384"/>
      <c r="S5384"/>
      <c r="T5384"/>
      <c r="U5384"/>
    </row>
    <row r="5385" spans="1:21">
      <c r="A5385"/>
      <c r="C5385"/>
      <c r="D5385"/>
      <c r="L5385"/>
      <c r="R5385"/>
      <c r="S5385"/>
      <c r="T5385"/>
      <c r="U5385"/>
    </row>
    <row r="5386" spans="1:21">
      <c r="A5386"/>
      <c r="C5386"/>
      <c r="D5386"/>
      <c r="L5386"/>
      <c r="R5386"/>
      <c r="S5386"/>
      <c r="T5386"/>
      <c r="U5386"/>
    </row>
    <row r="5387" spans="1:21">
      <c r="A5387"/>
      <c r="C5387"/>
      <c r="D5387"/>
      <c r="L5387"/>
      <c r="R5387"/>
      <c r="S5387"/>
      <c r="T5387"/>
      <c r="U5387"/>
    </row>
    <row r="5388" spans="1:21">
      <c r="A5388"/>
      <c r="C5388"/>
      <c r="D5388"/>
      <c r="L5388"/>
      <c r="R5388"/>
      <c r="S5388"/>
      <c r="T5388"/>
      <c r="U5388"/>
    </row>
    <row r="5389" spans="1:21">
      <c r="A5389"/>
      <c r="C5389"/>
      <c r="D5389"/>
      <c r="L5389"/>
      <c r="R5389"/>
      <c r="S5389"/>
      <c r="T5389"/>
      <c r="U5389"/>
    </row>
    <row r="5390" spans="1:21">
      <c r="A5390"/>
      <c r="C5390"/>
      <c r="D5390"/>
      <c r="L5390"/>
      <c r="R5390"/>
      <c r="S5390"/>
      <c r="T5390"/>
      <c r="U5390"/>
    </row>
    <row r="5391" spans="1:21">
      <c r="A5391"/>
      <c r="C5391"/>
      <c r="D5391"/>
      <c r="L5391"/>
      <c r="R5391"/>
      <c r="S5391"/>
      <c r="T5391"/>
      <c r="U5391"/>
    </row>
    <row r="5392" spans="1:21">
      <c r="A5392"/>
      <c r="C5392"/>
      <c r="D5392"/>
      <c r="L5392"/>
      <c r="R5392"/>
      <c r="S5392"/>
      <c r="T5392"/>
      <c r="U5392"/>
    </row>
    <row r="5393" spans="1:21">
      <c r="A5393"/>
      <c r="C5393"/>
      <c r="D5393"/>
      <c r="L5393"/>
      <c r="R5393"/>
      <c r="S5393"/>
      <c r="T5393"/>
      <c r="U5393"/>
    </row>
    <row r="5394" spans="1:21">
      <c r="A5394"/>
      <c r="C5394"/>
      <c r="D5394"/>
      <c r="L5394"/>
      <c r="R5394"/>
      <c r="S5394"/>
      <c r="T5394"/>
      <c r="U5394"/>
    </row>
    <row r="5395" spans="1:21">
      <c r="A5395"/>
      <c r="C5395"/>
      <c r="D5395"/>
      <c r="L5395"/>
      <c r="R5395"/>
      <c r="S5395"/>
      <c r="T5395"/>
      <c r="U5395"/>
    </row>
    <row r="5396" spans="1:21">
      <c r="A5396"/>
      <c r="C5396"/>
      <c r="D5396"/>
      <c r="L5396"/>
      <c r="R5396"/>
      <c r="S5396"/>
      <c r="T5396"/>
      <c r="U5396"/>
    </row>
    <row r="5397" spans="1:21">
      <c r="A5397"/>
      <c r="C5397"/>
      <c r="D5397"/>
      <c r="L5397"/>
      <c r="R5397"/>
      <c r="S5397"/>
      <c r="T5397"/>
      <c r="U5397"/>
    </row>
    <row r="5398" spans="1:21">
      <c r="A5398"/>
      <c r="C5398"/>
      <c r="D5398"/>
      <c r="L5398"/>
      <c r="R5398"/>
      <c r="S5398"/>
      <c r="T5398"/>
      <c r="U5398"/>
    </row>
    <row r="5399" spans="1:21">
      <c r="A5399"/>
      <c r="C5399"/>
      <c r="D5399"/>
      <c r="L5399"/>
      <c r="R5399"/>
      <c r="S5399"/>
      <c r="T5399"/>
      <c r="U5399"/>
    </row>
    <row r="5400" spans="1:21">
      <c r="A5400"/>
      <c r="C5400"/>
      <c r="D5400"/>
      <c r="L5400"/>
      <c r="R5400"/>
      <c r="S5400"/>
      <c r="T5400"/>
      <c r="U5400"/>
    </row>
    <row r="5401" spans="1:21">
      <c r="A5401"/>
      <c r="C5401"/>
      <c r="D5401"/>
      <c r="L5401"/>
      <c r="R5401"/>
      <c r="S5401"/>
      <c r="T5401"/>
      <c r="U5401"/>
    </row>
    <row r="5402" spans="1:21">
      <c r="A5402"/>
      <c r="C5402"/>
      <c r="D5402"/>
      <c r="L5402"/>
      <c r="R5402"/>
      <c r="S5402"/>
      <c r="T5402"/>
      <c r="U5402"/>
    </row>
    <row r="5403" spans="1:21">
      <c r="A5403"/>
      <c r="C5403"/>
      <c r="D5403"/>
      <c r="L5403"/>
      <c r="R5403"/>
      <c r="S5403"/>
      <c r="T5403"/>
      <c r="U5403"/>
    </row>
    <row r="5404" spans="1:21">
      <c r="A5404"/>
      <c r="C5404"/>
      <c r="D5404"/>
      <c r="L5404"/>
      <c r="R5404"/>
      <c r="S5404"/>
      <c r="T5404"/>
      <c r="U5404"/>
    </row>
    <row r="5405" spans="1:21">
      <c r="A5405"/>
      <c r="C5405"/>
      <c r="D5405"/>
      <c r="L5405"/>
      <c r="R5405"/>
      <c r="S5405"/>
      <c r="T5405"/>
      <c r="U5405"/>
    </row>
    <row r="5406" spans="1:21">
      <c r="A5406"/>
      <c r="C5406"/>
      <c r="D5406"/>
      <c r="L5406"/>
      <c r="R5406"/>
      <c r="S5406"/>
      <c r="T5406"/>
      <c r="U5406"/>
    </row>
    <row r="5407" spans="1:21">
      <c r="A5407"/>
      <c r="C5407"/>
      <c r="D5407"/>
      <c r="L5407"/>
      <c r="R5407"/>
      <c r="S5407"/>
      <c r="T5407"/>
      <c r="U5407"/>
    </row>
    <row r="5408" spans="1:21">
      <c r="A5408"/>
      <c r="C5408"/>
      <c r="D5408"/>
      <c r="L5408"/>
      <c r="R5408"/>
      <c r="S5408"/>
      <c r="T5408"/>
      <c r="U5408"/>
    </row>
    <row r="5409" spans="1:21">
      <c r="A5409"/>
      <c r="C5409"/>
      <c r="D5409"/>
      <c r="L5409"/>
      <c r="R5409"/>
      <c r="S5409"/>
      <c r="T5409"/>
      <c r="U5409"/>
    </row>
    <row r="5410" spans="1:21">
      <c r="A5410"/>
      <c r="C5410"/>
      <c r="D5410"/>
      <c r="L5410"/>
      <c r="R5410"/>
      <c r="S5410"/>
      <c r="T5410"/>
      <c r="U5410"/>
    </row>
    <row r="5411" spans="1:21">
      <c r="A5411"/>
      <c r="C5411"/>
      <c r="D5411"/>
      <c r="L5411"/>
      <c r="R5411"/>
      <c r="S5411"/>
      <c r="T5411"/>
      <c r="U5411"/>
    </row>
    <row r="5412" spans="1:21">
      <c r="A5412"/>
      <c r="C5412"/>
      <c r="D5412"/>
      <c r="L5412"/>
      <c r="R5412"/>
      <c r="S5412"/>
      <c r="T5412"/>
      <c r="U5412"/>
    </row>
    <row r="5413" spans="1:21">
      <c r="A5413"/>
      <c r="C5413"/>
      <c r="D5413"/>
      <c r="L5413"/>
      <c r="R5413"/>
      <c r="S5413"/>
      <c r="T5413"/>
      <c r="U5413"/>
    </row>
    <row r="5414" spans="1:21">
      <c r="A5414"/>
      <c r="C5414"/>
      <c r="D5414"/>
      <c r="L5414"/>
      <c r="R5414"/>
      <c r="S5414"/>
      <c r="T5414"/>
      <c r="U5414"/>
    </row>
    <row r="5415" spans="1:21">
      <c r="A5415"/>
      <c r="C5415"/>
      <c r="D5415"/>
      <c r="L5415"/>
      <c r="R5415"/>
      <c r="S5415"/>
      <c r="T5415"/>
      <c r="U5415"/>
    </row>
    <row r="5416" spans="1:21">
      <c r="A5416"/>
      <c r="C5416"/>
      <c r="D5416"/>
      <c r="L5416"/>
      <c r="R5416"/>
      <c r="S5416"/>
      <c r="T5416"/>
      <c r="U5416"/>
    </row>
    <row r="5417" spans="1:21">
      <c r="A5417"/>
      <c r="C5417"/>
      <c r="D5417"/>
      <c r="L5417"/>
      <c r="R5417"/>
      <c r="S5417"/>
      <c r="T5417"/>
      <c r="U5417"/>
    </row>
    <row r="5418" spans="1:21">
      <c r="A5418"/>
      <c r="C5418"/>
      <c r="D5418"/>
      <c r="L5418"/>
      <c r="R5418"/>
      <c r="S5418"/>
      <c r="T5418"/>
      <c r="U5418"/>
    </row>
    <row r="5419" spans="1:21">
      <c r="A5419"/>
      <c r="C5419"/>
      <c r="D5419"/>
      <c r="L5419"/>
      <c r="R5419"/>
      <c r="S5419"/>
      <c r="T5419"/>
      <c r="U5419"/>
    </row>
    <row r="5420" spans="1:21">
      <c r="A5420"/>
      <c r="C5420"/>
      <c r="D5420"/>
      <c r="L5420"/>
      <c r="R5420"/>
      <c r="S5420"/>
      <c r="T5420"/>
      <c r="U5420"/>
    </row>
    <row r="5421" spans="1:21">
      <c r="A5421"/>
      <c r="C5421"/>
      <c r="D5421"/>
      <c r="L5421"/>
      <c r="R5421"/>
      <c r="S5421"/>
      <c r="T5421"/>
      <c r="U5421"/>
    </row>
    <row r="5422" spans="1:21">
      <c r="A5422"/>
      <c r="C5422"/>
      <c r="D5422"/>
      <c r="L5422"/>
      <c r="R5422"/>
      <c r="S5422"/>
      <c r="T5422"/>
      <c r="U5422"/>
    </row>
    <row r="5423" spans="1:21">
      <c r="A5423"/>
      <c r="C5423"/>
      <c r="D5423"/>
      <c r="L5423"/>
      <c r="R5423"/>
      <c r="S5423"/>
      <c r="T5423"/>
      <c r="U5423"/>
    </row>
    <row r="5424" spans="1:21">
      <c r="A5424"/>
      <c r="C5424"/>
      <c r="D5424"/>
      <c r="L5424"/>
      <c r="R5424"/>
      <c r="S5424"/>
      <c r="T5424"/>
      <c r="U5424"/>
    </row>
    <row r="5425" spans="1:21">
      <c r="A5425"/>
      <c r="C5425"/>
      <c r="D5425"/>
      <c r="L5425"/>
      <c r="R5425"/>
      <c r="S5425"/>
      <c r="T5425"/>
      <c r="U5425"/>
    </row>
    <row r="5426" spans="1:21">
      <c r="A5426"/>
      <c r="C5426"/>
      <c r="D5426"/>
      <c r="L5426"/>
      <c r="R5426"/>
      <c r="S5426"/>
      <c r="T5426"/>
      <c r="U5426"/>
    </row>
    <row r="5427" spans="1:21">
      <c r="A5427"/>
      <c r="C5427"/>
      <c r="D5427"/>
      <c r="L5427"/>
      <c r="R5427"/>
      <c r="S5427"/>
      <c r="T5427"/>
      <c r="U5427"/>
    </row>
    <row r="5428" spans="1:21">
      <c r="A5428"/>
      <c r="C5428"/>
      <c r="D5428"/>
      <c r="L5428"/>
      <c r="R5428"/>
      <c r="S5428"/>
      <c r="T5428"/>
      <c r="U5428"/>
    </row>
    <row r="5429" spans="1:21">
      <c r="A5429"/>
      <c r="C5429"/>
      <c r="D5429"/>
      <c r="L5429"/>
      <c r="R5429"/>
      <c r="S5429"/>
      <c r="T5429"/>
      <c r="U5429"/>
    </row>
    <row r="5430" spans="1:21">
      <c r="A5430"/>
      <c r="C5430"/>
      <c r="D5430"/>
      <c r="L5430"/>
      <c r="R5430"/>
      <c r="S5430"/>
      <c r="T5430"/>
      <c r="U5430"/>
    </row>
    <row r="5431" spans="1:21">
      <c r="A5431"/>
      <c r="C5431"/>
      <c r="D5431"/>
      <c r="L5431"/>
      <c r="R5431"/>
      <c r="S5431"/>
      <c r="T5431"/>
      <c r="U5431"/>
    </row>
    <row r="5432" spans="1:21">
      <c r="A5432"/>
      <c r="C5432"/>
      <c r="D5432"/>
      <c r="L5432"/>
      <c r="R5432"/>
      <c r="S5432"/>
      <c r="T5432"/>
      <c r="U5432"/>
    </row>
    <row r="5433" spans="1:21">
      <c r="A5433"/>
      <c r="C5433"/>
      <c r="D5433"/>
      <c r="L5433"/>
      <c r="R5433"/>
      <c r="S5433"/>
      <c r="T5433"/>
      <c r="U5433"/>
    </row>
    <row r="5434" spans="1:21">
      <c r="A5434"/>
      <c r="C5434"/>
      <c r="D5434"/>
      <c r="L5434"/>
      <c r="R5434"/>
      <c r="S5434"/>
      <c r="T5434"/>
      <c r="U5434"/>
    </row>
    <row r="5435" spans="1:21">
      <c r="A5435"/>
      <c r="C5435"/>
      <c r="D5435"/>
      <c r="L5435"/>
      <c r="R5435"/>
      <c r="S5435"/>
      <c r="T5435"/>
      <c r="U5435"/>
    </row>
    <row r="5436" spans="1:21">
      <c r="A5436"/>
      <c r="C5436"/>
      <c r="D5436"/>
      <c r="L5436"/>
      <c r="R5436"/>
      <c r="S5436"/>
      <c r="T5436"/>
      <c r="U5436"/>
    </row>
    <row r="5437" spans="1:21">
      <c r="A5437"/>
      <c r="C5437"/>
      <c r="D5437"/>
      <c r="L5437"/>
      <c r="R5437"/>
      <c r="S5437"/>
      <c r="T5437"/>
      <c r="U5437"/>
    </row>
    <row r="5438" spans="1:21">
      <c r="A5438"/>
      <c r="C5438"/>
      <c r="D5438"/>
      <c r="L5438"/>
      <c r="R5438"/>
      <c r="S5438"/>
      <c r="T5438"/>
      <c r="U5438"/>
    </row>
    <row r="5439" spans="1:21">
      <c r="A5439"/>
      <c r="C5439"/>
      <c r="D5439"/>
      <c r="L5439"/>
      <c r="R5439"/>
      <c r="S5439"/>
      <c r="T5439"/>
      <c r="U5439"/>
    </row>
    <row r="5440" spans="1:21">
      <c r="A5440"/>
      <c r="C5440"/>
      <c r="D5440"/>
      <c r="L5440"/>
      <c r="R5440"/>
      <c r="S5440"/>
      <c r="T5440"/>
      <c r="U5440"/>
    </row>
    <row r="5441" spans="1:21">
      <c r="A5441"/>
      <c r="C5441"/>
      <c r="D5441"/>
      <c r="L5441"/>
      <c r="R5441"/>
      <c r="S5441"/>
      <c r="T5441"/>
      <c r="U5441"/>
    </row>
    <row r="5442" spans="1:21">
      <c r="A5442"/>
      <c r="C5442"/>
      <c r="D5442"/>
      <c r="L5442"/>
      <c r="R5442"/>
      <c r="S5442"/>
      <c r="T5442"/>
      <c r="U5442"/>
    </row>
    <row r="5443" spans="1:21">
      <c r="A5443"/>
      <c r="C5443"/>
      <c r="D5443"/>
      <c r="L5443"/>
      <c r="R5443"/>
      <c r="S5443"/>
      <c r="T5443"/>
      <c r="U5443"/>
    </row>
    <row r="5444" spans="1:21">
      <c r="A5444"/>
      <c r="C5444"/>
      <c r="D5444"/>
      <c r="L5444"/>
      <c r="R5444"/>
      <c r="S5444"/>
      <c r="T5444"/>
      <c r="U5444"/>
    </row>
    <row r="5445" spans="1:21">
      <c r="A5445"/>
      <c r="C5445"/>
      <c r="D5445"/>
      <c r="L5445"/>
      <c r="R5445"/>
      <c r="S5445"/>
      <c r="T5445"/>
      <c r="U5445"/>
    </row>
    <row r="5446" spans="1:21">
      <c r="A5446"/>
      <c r="C5446"/>
      <c r="D5446"/>
      <c r="L5446"/>
      <c r="R5446"/>
      <c r="S5446"/>
      <c r="T5446"/>
      <c r="U5446"/>
    </row>
    <row r="5447" spans="1:21">
      <c r="A5447"/>
      <c r="C5447"/>
      <c r="D5447"/>
      <c r="L5447"/>
      <c r="R5447"/>
      <c r="S5447"/>
      <c r="T5447"/>
      <c r="U5447"/>
    </row>
    <row r="5448" spans="1:21">
      <c r="A5448"/>
      <c r="C5448"/>
      <c r="D5448"/>
      <c r="L5448"/>
      <c r="R5448"/>
      <c r="S5448"/>
      <c r="T5448"/>
      <c r="U5448"/>
    </row>
    <row r="5449" spans="1:21">
      <c r="A5449"/>
      <c r="C5449"/>
      <c r="D5449"/>
      <c r="L5449"/>
      <c r="R5449"/>
      <c r="S5449"/>
      <c r="T5449"/>
      <c r="U5449"/>
    </row>
    <row r="5450" spans="1:21">
      <c r="A5450"/>
      <c r="C5450"/>
      <c r="D5450"/>
      <c r="L5450"/>
      <c r="R5450"/>
      <c r="S5450"/>
      <c r="T5450"/>
      <c r="U5450"/>
    </row>
    <row r="5451" spans="1:21">
      <c r="A5451"/>
      <c r="C5451"/>
      <c r="D5451"/>
      <c r="L5451"/>
      <c r="R5451"/>
      <c r="S5451"/>
      <c r="T5451"/>
      <c r="U5451"/>
    </row>
    <row r="5452" spans="1:21">
      <c r="A5452"/>
      <c r="C5452"/>
      <c r="D5452"/>
      <c r="L5452"/>
      <c r="R5452"/>
      <c r="S5452"/>
      <c r="T5452"/>
      <c r="U5452"/>
    </row>
    <row r="5453" spans="1:21">
      <c r="A5453"/>
      <c r="C5453"/>
      <c r="D5453"/>
      <c r="L5453"/>
      <c r="R5453"/>
      <c r="S5453"/>
      <c r="T5453"/>
      <c r="U5453"/>
    </row>
    <row r="5454" spans="1:21">
      <c r="A5454"/>
      <c r="C5454"/>
      <c r="D5454"/>
      <c r="L5454"/>
      <c r="R5454"/>
      <c r="S5454"/>
      <c r="T5454"/>
      <c r="U5454"/>
    </row>
    <row r="5455" spans="1:21">
      <c r="A5455"/>
      <c r="C5455"/>
      <c r="D5455"/>
      <c r="L5455"/>
      <c r="R5455"/>
      <c r="S5455"/>
      <c r="T5455"/>
      <c r="U5455"/>
    </row>
    <row r="5456" spans="1:21">
      <c r="A5456"/>
      <c r="C5456"/>
      <c r="D5456"/>
      <c r="L5456"/>
      <c r="R5456"/>
      <c r="S5456"/>
      <c r="T5456"/>
      <c r="U5456"/>
    </row>
    <row r="5457" spans="1:21">
      <c r="A5457"/>
      <c r="C5457"/>
      <c r="D5457"/>
      <c r="L5457"/>
      <c r="R5457"/>
      <c r="S5457"/>
      <c r="T5457"/>
      <c r="U5457"/>
    </row>
    <row r="5458" spans="1:21">
      <c r="A5458"/>
      <c r="C5458"/>
      <c r="D5458"/>
      <c r="L5458"/>
      <c r="R5458"/>
      <c r="S5458"/>
      <c r="T5458"/>
      <c r="U5458"/>
    </row>
    <row r="5459" spans="1:21">
      <c r="A5459"/>
      <c r="C5459"/>
      <c r="D5459"/>
      <c r="L5459"/>
      <c r="R5459"/>
      <c r="S5459"/>
      <c r="T5459"/>
      <c r="U5459"/>
    </row>
    <row r="5460" spans="1:21">
      <c r="A5460"/>
      <c r="C5460"/>
      <c r="D5460"/>
      <c r="L5460"/>
      <c r="R5460"/>
      <c r="S5460"/>
      <c r="T5460"/>
      <c r="U5460"/>
    </row>
    <row r="5461" spans="1:21">
      <c r="A5461"/>
      <c r="C5461"/>
      <c r="D5461"/>
      <c r="L5461"/>
      <c r="R5461"/>
      <c r="S5461"/>
      <c r="T5461"/>
      <c r="U5461"/>
    </row>
    <row r="5462" spans="1:21">
      <c r="A5462"/>
      <c r="C5462"/>
      <c r="D5462"/>
      <c r="L5462"/>
      <c r="R5462"/>
      <c r="S5462"/>
      <c r="T5462"/>
      <c r="U5462"/>
    </row>
    <row r="5463" spans="1:21">
      <c r="A5463"/>
      <c r="C5463"/>
      <c r="D5463"/>
      <c r="L5463"/>
      <c r="R5463"/>
      <c r="S5463"/>
      <c r="T5463"/>
      <c r="U5463"/>
    </row>
    <row r="5464" spans="1:21">
      <c r="A5464"/>
      <c r="C5464"/>
      <c r="D5464"/>
      <c r="L5464"/>
      <c r="R5464"/>
      <c r="S5464"/>
      <c r="T5464"/>
      <c r="U5464"/>
    </row>
    <row r="5465" spans="1:21">
      <c r="A5465"/>
      <c r="C5465"/>
      <c r="D5465"/>
      <c r="L5465"/>
      <c r="R5465"/>
      <c r="S5465"/>
      <c r="T5465"/>
      <c r="U5465"/>
    </row>
    <row r="5466" spans="1:21">
      <c r="A5466"/>
      <c r="C5466"/>
      <c r="D5466"/>
      <c r="L5466"/>
      <c r="R5466"/>
      <c r="S5466"/>
      <c r="T5466"/>
      <c r="U5466"/>
    </row>
    <row r="5467" spans="1:21">
      <c r="A5467"/>
      <c r="C5467"/>
      <c r="D5467"/>
      <c r="L5467"/>
      <c r="R5467"/>
      <c r="S5467"/>
      <c r="T5467"/>
      <c r="U5467"/>
    </row>
    <row r="5468" spans="1:21">
      <c r="A5468"/>
      <c r="C5468"/>
      <c r="D5468"/>
      <c r="L5468"/>
      <c r="R5468"/>
      <c r="S5468"/>
      <c r="T5468"/>
      <c r="U5468"/>
    </row>
    <row r="5469" spans="1:21">
      <c r="A5469"/>
      <c r="C5469"/>
      <c r="D5469"/>
      <c r="L5469"/>
      <c r="R5469"/>
      <c r="S5469"/>
      <c r="T5469"/>
      <c r="U5469"/>
    </row>
    <row r="5470" spans="1:21">
      <c r="A5470"/>
      <c r="C5470"/>
      <c r="D5470"/>
      <c r="L5470"/>
      <c r="R5470"/>
      <c r="S5470"/>
      <c r="T5470"/>
      <c r="U5470"/>
    </row>
    <row r="5471" spans="1:21">
      <c r="A5471"/>
      <c r="C5471"/>
      <c r="D5471"/>
      <c r="L5471"/>
      <c r="R5471"/>
      <c r="S5471"/>
      <c r="T5471"/>
      <c r="U5471"/>
    </row>
    <row r="5472" spans="1:21">
      <c r="A5472"/>
      <c r="C5472"/>
      <c r="D5472"/>
      <c r="L5472"/>
      <c r="R5472"/>
      <c r="S5472"/>
      <c r="T5472"/>
      <c r="U5472"/>
    </row>
    <row r="5473" spans="1:21">
      <c r="A5473"/>
      <c r="C5473"/>
      <c r="D5473"/>
      <c r="L5473"/>
      <c r="R5473"/>
      <c r="S5473"/>
      <c r="T5473"/>
      <c r="U5473"/>
    </row>
    <row r="5474" spans="1:21">
      <c r="A5474"/>
      <c r="C5474"/>
      <c r="D5474"/>
      <c r="L5474"/>
      <c r="R5474"/>
      <c r="S5474"/>
      <c r="T5474"/>
      <c r="U5474"/>
    </row>
    <row r="5475" spans="1:21">
      <c r="A5475"/>
      <c r="C5475"/>
      <c r="D5475"/>
      <c r="L5475"/>
      <c r="R5475"/>
      <c r="S5475"/>
      <c r="T5475"/>
      <c r="U5475"/>
    </row>
    <row r="5476" spans="1:21">
      <c r="A5476"/>
      <c r="C5476"/>
      <c r="D5476"/>
      <c r="L5476"/>
      <c r="R5476"/>
      <c r="S5476"/>
      <c r="T5476"/>
      <c r="U5476"/>
    </row>
    <row r="5477" spans="1:21">
      <c r="A5477"/>
      <c r="C5477"/>
      <c r="D5477"/>
      <c r="L5477"/>
      <c r="R5477"/>
      <c r="S5477"/>
      <c r="T5477"/>
      <c r="U5477"/>
    </row>
    <row r="5478" spans="1:21">
      <c r="A5478"/>
      <c r="C5478"/>
      <c r="D5478"/>
      <c r="L5478"/>
      <c r="R5478"/>
      <c r="S5478"/>
      <c r="T5478"/>
      <c r="U5478"/>
    </row>
    <row r="5479" spans="1:21">
      <c r="A5479"/>
      <c r="C5479"/>
      <c r="D5479"/>
      <c r="L5479"/>
      <c r="R5479"/>
      <c r="S5479"/>
      <c r="T5479"/>
      <c r="U5479"/>
    </row>
    <row r="5480" spans="1:21">
      <c r="A5480"/>
      <c r="C5480"/>
      <c r="D5480"/>
      <c r="L5480"/>
      <c r="R5480"/>
      <c r="S5480"/>
      <c r="T5480"/>
      <c r="U5480"/>
    </row>
    <row r="5481" spans="1:21">
      <c r="A5481"/>
      <c r="C5481"/>
      <c r="D5481"/>
      <c r="L5481"/>
      <c r="R5481"/>
      <c r="S5481"/>
      <c r="T5481"/>
      <c r="U5481"/>
    </row>
    <row r="5482" spans="1:21">
      <c r="A5482"/>
      <c r="C5482"/>
      <c r="D5482"/>
      <c r="L5482"/>
      <c r="R5482"/>
      <c r="S5482"/>
      <c r="T5482"/>
      <c r="U5482"/>
    </row>
    <row r="5483" spans="1:21">
      <c r="A5483"/>
      <c r="C5483"/>
      <c r="D5483"/>
      <c r="L5483"/>
      <c r="R5483"/>
      <c r="S5483"/>
      <c r="T5483"/>
      <c r="U5483"/>
    </row>
    <row r="5484" spans="1:21">
      <c r="A5484"/>
      <c r="C5484"/>
      <c r="D5484"/>
      <c r="L5484"/>
      <c r="R5484"/>
      <c r="S5484"/>
      <c r="T5484"/>
      <c r="U5484"/>
    </row>
    <row r="5485" spans="1:21">
      <c r="A5485"/>
      <c r="C5485"/>
      <c r="D5485"/>
      <c r="L5485"/>
      <c r="R5485"/>
      <c r="S5485"/>
      <c r="T5485"/>
      <c r="U5485"/>
    </row>
    <row r="5486" spans="1:21">
      <c r="A5486"/>
      <c r="C5486"/>
      <c r="D5486"/>
      <c r="L5486"/>
      <c r="R5486"/>
      <c r="S5486"/>
      <c r="T5486"/>
      <c r="U5486"/>
    </row>
    <row r="5487" spans="1:21">
      <c r="A5487"/>
      <c r="C5487"/>
      <c r="D5487"/>
      <c r="L5487"/>
      <c r="R5487"/>
      <c r="S5487"/>
      <c r="T5487"/>
      <c r="U5487"/>
    </row>
    <row r="5488" spans="1:21">
      <c r="A5488"/>
      <c r="C5488"/>
      <c r="D5488"/>
      <c r="L5488"/>
      <c r="R5488"/>
      <c r="S5488"/>
      <c r="T5488"/>
      <c r="U5488"/>
    </row>
    <row r="5489" spans="1:21">
      <c r="A5489"/>
      <c r="C5489"/>
      <c r="D5489"/>
      <c r="L5489"/>
      <c r="R5489"/>
      <c r="S5489"/>
      <c r="T5489"/>
      <c r="U5489"/>
    </row>
    <row r="5490" spans="1:21">
      <c r="A5490"/>
      <c r="C5490"/>
      <c r="D5490"/>
      <c r="L5490"/>
      <c r="R5490"/>
      <c r="S5490"/>
      <c r="T5490"/>
      <c r="U5490"/>
    </row>
    <row r="5491" spans="1:21">
      <c r="A5491"/>
      <c r="C5491"/>
      <c r="D5491"/>
      <c r="L5491"/>
      <c r="R5491"/>
      <c r="S5491"/>
      <c r="T5491"/>
      <c r="U5491"/>
    </row>
    <row r="5492" spans="1:21">
      <c r="A5492"/>
      <c r="C5492"/>
      <c r="D5492"/>
      <c r="L5492"/>
      <c r="R5492"/>
      <c r="S5492"/>
      <c r="T5492"/>
      <c r="U5492"/>
    </row>
    <row r="5493" spans="1:21">
      <c r="A5493"/>
      <c r="C5493"/>
      <c r="D5493"/>
      <c r="L5493"/>
      <c r="R5493"/>
      <c r="S5493"/>
      <c r="T5493"/>
      <c r="U5493"/>
    </row>
    <row r="5494" spans="1:21">
      <c r="A5494"/>
      <c r="C5494"/>
      <c r="D5494"/>
      <c r="L5494"/>
      <c r="R5494"/>
      <c r="S5494"/>
      <c r="T5494"/>
      <c r="U5494"/>
    </row>
    <row r="5495" spans="1:21">
      <c r="A5495"/>
      <c r="C5495"/>
      <c r="D5495"/>
      <c r="L5495"/>
      <c r="R5495"/>
      <c r="S5495"/>
      <c r="T5495"/>
      <c r="U5495"/>
    </row>
    <row r="5496" spans="1:21">
      <c r="A5496"/>
      <c r="C5496"/>
      <c r="D5496"/>
      <c r="L5496"/>
      <c r="R5496"/>
      <c r="S5496"/>
      <c r="T5496"/>
      <c r="U5496"/>
    </row>
    <row r="5497" spans="1:21">
      <c r="A5497"/>
      <c r="C5497"/>
      <c r="D5497"/>
      <c r="L5497"/>
      <c r="R5497"/>
      <c r="S5497"/>
      <c r="T5497"/>
      <c r="U5497"/>
    </row>
    <row r="5498" spans="1:21">
      <c r="A5498"/>
      <c r="C5498"/>
      <c r="D5498"/>
      <c r="L5498"/>
      <c r="R5498"/>
      <c r="S5498"/>
      <c r="T5498"/>
      <c r="U5498"/>
    </row>
    <row r="5499" spans="1:21">
      <c r="A5499"/>
      <c r="C5499"/>
      <c r="D5499"/>
      <c r="L5499"/>
      <c r="R5499"/>
      <c r="S5499"/>
      <c r="T5499"/>
      <c r="U5499"/>
    </row>
    <row r="5500" spans="1:21">
      <c r="A5500"/>
      <c r="C5500"/>
      <c r="D5500"/>
      <c r="L5500"/>
      <c r="R5500"/>
      <c r="S5500"/>
      <c r="T5500"/>
      <c r="U5500"/>
    </row>
    <row r="5501" spans="1:21">
      <c r="A5501"/>
      <c r="C5501"/>
      <c r="D5501"/>
      <c r="L5501"/>
      <c r="R5501"/>
      <c r="S5501"/>
      <c r="T5501"/>
      <c r="U5501"/>
    </row>
    <row r="5502" spans="1:21">
      <c r="A5502"/>
      <c r="C5502"/>
      <c r="D5502"/>
      <c r="L5502"/>
      <c r="R5502"/>
      <c r="S5502"/>
      <c r="T5502"/>
      <c r="U5502"/>
    </row>
    <row r="5503" spans="1:21">
      <c r="A5503"/>
      <c r="C5503"/>
      <c r="D5503"/>
      <c r="L5503"/>
      <c r="R5503"/>
      <c r="S5503"/>
      <c r="T5503"/>
      <c r="U5503"/>
    </row>
    <row r="5504" spans="1:21">
      <c r="A5504"/>
      <c r="C5504"/>
      <c r="D5504"/>
      <c r="L5504"/>
      <c r="R5504"/>
      <c r="S5504"/>
      <c r="T5504"/>
      <c r="U5504"/>
    </row>
    <row r="5505" spans="1:21">
      <c r="A5505"/>
      <c r="C5505"/>
      <c r="D5505"/>
      <c r="L5505"/>
      <c r="R5505"/>
      <c r="S5505"/>
      <c r="T5505"/>
      <c r="U5505"/>
    </row>
    <row r="5506" spans="1:21">
      <c r="A5506"/>
      <c r="C5506"/>
      <c r="D5506"/>
      <c r="L5506"/>
      <c r="R5506"/>
      <c r="S5506"/>
      <c r="T5506"/>
      <c r="U5506"/>
    </row>
    <row r="5507" spans="1:21">
      <c r="A5507"/>
      <c r="C5507"/>
      <c r="D5507"/>
      <c r="L5507"/>
      <c r="R5507"/>
      <c r="S5507"/>
      <c r="T5507"/>
      <c r="U5507"/>
    </row>
    <row r="5508" spans="1:21">
      <c r="A5508"/>
      <c r="C5508"/>
      <c r="D5508"/>
      <c r="L5508"/>
      <c r="R5508"/>
      <c r="S5508"/>
      <c r="T5508"/>
      <c r="U5508"/>
    </row>
    <row r="5509" spans="1:21">
      <c r="A5509"/>
      <c r="C5509"/>
      <c r="D5509"/>
      <c r="L5509"/>
      <c r="R5509"/>
      <c r="S5509"/>
      <c r="T5509"/>
      <c r="U5509"/>
    </row>
    <row r="5510" spans="1:21">
      <c r="A5510"/>
      <c r="C5510"/>
      <c r="D5510"/>
      <c r="L5510"/>
      <c r="R5510"/>
      <c r="S5510"/>
      <c r="T5510"/>
      <c r="U5510"/>
    </row>
    <row r="5511" spans="1:21">
      <c r="A5511"/>
      <c r="C5511"/>
      <c r="D5511"/>
      <c r="L5511"/>
      <c r="R5511"/>
      <c r="S5511"/>
      <c r="T5511"/>
      <c r="U5511"/>
    </row>
    <row r="5512" spans="1:21">
      <c r="A5512"/>
      <c r="C5512"/>
      <c r="D5512"/>
      <c r="L5512"/>
      <c r="R5512"/>
      <c r="S5512"/>
      <c r="T5512"/>
      <c r="U5512"/>
    </row>
    <row r="5513" spans="1:21">
      <c r="A5513"/>
      <c r="C5513"/>
      <c r="D5513"/>
      <c r="L5513"/>
      <c r="R5513"/>
      <c r="S5513"/>
      <c r="T5513"/>
      <c r="U5513"/>
    </row>
    <row r="5514" spans="1:21">
      <c r="A5514"/>
      <c r="C5514"/>
      <c r="D5514"/>
      <c r="L5514"/>
      <c r="R5514"/>
      <c r="S5514"/>
      <c r="T5514"/>
      <c r="U5514"/>
    </row>
    <row r="5515" spans="1:21">
      <c r="A5515"/>
      <c r="C5515"/>
      <c r="D5515"/>
      <c r="L5515"/>
      <c r="R5515"/>
      <c r="S5515"/>
      <c r="T5515"/>
      <c r="U5515"/>
    </row>
    <row r="5516" spans="1:21">
      <c r="A5516"/>
      <c r="C5516"/>
      <c r="D5516"/>
      <c r="L5516"/>
      <c r="R5516"/>
      <c r="S5516"/>
      <c r="T5516"/>
      <c r="U5516"/>
    </row>
    <row r="5517" spans="1:21">
      <c r="A5517"/>
      <c r="C5517"/>
      <c r="D5517"/>
      <c r="L5517"/>
      <c r="R5517"/>
      <c r="S5517"/>
      <c r="T5517"/>
      <c r="U5517"/>
    </row>
    <row r="5518" spans="1:21">
      <c r="A5518"/>
      <c r="C5518"/>
      <c r="D5518"/>
      <c r="L5518"/>
      <c r="R5518"/>
      <c r="S5518"/>
      <c r="T5518"/>
      <c r="U5518"/>
    </row>
    <row r="5519" spans="1:21">
      <c r="A5519"/>
      <c r="C5519"/>
      <c r="D5519"/>
      <c r="L5519"/>
      <c r="R5519"/>
      <c r="S5519"/>
      <c r="T5519"/>
      <c r="U5519"/>
    </row>
    <row r="5520" spans="1:21">
      <c r="A5520"/>
      <c r="C5520"/>
      <c r="D5520"/>
      <c r="L5520"/>
      <c r="R5520"/>
      <c r="S5520"/>
      <c r="T5520"/>
      <c r="U5520"/>
    </row>
    <row r="5521" spans="1:21">
      <c r="A5521"/>
      <c r="C5521"/>
      <c r="D5521"/>
      <c r="L5521"/>
      <c r="R5521"/>
      <c r="S5521"/>
      <c r="T5521"/>
      <c r="U5521"/>
    </row>
    <row r="5522" spans="1:21">
      <c r="A5522"/>
      <c r="C5522"/>
      <c r="D5522"/>
      <c r="L5522"/>
      <c r="R5522"/>
      <c r="S5522"/>
      <c r="T5522"/>
      <c r="U5522"/>
    </row>
    <row r="5523" spans="1:21">
      <c r="A5523"/>
      <c r="C5523"/>
      <c r="D5523"/>
      <c r="L5523"/>
      <c r="R5523"/>
      <c r="S5523"/>
      <c r="T5523"/>
      <c r="U5523"/>
    </row>
    <row r="5524" spans="1:21">
      <c r="A5524"/>
      <c r="C5524"/>
      <c r="D5524"/>
      <c r="L5524"/>
      <c r="R5524"/>
      <c r="S5524"/>
      <c r="T5524"/>
      <c r="U5524"/>
    </row>
    <row r="5525" spans="1:21">
      <c r="A5525"/>
      <c r="C5525"/>
      <c r="D5525"/>
      <c r="L5525"/>
      <c r="R5525"/>
      <c r="S5525"/>
      <c r="T5525"/>
      <c r="U5525"/>
    </row>
    <row r="5526" spans="1:21">
      <c r="A5526"/>
      <c r="C5526"/>
      <c r="D5526"/>
      <c r="L5526"/>
      <c r="R5526"/>
      <c r="S5526"/>
      <c r="T5526"/>
      <c r="U5526"/>
    </row>
    <row r="5527" spans="1:21">
      <c r="A5527"/>
      <c r="C5527"/>
      <c r="D5527"/>
      <c r="L5527"/>
      <c r="R5527"/>
      <c r="S5527"/>
      <c r="T5527"/>
      <c r="U5527"/>
    </row>
    <row r="5528" spans="1:21">
      <c r="A5528"/>
      <c r="C5528"/>
      <c r="D5528"/>
      <c r="L5528"/>
      <c r="R5528"/>
      <c r="S5528"/>
      <c r="T5528"/>
      <c r="U5528"/>
    </row>
    <row r="5529" spans="1:21">
      <c r="A5529"/>
      <c r="C5529"/>
      <c r="D5529"/>
      <c r="L5529"/>
      <c r="R5529"/>
      <c r="S5529"/>
      <c r="T5529"/>
      <c r="U5529"/>
    </row>
    <row r="5530" spans="1:21">
      <c r="A5530"/>
      <c r="C5530"/>
      <c r="D5530"/>
      <c r="L5530"/>
      <c r="R5530"/>
      <c r="S5530"/>
      <c r="T5530"/>
      <c r="U5530"/>
    </row>
    <row r="5531" spans="1:21">
      <c r="A5531"/>
      <c r="C5531"/>
      <c r="D5531"/>
      <c r="L5531"/>
      <c r="R5531"/>
      <c r="S5531"/>
      <c r="T5531"/>
      <c r="U5531"/>
    </row>
    <row r="5532" spans="1:21">
      <c r="A5532"/>
      <c r="C5532"/>
      <c r="D5532"/>
      <c r="L5532"/>
      <c r="R5532"/>
      <c r="S5532"/>
      <c r="T5532"/>
      <c r="U5532"/>
    </row>
    <row r="5533" spans="1:21">
      <c r="A5533"/>
      <c r="C5533"/>
      <c r="D5533"/>
      <c r="L5533"/>
      <c r="R5533"/>
      <c r="S5533"/>
      <c r="T5533"/>
      <c r="U5533"/>
    </row>
    <row r="5534" spans="1:21">
      <c r="A5534"/>
      <c r="C5534"/>
      <c r="D5534"/>
      <c r="L5534"/>
      <c r="R5534"/>
      <c r="S5534"/>
      <c r="T5534"/>
      <c r="U5534"/>
    </row>
    <row r="5535" spans="1:21">
      <c r="A5535"/>
      <c r="C5535"/>
      <c r="D5535"/>
      <c r="L5535"/>
      <c r="R5535"/>
      <c r="S5535"/>
      <c r="T5535"/>
      <c r="U5535"/>
    </row>
    <row r="5536" spans="1:21">
      <c r="A5536"/>
      <c r="C5536"/>
      <c r="D5536"/>
      <c r="L5536"/>
      <c r="R5536"/>
      <c r="S5536"/>
      <c r="T5536"/>
      <c r="U5536"/>
    </row>
    <row r="5537" spans="1:21">
      <c r="A5537"/>
      <c r="C5537"/>
      <c r="D5537"/>
      <c r="L5537"/>
      <c r="R5537"/>
      <c r="S5537"/>
      <c r="T5537"/>
      <c r="U5537"/>
    </row>
    <row r="5538" spans="1:21">
      <c r="A5538"/>
      <c r="C5538"/>
      <c r="D5538"/>
      <c r="L5538"/>
      <c r="R5538"/>
      <c r="S5538"/>
      <c r="T5538"/>
      <c r="U5538"/>
    </row>
    <row r="5539" spans="1:21">
      <c r="A5539"/>
      <c r="C5539"/>
      <c r="D5539"/>
      <c r="L5539"/>
      <c r="R5539"/>
      <c r="S5539"/>
      <c r="T5539"/>
      <c r="U5539"/>
    </row>
    <row r="5540" spans="1:21">
      <c r="A5540"/>
      <c r="C5540"/>
      <c r="D5540"/>
      <c r="L5540"/>
      <c r="R5540"/>
      <c r="S5540"/>
      <c r="T5540"/>
      <c r="U5540"/>
    </row>
    <row r="5541" spans="1:21">
      <c r="A5541"/>
      <c r="C5541"/>
      <c r="D5541"/>
      <c r="L5541"/>
      <c r="R5541"/>
      <c r="S5541"/>
      <c r="T5541"/>
      <c r="U5541"/>
    </row>
    <row r="5542" spans="1:21">
      <c r="A5542"/>
      <c r="C5542"/>
      <c r="D5542"/>
      <c r="L5542"/>
      <c r="R5542"/>
      <c r="S5542"/>
      <c r="T5542"/>
      <c r="U5542"/>
    </row>
    <row r="5543" spans="1:21">
      <c r="A5543"/>
      <c r="C5543"/>
      <c r="D5543"/>
      <c r="L5543"/>
      <c r="R5543"/>
      <c r="S5543"/>
      <c r="T5543"/>
      <c r="U5543"/>
    </row>
    <row r="5544" spans="1:21">
      <c r="A5544"/>
      <c r="C5544"/>
      <c r="D5544"/>
      <c r="L5544"/>
      <c r="R5544"/>
      <c r="S5544"/>
      <c r="T5544"/>
      <c r="U5544"/>
    </row>
    <row r="5545" spans="1:21">
      <c r="A5545"/>
      <c r="C5545"/>
      <c r="D5545"/>
      <c r="L5545"/>
      <c r="R5545"/>
      <c r="S5545"/>
      <c r="T5545"/>
      <c r="U5545"/>
    </row>
    <row r="5546" spans="1:21">
      <c r="A5546"/>
      <c r="C5546"/>
      <c r="D5546"/>
      <c r="L5546"/>
      <c r="R5546"/>
      <c r="S5546"/>
      <c r="T5546"/>
      <c r="U5546"/>
    </row>
    <row r="5547" spans="1:21">
      <c r="A5547"/>
      <c r="C5547"/>
      <c r="D5547"/>
      <c r="L5547"/>
      <c r="R5547"/>
      <c r="S5547"/>
      <c r="T5547"/>
      <c r="U5547"/>
    </row>
    <row r="5548" spans="1:21">
      <c r="A5548"/>
      <c r="C5548"/>
      <c r="D5548"/>
      <c r="L5548"/>
      <c r="R5548"/>
      <c r="S5548"/>
      <c r="T5548"/>
      <c r="U5548"/>
    </row>
    <row r="5549" spans="1:21">
      <c r="A5549"/>
      <c r="C5549"/>
      <c r="D5549"/>
      <c r="L5549"/>
      <c r="R5549"/>
      <c r="S5549"/>
      <c r="T5549"/>
      <c r="U5549"/>
    </row>
    <row r="5550" spans="1:21">
      <c r="A5550"/>
      <c r="C5550"/>
      <c r="D5550"/>
      <c r="L5550"/>
      <c r="R5550"/>
      <c r="S5550"/>
      <c r="T5550"/>
      <c r="U5550"/>
    </row>
    <row r="5551" spans="1:21">
      <c r="A5551"/>
      <c r="C5551"/>
      <c r="D5551"/>
      <c r="L5551"/>
      <c r="R5551"/>
      <c r="S5551"/>
      <c r="T5551"/>
      <c r="U5551"/>
    </row>
    <row r="5552" spans="1:21">
      <c r="A5552"/>
      <c r="C5552"/>
      <c r="D5552"/>
      <c r="L5552"/>
      <c r="R5552"/>
      <c r="S5552"/>
      <c r="T5552"/>
      <c r="U5552"/>
    </row>
    <row r="5553" spans="1:21">
      <c r="A5553"/>
      <c r="C5553"/>
      <c r="D5553"/>
      <c r="L5553"/>
      <c r="R5553"/>
      <c r="S5553"/>
      <c r="T5553"/>
      <c r="U5553"/>
    </row>
    <row r="5554" spans="1:21">
      <c r="A5554"/>
      <c r="C5554"/>
      <c r="D5554"/>
      <c r="L5554"/>
      <c r="R5554"/>
      <c r="S5554"/>
      <c r="T5554"/>
      <c r="U5554"/>
    </row>
    <row r="5555" spans="1:21">
      <c r="A5555"/>
      <c r="C5555"/>
      <c r="D5555"/>
      <c r="L5555"/>
      <c r="R5555"/>
      <c r="S5555"/>
      <c r="T5555"/>
      <c r="U5555"/>
    </row>
    <row r="5556" spans="1:21">
      <c r="A5556"/>
      <c r="C5556"/>
      <c r="D5556"/>
      <c r="L5556"/>
      <c r="R5556"/>
      <c r="S5556"/>
      <c r="T5556"/>
      <c r="U5556"/>
    </row>
    <row r="5557" spans="1:21">
      <c r="A5557"/>
      <c r="C5557"/>
      <c r="D5557"/>
      <c r="L5557"/>
      <c r="R5557"/>
      <c r="S5557"/>
      <c r="T5557"/>
      <c r="U5557"/>
    </row>
    <row r="5558" spans="1:21">
      <c r="A5558"/>
      <c r="C5558"/>
      <c r="D5558"/>
      <c r="L5558"/>
      <c r="R5558"/>
      <c r="S5558"/>
      <c r="T5558"/>
      <c r="U5558"/>
    </row>
    <row r="5559" spans="1:21">
      <c r="A5559"/>
      <c r="C5559"/>
      <c r="D5559"/>
      <c r="L5559"/>
      <c r="R5559"/>
      <c r="S5559"/>
      <c r="T5559"/>
      <c r="U5559"/>
    </row>
    <row r="5560" spans="1:21">
      <c r="A5560"/>
      <c r="C5560"/>
      <c r="D5560"/>
      <c r="L5560"/>
      <c r="R5560"/>
      <c r="S5560"/>
      <c r="T5560"/>
      <c r="U5560"/>
    </row>
    <row r="5561" spans="1:21">
      <c r="A5561"/>
      <c r="C5561"/>
      <c r="D5561"/>
      <c r="L5561"/>
      <c r="R5561"/>
      <c r="S5561"/>
      <c r="T5561"/>
      <c r="U5561"/>
    </row>
    <row r="5562" spans="1:21">
      <c r="A5562"/>
      <c r="C5562"/>
      <c r="D5562"/>
      <c r="L5562"/>
      <c r="R5562"/>
      <c r="S5562"/>
      <c r="T5562"/>
      <c r="U5562"/>
    </row>
    <row r="5563" spans="1:21">
      <c r="A5563"/>
      <c r="C5563"/>
      <c r="D5563"/>
      <c r="L5563"/>
      <c r="R5563"/>
      <c r="S5563"/>
      <c r="T5563"/>
      <c r="U5563"/>
    </row>
    <row r="5564" spans="1:21">
      <c r="A5564"/>
      <c r="C5564"/>
      <c r="D5564"/>
      <c r="L5564"/>
      <c r="R5564"/>
      <c r="S5564"/>
      <c r="T5564"/>
      <c r="U5564"/>
    </row>
    <row r="5565" spans="1:21">
      <c r="A5565"/>
      <c r="C5565"/>
      <c r="D5565"/>
      <c r="L5565"/>
      <c r="R5565"/>
      <c r="S5565"/>
      <c r="T5565"/>
      <c r="U5565"/>
    </row>
    <row r="5566" spans="1:21">
      <c r="A5566"/>
      <c r="C5566"/>
      <c r="D5566"/>
      <c r="L5566"/>
      <c r="R5566"/>
      <c r="S5566"/>
      <c r="T5566"/>
      <c r="U5566"/>
    </row>
    <row r="5567" spans="1:21">
      <c r="A5567"/>
      <c r="C5567"/>
      <c r="D5567"/>
      <c r="L5567"/>
      <c r="R5567"/>
      <c r="S5567"/>
      <c r="T5567"/>
      <c r="U5567"/>
    </row>
    <row r="5568" spans="1:21">
      <c r="A5568"/>
      <c r="C5568"/>
      <c r="D5568"/>
      <c r="L5568"/>
      <c r="R5568"/>
      <c r="S5568"/>
      <c r="T5568"/>
      <c r="U5568"/>
    </row>
    <row r="5569" spans="1:21">
      <c r="A5569"/>
      <c r="C5569"/>
      <c r="D5569"/>
      <c r="L5569"/>
      <c r="R5569"/>
      <c r="S5569"/>
      <c r="T5569"/>
      <c r="U5569"/>
    </row>
    <row r="5570" spans="1:21">
      <c r="A5570"/>
      <c r="C5570"/>
      <c r="D5570"/>
      <c r="L5570"/>
      <c r="R5570"/>
      <c r="S5570"/>
      <c r="T5570"/>
      <c r="U5570"/>
    </row>
    <row r="5571" spans="1:21">
      <c r="A5571"/>
      <c r="C5571"/>
      <c r="D5571"/>
      <c r="L5571"/>
      <c r="R5571"/>
      <c r="S5571"/>
      <c r="T5571"/>
      <c r="U5571"/>
    </row>
    <row r="5572" spans="1:21">
      <c r="A5572"/>
      <c r="C5572"/>
      <c r="D5572"/>
      <c r="L5572"/>
      <c r="R5572"/>
      <c r="S5572"/>
      <c r="T5572"/>
      <c r="U5572"/>
    </row>
    <row r="5573" spans="1:21">
      <c r="A5573"/>
      <c r="C5573"/>
      <c r="D5573"/>
      <c r="L5573"/>
      <c r="R5573"/>
      <c r="S5573"/>
      <c r="T5573"/>
      <c r="U5573"/>
    </row>
    <row r="5574" spans="1:21">
      <c r="A5574"/>
      <c r="C5574"/>
      <c r="D5574"/>
      <c r="L5574"/>
      <c r="R5574"/>
      <c r="S5574"/>
      <c r="T5574"/>
      <c r="U5574"/>
    </row>
    <row r="5575" spans="1:21">
      <c r="A5575"/>
      <c r="C5575"/>
      <c r="D5575"/>
      <c r="L5575"/>
      <c r="R5575"/>
      <c r="S5575"/>
      <c r="T5575"/>
      <c r="U5575"/>
    </row>
    <row r="5576" spans="1:21">
      <c r="A5576"/>
      <c r="C5576"/>
      <c r="D5576"/>
      <c r="L5576"/>
      <c r="R5576"/>
      <c r="S5576"/>
      <c r="T5576"/>
      <c r="U5576"/>
    </row>
    <row r="5577" spans="1:21">
      <c r="A5577"/>
      <c r="C5577"/>
      <c r="D5577"/>
      <c r="L5577"/>
      <c r="R5577"/>
      <c r="S5577"/>
      <c r="T5577"/>
      <c r="U5577"/>
    </row>
    <row r="5578" spans="1:21">
      <c r="A5578"/>
      <c r="C5578"/>
      <c r="D5578"/>
      <c r="L5578"/>
      <c r="R5578"/>
      <c r="S5578"/>
      <c r="T5578"/>
      <c r="U5578"/>
    </row>
    <row r="5579" spans="1:21">
      <c r="A5579"/>
      <c r="C5579"/>
      <c r="D5579"/>
      <c r="L5579"/>
      <c r="R5579"/>
      <c r="S5579"/>
      <c r="T5579"/>
      <c r="U5579"/>
    </row>
    <row r="5580" spans="1:21">
      <c r="A5580"/>
      <c r="C5580"/>
      <c r="D5580"/>
      <c r="L5580"/>
      <c r="R5580"/>
      <c r="S5580"/>
      <c r="T5580"/>
      <c r="U5580"/>
    </row>
    <row r="5581" spans="1:21">
      <c r="A5581"/>
      <c r="C5581"/>
      <c r="D5581"/>
      <c r="L5581"/>
      <c r="R5581"/>
      <c r="S5581"/>
      <c r="T5581"/>
      <c r="U5581"/>
    </row>
    <row r="5582" spans="1:21">
      <c r="A5582"/>
      <c r="C5582"/>
      <c r="D5582"/>
      <c r="L5582"/>
      <c r="R5582"/>
      <c r="S5582"/>
      <c r="T5582"/>
      <c r="U5582"/>
    </row>
    <row r="5583" spans="1:21">
      <c r="A5583"/>
      <c r="C5583"/>
      <c r="D5583"/>
      <c r="L5583"/>
      <c r="R5583"/>
      <c r="S5583"/>
      <c r="T5583"/>
      <c r="U5583"/>
    </row>
    <row r="5584" spans="1:21">
      <c r="A5584"/>
      <c r="C5584"/>
      <c r="D5584"/>
      <c r="L5584"/>
      <c r="R5584"/>
      <c r="S5584"/>
      <c r="T5584"/>
      <c r="U5584"/>
    </row>
    <row r="5585" spans="1:21">
      <c r="A5585"/>
      <c r="C5585"/>
      <c r="D5585"/>
      <c r="L5585"/>
      <c r="R5585"/>
      <c r="S5585"/>
      <c r="T5585"/>
      <c r="U5585"/>
    </row>
    <row r="5586" spans="1:21">
      <c r="A5586"/>
      <c r="C5586"/>
      <c r="D5586"/>
      <c r="L5586"/>
      <c r="R5586"/>
      <c r="S5586"/>
      <c r="T5586"/>
      <c r="U5586"/>
    </row>
    <row r="5587" spans="1:21">
      <c r="A5587"/>
      <c r="C5587"/>
      <c r="D5587"/>
      <c r="L5587"/>
      <c r="R5587"/>
      <c r="S5587"/>
      <c r="T5587"/>
      <c r="U5587"/>
    </row>
    <row r="5588" spans="1:21">
      <c r="A5588"/>
      <c r="C5588"/>
      <c r="D5588"/>
      <c r="L5588"/>
      <c r="R5588"/>
      <c r="S5588"/>
      <c r="T5588"/>
      <c r="U5588"/>
    </row>
    <row r="5589" spans="1:21">
      <c r="A5589"/>
      <c r="C5589"/>
      <c r="D5589"/>
      <c r="L5589"/>
      <c r="R5589"/>
      <c r="S5589"/>
      <c r="T5589"/>
      <c r="U5589"/>
    </row>
    <row r="5590" spans="1:21">
      <c r="A5590"/>
      <c r="C5590"/>
      <c r="D5590"/>
      <c r="L5590"/>
      <c r="R5590"/>
      <c r="S5590"/>
      <c r="T5590"/>
      <c r="U5590"/>
    </row>
    <row r="5591" spans="1:21">
      <c r="A5591"/>
      <c r="C5591"/>
      <c r="D5591"/>
      <c r="L5591"/>
      <c r="R5591"/>
      <c r="S5591"/>
      <c r="T5591"/>
      <c r="U5591"/>
    </row>
    <row r="5592" spans="1:21">
      <c r="A5592"/>
      <c r="C5592"/>
      <c r="D5592"/>
      <c r="L5592"/>
      <c r="R5592"/>
      <c r="S5592"/>
      <c r="T5592"/>
      <c r="U5592"/>
    </row>
    <row r="5593" spans="1:21">
      <c r="A5593"/>
      <c r="C5593"/>
      <c r="D5593"/>
      <c r="L5593"/>
      <c r="R5593"/>
      <c r="S5593"/>
      <c r="T5593"/>
      <c r="U5593"/>
    </row>
    <row r="5594" spans="1:21">
      <c r="A5594"/>
      <c r="C5594"/>
      <c r="D5594"/>
      <c r="L5594"/>
      <c r="R5594"/>
      <c r="S5594"/>
      <c r="T5594"/>
      <c r="U5594"/>
    </row>
    <row r="5595" spans="1:21">
      <c r="A5595"/>
      <c r="C5595"/>
      <c r="D5595"/>
      <c r="L5595"/>
      <c r="R5595"/>
      <c r="S5595"/>
      <c r="T5595"/>
      <c r="U5595"/>
    </row>
    <row r="5596" spans="1:21">
      <c r="A5596"/>
      <c r="C5596"/>
      <c r="D5596"/>
      <c r="L5596"/>
      <c r="R5596"/>
      <c r="S5596"/>
      <c r="T5596"/>
      <c r="U5596"/>
    </row>
    <row r="5597" spans="1:21">
      <c r="A5597"/>
      <c r="C5597"/>
      <c r="D5597"/>
      <c r="L5597"/>
      <c r="R5597"/>
      <c r="S5597"/>
      <c r="T5597"/>
      <c r="U5597"/>
    </row>
    <row r="5598" spans="1:21">
      <c r="A5598"/>
      <c r="C5598"/>
      <c r="D5598"/>
      <c r="L5598"/>
      <c r="R5598"/>
      <c r="S5598"/>
      <c r="T5598"/>
      <c r="U5598"/>
    </row>
    <row r="5599" spans="1:21">
      <c r="A5599"/>
      <c r="C5599"/>
      <c r="D5599"/>
      <c r="L5599"/>
      <c r="R5599"/>
      <c r="S5599"/>
      <c r="T5599"/>
      <c r="U5599"/>
    </row>
    <row r="5600" spans="1:21">
      <c r="A5600"/>
      <c r="C5600"/>
      <c r="D5600"/>
      <c r="L5600"/>
      <c r="R5600"/>
      <c r="S5600"/>
      <c r="T5600"/>
      <c r="U5600"/>
    </row>
    <row r="5601" spans="1:21">
      <c r="A5601"/>
      <c r="C5601"/>
      <c r="D5601"/>
      <c r="L5601"/>
      <c r="R5601"/>
      <c r="S5601"/>
      <c r="T5601"/>
      <c r="U5601"/>
    </row>
    <row r="5602" spans="1:21">
      <c r="A5602"/>
      <c r="C5602"/>
      <c r="D5602"/>
      <c r="L5602"/>
      <c r="R5602"/>
      <c r="S5602"/>
      <c r="T5602"/>
      <c r="U5602"/>
    </row>
    <row r="5603" spans="1:21">
      <c r="A5603"/>
      <c r="C5603"/>
      <c r="D5603"/>
      <c r="L5603"/>
      <c r="R5603"/>
      <c r="S5603"/>
      <c r="T5603"/>
      <c r="U5603"/>
    </row>
    <row r="5604" spans="1:21">
      <c r="A5604"/>
      <c r="C5604"/>
      <c r="D5604"/>
      <c r="L5604"/>
      <c r="R5604"/>
      <c r="S5604"/>
      <c r="T5604"/>
      <c r="U5604"/>
    </row>
    <row r="5605" spans="1:21">
      <c r="A5605"/>
      <c r="C5605"/>
      <c r="D5605"/>
      <c r="L5605"/>
      <c r="R5605"/>
      <c r="S5605"/>
      <c r="T5605"/>
      <c r="U5605"/>
    </row>
    <row r="5606" spans="1:21">
      <c r="A5606"/>
      <c r="C5606"/>
      <c r="D5606"/>
      <c r="L5606"/>
      <c r="R5606"/>
      <c r="S5606"/>
      <c r="T5606"/>
      <c r="U5606"/>
    </row>
    <row r="5607" spans="1:21">
      <c r="A5607"/>
      <c r="C5607"/>
      <c r="D5607"/>
      <c r="L5607"/>
      <c r="R5607"/>
      <c r="S5607"/>
      <c r="T5607"/>
      <c r="U5607"/>
    </row>
    <row r="5608" spans="1:21">
      <c r="A5608"/>
      <c r="C5608"/>
      <c r="D5608"/>
      <c r="L5608"/>
      <c r="R5608"/>
      <c r="S5608"/>
      <c r="T5608"/>
      <c r="U5608"/>
    </row>
    <row r="5609" spans="1:21">
      <c r="A5609"/>
      <c r="C5609"/>
      <c r="D5609"/>
      <c r="L5609"/>
      <c r="R5609"/>
      <c r="S5609"/>
      <c r="T5609"/>
      <c r="U5609"/>
    </row>
    <row r="5610" spans="1:21">
      <c r="A5610"/>
      <c r="C5610"/>
      <c r="D5610"/>
      <c r="L5610"/>
      <c r="R5610"/>
      <c r="S5610"/>
      <c r="T5610"/>
      <c r="U5610"/>
    </row>
    <row r="5611" spans="1:21">
      <c r="A5611"/>
      <c r="C5611"/>
      <c r="D5611"/>
      <c r="L5611"/>
      <c r="R5611"/>
      <c r="S5611"/>
      <c r="T5611"/>
      <c r="U5611"/>
    </row>
    <row r="5612" spans="1:21">
      <c r="A5612"/>
      <c r="C5612"/>
      <c r="D5612"/>
      <c r="L5612"/>
      <c r="R5612"/>
      <c r="S5612"/>
      <c r="T5612"/>
      <c r="U5612"/>
    </row>
    <row r="5613" spans="1:21">
      <c r="A5613"/>
      <c r="C5613"/>
      <c r="D5613"/>
      <c r="L5613"/>
      <c r="R5613"/>
      <c r="S5613"/>
      <c r="T5613"/>
      <c r="U5613"/>
    </row>
    <row r="5614" spans="1:21">
      <c r="A5614"/>
      <c r="C5614"/>
      <c r="D5614"/>
      <c r="L5614"/>
      <c r="R5614"/>
      <c r="S5614"/>
      <c r="T5614"/>
      <c r="U5614"/>
    </row>
    <row r="5615" spans="1:21">
      <c r="A5615"/>
      <c r="C5615"/>
      <c r="D5615"/>
      <c r="L5615"/>
      <c r="R5615"/>
      <c r="S5615"/>
      <c r="T5615"/>
      <c r="U5615"/>
    </row>
    <row r="5616" spans="1:21">
      <c r="A5616"/>
      <c r="C5616"/>
      <c r="D5616"/>
      <c r="L5616"/>
      <c r="R5616"/>
      <c r="S5616"/>
      <c r="T5616"/>
      <c r="U5616"/>
    </row>
    <row r="5617" spans="1:21">
      <c r="A5617"/>
      <c r="C5617"/>
      <c r="D5617"/>
      <c r="L5617"/>
      <c r="R5617"/>
      <c r="S5617"/>
      <c r="T5617"/>
      <c r="U5617"/>
    </row>
    <row r="5618" spans="1:21">
      <c r="A5618"/>
      <c r="C5618"/>
      <c r="D5618"/>
      <c r="L5618"/>
      <c r="R5618"/>
      <c r="S5618"/>
      <c r="T5618"/>
      <c r="U5618"/>
    </row>
    <row r="5619" spans="1:21">
      <c r="A5619"/>
      <c r="C5619"/>
      <c r="D5619"/>
      <c r="L5619"/>
      <c r="R5619"/>
      <c r="S5619"/>
      <c r="T5619"/>
      <c r="U5619"/>
    </row>
    <row r="5620" spans="1:21">
      <c r="A5620"/>
      <c r="C5620"/>
      <c r="D5620"/>
      <c r="L5620"/>
      <c r="R5620"/>
      <c r="S5620"/>
      <c r="T5620"/>
      <c r="U5620"/>
    </row>
    <row r="5621" spans="1:21">
      <c r="A5621"/>
      <c r="C5621"/>
      <c r="D5621"/>
      <c r="L5621"/>
      <c r="R5621"/>
      <c r="S5621"/>
      <c r="T5621"/>
      <c r="U5621"/>
    </row>
    <row r="5622" spans="1:21">
      <c r="A5622"/>
      <c r="C5622"/>
      <c r="D5622"/>
      <c r="L5622"/>
      <c r="R5622"/>
      <c r="S5622"/>
      <c r="T5622"/>
      <c r="U5622"/>
    </row>
    <row r="5623" spans="1:21">
      <c r="A5623"/>
      <c r="C5623"/>
      <c r="D5623"/>
      <c r="L5623"/>
      <c r="R5623"/>
      <c r="S5623"/>
      <c r="T5623"/>
      <c r="U5623"/>
    </row>
    <row r="5624" spans="1:21">
      <c r="A5624"/>
      <c r="C5624"/>
      <c r="D5624"/>
      <c r="L5624"/>
      <c r="R5624"/>
      <c r="S5624"/>
      <c r="T5624"/>
      <c r="U5624"/>
    </row>
    <row r="5625" spans="1:21">
      <c r="A5625"/>
      <c r="C5625"/>
      <c r="D5625"/>
      <c r="L5625"/>
      <c r="R5625"/>
      <c r="S5625"/>
      <c r="T5625"/>
      <c r="U5625"/>
    </row>
    <row r="5626" spans="1:21">
      <c r="A5626"/>
      <c r="C5626"/>
      <c r="D5626"/>
      <c r="L5626"/>
      <c r="R5626"/>
      <c r="S5626"/>
      <c r="T5626"/>
      <c r="U5626"/>
    </row>
    <row r="5627" spans="1:21">
      <c r="A5627"/>
      <c r="C5627"/>
      <c r="D5627"/>
      <c r="L5627"/>
      <c r="R5627"/>
      <c r="S5627"/>
      <c r="T5627"/>
      <c r="U5627"/>
    </row>
    <row r="5628" spans="1:21">
      <c r="A5628"/>
      <c r="C5628"/>
      <c r="D5628"/>
      <c r="L5628"/>
      <c r="R5628"/>
      <c r="S5628"/>
      <c r="T5628"/>
      <c r="U5628"/>
    </row>
    <row r="5629" spans="1:21">
      <c r="A5629"/>
      <c r="C5629"/>
      <c r="D5629"/>
      <c r="L5629"/>
      <c r="R5629"/>
      <c r="S5629"/>
      <c r="T5629"/>
      <c r="U5629"/>
    </row>
    <row r="5630" spans="1:21">
      <c r="A5630"/>
      <c r="C5630"/>
      <c r="D5630"/>
      <c r="L5630"/>
      <c r="R5630"/>
      <c r="S5630"/>
      <c r="T5630"/>
      <c r="U5630"/>
    </row>
    <row r="5631" spans="1:21">
      <c r="A5631"/>
      <c r="C5631"/>
      <c r="D5631"/>
      <c r="L5631"/>
      <c r="R5631"/>
      <c r="S5631"/>
      <c r="T5631"/>
      <c r="U5631"/>
    </row>
    <row r="5632" spans="1:21">
      <c r="A5632"/>
      <c r="C5632"/>
      <c r="D5632"/>
      <c r="L5632"/>
      <c r="R5632"/>
      <c r="S5632"/>
      <c r="T5632"/>
      <c r="U5632"/>
    </row>
    <row r="5633" spans="1:21">
      <c r="A5633"/>
      <c r="C5633"/>
      <c r="D5633"/>
      <c r="L5633"/>
      <c r="R5633"/>
      <c r="S5633"/>
      <c r="T5633"/>
      <c r="U5633"/>
    </row>
    <row r="5634" spans="1:21">
      <c r="A5634"/>
      <c r="C5634"/>
      <c r="D5634"/>
      <c r="L5634"/>
      <c r="R5634"/>
      <c r="S5634"/>
      <c r="T5634"/>
      <c r="U5634"/>
    </row>
    <row r="5635" spans="1:21">
      <c r="A5635"/>
      <c r="C5635"/>
      <c r="D5635"/>
      <c r="L5635"/>
      <c r="R5635"/>
      <c r="S5635"/>
      <c r="T5635"/>
      <c r="U5635"/>
    </row>
    <row r="5636" spans="1:21">
      <c r="A5636"/>
      <c r="C5636"/>
      <c r="D5636"/>
      <c r="L5636"/>
      <c r="R5636"/>
      <c r="S5636"/>
      <c r="T5636"/>
      <c r="U5636"/>
    </row>
    <row r="5637" spans="1:21">
      <c r="A5637"/>
      <c r="C5637"/>
      <c r="D5637"/>
      <c r="L5637"/>
      <c r="R5637"/>
      <c r="S5637"/>
      <c r="T5637"/>
      <c r="U5637"/>
    </row>
    <row r="5638" spans="1:21">
      <c r="A5638"/>
      <c r="C5638"/>
      <c r="D5638"/>
      <c r="L5638"/>
      <c r="R5638"/>
      <c r="S5638"/>
      <c r="T5638"/>
      <c r="U5638"/>
    </row>
    <row r="5639" spans="1:21">
      <c r="A5639"/>
      <c r="C5639"/>
      <c r="D5639"/>
      <c r="L5639"/>
      <c r="R5639"/>
      <c r="S5639"/>
      <c r="T5639"/>
      <c r="U5639"/>
    </row>
    <row r="5640" spans="1:21">
      <c r="A5640"/>
      <c r="C5640"/>
      <c r="D5640"/>
      <c r="L5640"/>
      <c r="R5640"/>
      <c r="S5640"/>
      <c r="T5640"/>
      <c r="U5640"/>
    </row>
    <row r="5641" spans="1:21">
      <c r="A5641"/>
      <c r="C5641"/>
      <c r="D5641"/>
      <c r="L5641"/>
      <c r="R5641"/>
      <c r="S5641"/>
      <c r="T5641"/>
      <c r="U5641"/>
    </row>
    <row r="5642" spans="1:21">
      <c r="A5642"/>
      <c r="C5642"/>
      <c r="D5642"/>
      <c r="L5642"/>
      <c r="R5642"/>
      <c r="S5642"/>
      <c r="T5642"/>
      <c r="U5642"/>
    </row>
    <row r="5643" spans="1:21">
      <c r="A5643"/>
      <c r="C5643"/>
      <c r="D5643"/>
      <c r="L5643"/>
      <c r="R5643"/>
      <c r="S5643"/>
      <c r="T5643"/>
      <c r="U5643"/>
    </row>
    <row r="5644" spans="1:21">
      <c r="A5644"/>
      <c r="C5644"/>
      <c r="D5644"/>
      <c r="L5644"/>
      <c r="R5644"/>
      <c r="S5644"/>
      <c r="T5644"/>
      <c r="U5644"/>
    </row>
    <row r="5645" spans="1:21">
      <c r="A5645"/>
      <c r="C5645"/>
      <c r="D5645"/>
      <c r="L5645"/>
      <c r="R5645"/>
      <c r="S5645"/>
      <c r="T5645"/>
      <c r="U5645"/>
    </row>
    <row r="5646" spans="1:21">
      <c r="A5646"/>
      <c r="C5646"/>
      <c r="D5646"/>
      <c r="L5646"/>
      <c r="R5646"/>
      <c r="S5646"/>
      <c r="T5646"/>
      <c r="U5646"/>
    </row>
    <row r="5647" spans="1:21">
      <c r="A5647"/>
      <c r="C5647"/>
      <c r="D5647"/>
      <c r="L5647"/>
      <c r="R5647"/>
      <c r="S5647"/>
      <c r="T5647"/>
      <c r="U5647"/>
    </row>
    <row r="5648" spans="1:21">
      <c r="A5648"/>
      <c r="C5648"/>
      <c r="D5648"/>
      <c r="L5648"/>
      <c r="R5648"/>
      <c r="S5648"/>
      <c r="T5648"/>
      <c r="U5648"/>
    </row>
    <row r="5649" spans="1:21">
      <c r="A5649"/>
      <c r="C5649"/>
      <c r="D5649"/>
      <c r="L5649"/>
      <c r="R5649"/>
      <c r="S5649"/>
      <c r="T5649"/>
      <c r="U5649"/>
    </row>
    <row r="5650" spans="1:21">
      <c r="A5650"/>
      <c r="C5650"/>
      <c r="D5650"/>
      <c r="L5650"/>
      <c r="R5650"/>
      <c r="S5650"/>
      <c r="T5650"/>
      <c r="U5650"/>
    </row>
    <row r="5651" spans="1:21">
      <c r="A5651"/>
      <c r="C5651"/>
      <c r="D5651"/>
      <c r="L5651"/>
      <c r="R5651"/>
      <c r="S5651"/>
      <c r="T5651"/>
      <c r="U5651"/>
    </row>
    <row r="5652" spans="1:21">
      <c r="A5652"/>
      <c r="C5652"/>
      <c r="D5652"/>
      <c r="L5652"/>
      <c r="R5652"/>
      <c r="S5652"/>
      <c r="T5652"/>
      <c r="U5652"/>
    </row>
    <row r="5653" spans="1:21">
      <c r="A5653"/>
      <c r="C5653"/>
      <c r="D5653"/>
      <c r="L5653"/>
      <c r="R5653"/>
      <c r="S5653"/>
      <c r="T5653"/>
      <c r="U5653"/>
    </row>
    <row r="5654" spans="1:21">
      <c r="A5654"/>
      <c r="C5654"/>
      <c r="D5654"/>
      <c r="L5654"/>
      <c r="R5654"/>
      <c r="S5654"/>
      <c r="T5654"/>
      <c r="U5654"/>
    </row>
    <row r="5655" spans="1:21">
      <c r="A5655"/>
      <c r="C5655"/>
      <c r="D5655"/>
      <c r="L5655"/>
      <c r="R5655"/>
      <c r="S5655"/>
      <c r="T5655"/>
      <c r="U5655"/>
    </row>
    <row r="5656" spans="1:21">
      <c r="A5656"/>
      <c r="C5656"/>
      <c r="D5656"/>
      <c r="L5656"/>
      <c r="R5656"/>
      <c r="S5656"/>
      <c r="T5656"/>
      <c r="U5656"/>
    </row>
    <row r="5657" spans="1:21">
      <c r="A5657"/>
      <c r="C5657"/>
      <c r="D5657"/>
      <c r="L5657"/>
      <c r="R5657"/>
      <c r="S5657"/>
      <c r="T5657"/>
      <c r="U5657"/>
    </row>
    <row r="5658" spans="1:21">
      <c r="A5658"/>
      <c r="C5658"/>
      <c r="D5658"/>
      <c r="L5658"/>
      <c r="R5658"/>
      <c r="S5658"/>
      <c r="T5658"/>
      <c r="U5658"/>
    </row>
    <row r="5659" spans="1:21">
      <c r="A5659"/>
      <c r="C5659"/>
      <c r="D5659"/>
      <c r="L5659"/>
      <c r="R5659"/>
      <c r="S5659"/>
      <c r="T5659"/>
      <c r="U5659"/>
    </row>
    <row r="5660" spans="1:21">
      <c r="A5660"/>
      <c r="C5660"/>
      <c r="D5660"/>
      <c r="L5660"/>
      <c r="R5660"/>
      <c r="S5660"/>
      <c r="T5660"/>
      <c r="U5660"/>
    </row>
    <row r="5661" spans="1:21">
      <c r="A5661"/>
      <c r="C5661"/>
      <c r="D5661"/>
      <c r="L5661"/>
      <c r="R5661"/>
      <c r="S5661"/>
      <c r="T5661"/>
      <c r="U5661"/>
    </row>
    <row r="5662" spans="1:21">
      <c r="A5662"/>
      <c r="C5662"/>
      <c r="D5662"/>
      <c r="L5662"/>
      <c r="R5662"/>
      <c r="S5662"/>
      <c r="T5662"/>
      <c r="U5662"/>
    </row>
    <row r="5663" spans="1:21">
      <c r="A5663"/>
      <c r="C5663"/>
      <c r="D5663"/>
      <c r="L5663"/>
      <c r="R5663"/>
      <c r="S5663"/>
      <c r="T5663"/>
      <c r="U5663"/>
    </row>
    <row r="5664" spans="1:21">
      <c r="A5664"/>
      <c r="C5664"/>
      <c r="D5664"/>
      <c r="L5664"/>
      <c r="R5664"/>
      <c r="S5664"/>
      <c r="T5664"/>
      <c r="U5664"/>
    </row>
    <row r="5665" spans="1:21">
      <c r="A5665"/>
      <c r="C5665"/>
      <c r="D5665"/>
      <c r="L5665"/>
      <c r="R5665"/>
      <c r="S5665"/>
      <c r="T5665"/>
      <c r="U5665"/>
    </row>
    <row r="5666" spans="1:21">
      <c r="A5666"/>
      <c r="C5666"/>
      <c r="D5666"/>
      <c r="L5666"/>
      <c r="R5666"/>
      <c r="S5666"/>
      <c r="T5666"/>
      <c r="U5666"/>
    </row>
    <row r="5667" spans="1:21">
      <c r="A5667"/>
      <c r="C5667"/>
      <c r="D5667"/>
      <c r="L5667"/>
      <c r="R5667"/>
      <c r="S5667"/>
      <c r="T5667"/>
      <c r="U5667"/>
    </row>
    <row r="5668" spans="1:21">
      <c r="A5668"/>
      <c r="C5668"/>
      <c r="D5668"/>
      <c r="L5668"/>
      <c r="R5668"/>
      <c r="S5668"/>
      <c r="T5668"/>
      <c r="U5668"/>
    </row>
    <row r="5669" spans="1:21">
      <c r="A5669"/>
      <c r="C5669"/>
      <c r="D5669"/>
      <c r="L5669"/>
      <c r="R5669"/>
      <c r="S5669"/>
      <c r="T5669"/>
      <c r="U5669"/>
    </row>
    <row r="5670" spans="1:21">
      <c r="A5670"/>
      <c r="C5670"/>
      <c r="D5670"/>
      <c r="L5670"/>
      <c r="R5670"/>
      <c r="S5670"/>
      <c r="T5670"/>
      <c r="U5670"/>
    </row>
    <row r="5671" spans="1:21">
      <c r="A5671"/>
      <c r="C5671"/>
      <c r="D5671"/>
      <c r="L5671"/>
      <c r="R5671"/>
      <c r="S5671"/>
      <c r="T5671"/>
      <c r="U5671"/>
    </row>
    <row r="5672" spans="1:21">
      <c r="A5672"/>
      <c r="C5672"/>
      <c r="D5672"/>
      <c r="L5672"/>
      <c r="R5672"/>
      <c r="S5672"/>
      <c r="T5672"/>
      <c r="U5672"/>
    </row>
    <row r="5673" spans="1:21">
      <c r="A5673"/>
      <c r="C5673"/>
      <c r="D5673"/>
      <c r="L5673"/>
      <c r="R5673"/>
      <c r="S5673"/>
      <c r="T5673"/>
      <c r="U5673"/>
    </row>
    <row r="5674" spans="1:21">
      <c r="A5674"/>
      <c r="C5674"/>
      <c r="D5674"/>
      <c r="L5674"/>
      <c r="R5674"/>
      <c r="S5674"/>
      <c r="T5674"/>
      <c r="U5674"/>
    </row>
    <row r="5675" spans="1:21">
      <c r="A5675"/>
      <c r="C5675"/>
      <c r="D5675"/>
      <c r="L5675"/>
      <c r="R5675"/>
      <c r="S5675"/>
      <c r="T5675"/>
      <c r="U5675"/>
    </row>
    <row r="5676" spans="1:21">
      <c r="A5676"/>
      <c r="C5676"/>
      <c r="D5676"/>
      <c r="L5676"/>
      <c r="R5676"/>
      <c r="S5676"/>
      <c r="T5676"/>
      <c r="U5676"/>
    </row>
    <row r="5677" spans="1:21">
      <c r="A5677"/>
      <c r="C5677"/>
      <c r="D5677"/>
      <c r="L5677"/>
      <c r="R5677"/>
      <c r="S5677"/>
      <c r="T5677"/>
      <c r="U5677"/>
    </row>
    <row r="5678" spans="1:21">
      <c r="A5678"/>
      <c r="C5678"/>
      <c r="D5678"/>
      <c r="L5678"/>
      <c r="R5678"/>
      <c r="S5678"/>
      <c r="T5678"/>
      <c r="U5678"/>
    </row>
    <row r="5679" spans="1:21">
      <c r="A5679"/>
      <c r="C5679"/>
      <c r="D5679"/>
      <c r="L5679"/>
      <c r="R5679"/>
      <c r="S5679"/>
      <c r="T5679"/>
      <c r="U5679"/>
    </row>
    <row r="5680" spans="1:21">
      <c r="A5680"/>
      <c r="C5680"/>
      <c r="D5680"/>
      <c r="L5680"/>
      <c r="R5680"/>
      <c r="S5680"/>
      <c r="T5680"/>
      <c r="U5680"/>
    </row>
    <row r="5681" spans="1:21">
      <c r="A5681"/>
      <c r="C5681"/>
      <c r="D5681"/>
      <c r="L5681"/>
      <c r="R5681"/>
      <c r="S5681"/>
      <c r="T5681"/>
      <c r="U5681"/>
    </row>
    <row r="5682" spans="1:21">
      <c r="A5682"/>
      <c r="C5682"/>
      <c r="D5682"/>
      <c r="L5682"/>
      <c r="R5682"/>
      <c r="S5682"/>
      <c r="T5682"/>
      <c r="U5682"/>
    </row>
    <row r="5683" spans="1:21">
      <c r="A5683"/>
      <c r="C5683"/>
      <c r="D5683"/>
      <c r="L5683"/>
      <c r="R5683"/>
      <c r="S5683"/>
      <c r="T5683"/>
      <c r="U5683"/>
    </row>
    <row r="5684" spans="1:21">
      <c r="A5684"/>
      <c r="C5684"/>
      <c r="D5684"/>
      <c r="L5684"/>
      <c r="R5684"/>
      <c r="S5684"/>
      <c r="T5684"/>
      <c r="U5684"/>
    </row>
    <row r="5685" spans="1:21">
      <c r="A5685"/>
      <c r="C5685"/>
      <c r="D5685"/>
      <c r="L5685"/>
      <c r="R5685"/>
      <c r="S5685"/>
      <c r="T5685"/>
      <c r="U5685"/>
    </row>
    <row r="5686" spans="1:21">
      <c r="A5686"/>
      <c r="C5686"/>
      <c r="D5686"/>
      <c r="L5686"/>
      <c r="R5686"/>
      <c r="S5686"/>
      <c r="T5686"/>
      <c r="U5686"/>
    </row>
    <row r="5687" spans="1:21">
      <c r="A5687"/>
      <c r="C5687"/>
      <c r="D5687"/>
      <c r="L5687"/>
      <c r="R5687"/>
      <c r="S5687"/>
      <c r="T5687"/>
      <c r="U5687"/>
    </row>
    <row r="5688" spans="1:21">
      <c r="A5688"/>
      <c r="C5688"/>
      <c r="D5688"/>
      <c r="L5688"/>
      <c r="R5688"/>
      <c r="S5688"/>
      <c r="T5688"/>
      <c r="U5688"/>
    </row>
    <row r="5689" spans="1:21">
      <c r="A5689"/>
      <c r="C5689"/>
      <c r="D5689"/>
      <c r="L5689"/>
      <c r="R5689"/>
      <c r="S5689"/>
      <c r="T5689"/>
      <c r="U5689"/>
    </row>
    <row r="5690" spans="1:21">
      <c r="A5690"/>
      <c r="C5690"/>
      <c r="D5690"/>
      <c r="L5690"/>
      <c r="R5690"/>
      <c r="S5690"/>
      <c r="T5690"/>
      <c r="U5690"/>
    </row>
    <row r="5691" spans="1:21">
      <c r="A5691"/>
      <c r="C5691"/>
      <c r="D5691"/>
      <c r="L5691"/>
      <c r="R5691"/>
      <c r="S5691"/>
      <c r="T5691"/>
      <c r="U5691"/>
    </row>
    <row r="5692" spans="1:21">
      <c r="A5692"/>
      <c r="C5692"/>
      <c r="D5692"/>
      <c r="L5692"/>
      <c r="R5692"/>
      <c r="S5692"/>
      <c r="T5692"/>
      <c r="U5692"/>
    </row>
    <row r="5693" spans="1:21">
      <c r="A5693"/>
      <c r="C5693"/>
      <c r="D5693"/>
      <c r="L5693"/>
      <c r="R5693"/>
      <c r="S5693"/>
      <c r="T5693"/>
      <c r="U5693"/>
    </row>
    <row r="5694" spans="1:21">
      <c r="A5694"/>
      <c r="C5694"/>
      <c r="D5694"/>
      <c r="L5694"/>
      <c r="R5694"/>
      <c r="S5694"/>
      <c r="T5694"/>
      <c r="U5694"/>
    </row>
    <row r="5695" spans="1:21">
      <c r="A5695"/>
      <c r="C5695"/>
      <c r="D5695"/>
      <c r="L5695"/>
      <c r="R5695"/>
      <c r="S5695"/>
      <c r="T5695"/>
      <c r="U5695"/>
    </row>
    <row r="5696" spans="1:21">
      <c r="A5696"/>
      <c r="C5696"/>
      <c r="D5696"/>
      <c r="L5696"/>
      <c r="R5696"/>
      <c r="S5696"/>
      <c r="T5696"/>
      <c r="U5696"/>
    </row>
    <row r="5697" spans="1:21">
      <c r="A5697"/>
      <c r="C5697"/>
      <c r="D5697"/>
      <c r="L5697"/>
      <c r="R5697"/>
      <c r="S5697"/>
      <c r="T5697"/>
      <c r="U5697"/>
    </row>
    <row r="5698" spans="1:21">
      <c r="A5698"/>
      <c r="C5698"/>
      <c r="D5698"/>
      <c r="L5698"/>
      <c r="R5698"/>
      <c r="S5698"/>
      <c r="T5698"/>
      <c r="U5698"/>
    </row>
    <row r="5699" spans="1:21">
      <c r="A5699"/>
      <c r="C5699"/>
      <c r="D5699"/>
      <c r="L5699"/>
      <c r="R5699"/>
      <c r="S5699"/>
      <c r="T5699"/>
      <c r="U5699"/>
    </row>
    <row r="5700" spans="1:21">
      <c r="A5700"/>
      <c r="C5700"/>
      <c r="D5700"/>
      <c r="L5700"/>
      <c r="R5700"/>
      <c r="S5700"/>
      <c r="T5700"/>
      <c r="U5700"/>
    </row>
    <row r="5701" spans="1:21">
      <c r="A5701"/>
      <c r="C5701"/>
      <c r="D5701"/>
      <c r="L5701"/>
      <c r="R5701"/>
      <c r="S5701"/>
      <c r="T5701"/>
      <c r="U5701"/>
    </row>
    <row r="5702" spans="1:21">
      <c r="A5702"/>
      <c r="C5702"/>
      <c r="D5702"/>
      <c r="L5702"/>
      <c r="R5702"/>
      <c r="S5702"/>
      <c r="T5702"/>
      <c r="U5702"/>
    </row>
    <row r="5703" spans="1:21">
      <c r="A5703"/>
      <c r="C5703"/>
      <c r="D5703"/>
      <c r="L5703"/>
      <c r="R5703"/>
      <c r="S5703"/>
      <c r="T5703"/>
      <c r="U5703"/>
    </row>
    <row r="5704" spans="1:21">
      <c r="A5704"/>
      <c r="C5704"/>
      <c r="D5704"/>
      <c r="L5704"/>
      <c r="R5704"/>
      <c r="S5704"/>
      <c r="T5704"/>
      <c r="U5704"/>
    </row>
    <row r="5705" spans="1:21">
      <c r="A5705"/>
      <c r="C5705"/>
      <c r="D5705"/>
      <c r="L5705"/>
      <c r="R5705"/>
      <c r="S5705"/>
      <c r="T5705"/>
      <c r="U5705"/>
    </row>
    <row r="5706" spans="1:21">
      <c r="A5706"/>
      <c r="C5706"/>
      <c r="D5706"/>
      <c r="L5706"/>
      <c r="R5706"/>
      <c r="S5706"/>
      <c r="T5706"/>
      <c r="U5706"/>
    </row>
    <row r="5707" spans="1:21">
      <c r="A5707"/>
      <c r="C5707"/>
      <c r="D5707"/>
      <c r="L5707"/>
      <c r="R5707"/>
      <c r="S5707"/>
      <c r="T5707"/>
      <c r="U5707"/>
    </row>
    <row r="5708" spans="1:21">
      <c r="A5708"/>
      <c r="C5708"/>
      <c r="D5708"/>
      <c r="L5708"/>
      <c r="R5708"/>
      <c r="S5708"/>
      <c r="T5708"/>
      <c r="U5708"/>
    </row>
    <row r="5709" spans="1:21">
      <c r="A5709"/>
      <c r="C5709"/>
      <c r="D5709"/>
      <c r="L5709"/>
      <c r="R5709"/>
      <c r="S5709"/>
      <c r="T5709"/>
      <c r="U5709"/>
    </row>
    <row r="5710" spans="1:21">
      <c r="A5710"/>
      <c r="C5710"/>
      <c r="D5710"/>
      <c r="L5710"/>
      <c r="R5710"/>
      <c r="S5710"/>
      <c r="T5710"/>
      <c r="U5710"/>
    </row>
    <row r="5711" spans="1:21">
      <c r="A5711"/>
      <c r="C5711"/>
      <c r="D5711"/>
      <c r="L5711"/>
      <c r="R5711"/>
      <c r="S5711"/>
      <c r="T5711"/>
      <c r="U5711"/>
    </row>
    <row r="5712" spans="1:21">
      <c r="A5712"/>
      <c r="C5712"/>
      <c r="D5712"/>
      <c r="L5712"/>
      <c r="R5712"/>
      <c r="S5712"/>
      <c r="T5712"/>
      <c r="U5712"/>
    </row>
    <row r="5713" spans="1:21">
      <c r="A5713"/>
      <c r="C5713"/>
      <c r="D5713"/>
      <c r="L5713"/>
      <c r="R5713"/>
      <c r="S5713"/>
      <c r="T5713"/>
      <c r="U5713"/>
    </row>
    <row r="5714" spans="1:21">
      <c r="A5714"/>
      <c r="C5714"/>
      <c r="D5714"/>
      <c r="L5714"/>
      <c r="R5714"/>
      <c r="S5714"/>
      <c r="T5714"/>
      <c r="U5714"/>
    </row>
    <row r="5715" spans="1:21">
      <c r="A5715"/>
      <c r="C5715"/>
      <c r="D5715"/>
      <c r="L5715"/>
      <c r="R5715"/>
      <c r="S5715"/>
      <c r="T5715"/>
      <c r="U5715"/>
    </row>
    <row r="5716" spans="1:21">
      <c r="A5716"/>
      <c r="C5716"/>
      <c r="D5716"/>
      <c r="L5716"/>
      <c r="R5716"/>
      <c r="S5716"/>
      <c r="T5716"/>
      <c r="U5716"/>
    </row>
    <row r="5717" spans="1:21">
      <c r="A5717"/>
      <c r="C5717"/>
      <c r="D5717"/>
      <c r="L5717"/>
      <c r="R5717"/>
      <c r="S5717"/>
      <c r="T5717"/>
      <c r="U5717"/>
    </row>
    <row r="5718" spans="1:21">
      <c r="A5718"/>
      <c r="C5718"/>
      <c r="D5718"/>
      <c r="L5718"/>
      <c r="R5718"/>
      <c r="S5718"/>
      <c r="T5718"/>
      <c r="U5718"/>
    </row>
    <row r="5719" spans="1:21">
      <c r="A5719"/>
      <c r="C5719"/>
      <c r="D5719"/>
      <c r="L5719"/>
      <c r="R5719"/>
      <c r="S5719"/>
      <c r="T5719"/>
      <c r="U5719"/>
    </row>
    <row r="5720" spans="1:21">
      <c r="A5720"/>
      <c r="C5720"/>
      <c r="D5720"/>
      <c r="L5720"/>
      <c r="R5720"/>
      <c r="S5720"/>
      <c r="T5720"/>
      <c r="U5720"/>
    </row>
    <row r="5721" spans="1:21">
      <c r="A5721"/>
      <c r="C5721"/>
      <c r="D5721"/>
      <c r="L5721"/>
      <c r="R5721"/>
      <c r="S5721"/>
      <c r="T5721"/>
      <c r="U5721"/>
    </row>
    <row r="5722" spans="1:21">
      <c r="A5722"/>
      <c r="C5722"/>
      <c r="D5722"/>
      <c r="L5722"/>
      <c r="R5722"/>
      <c r="S5722"/>
      <c r="T5722"/>
      <c r="U5722"/>
    </row>
    <row r="5723" spans="1:21">
      <c r="A5723"/>
      <c r="C5723"/>
      <c r="D5723"/>
      <c r="L5723"/>
      <c r="R5723"/>
      <c r="S5723"/>
      <c r="T5723"/>
      <c r="U5723"/>
    </row>
    <row r="5724" spans="1:21">
      <c r="A5724"/>
      <c r="C5724"/>
      <c r="D5724"/>
      <c r="L5724"/>
      <c r="R5724"/>
      <c r="S5724"/>
      <c r="T5724"/>
      <c r="U5724"/>
    </row>
    <row r="5725" spans="1:21">
      <c r="A5725"/>
      <c r="C5725"/>
      <c r="D5725"/>
      <c r="L5725"/>
      <c r="R5725"/>
      <c r="S5725"/>
      <c r="T5725"/>
      <c r="U5725"/>
    </row>
    <row r="5726" spans="1:21">
      <c r="A5726"/>
      <c r="C5726"/>
      <c r="D5726"/>
      <c r="L5726"/>
      <c r="R5726"/>
      <c r="S5726"/>
      <c r="T5726"/>
      <c r="U5726"/>
    </row>
    <row r="5727" spans="1:21">
      <c r="A5727"/>
      <c r="C5727"/>
      <c r="D5727"/>
      <c r="L5727"/>
      <c r="R5727"/>
      <c r="S5727"/>
      <c r="T5727"/>
      <c r="U5727"/>
    </row>
    <row r="5728" spans="1:21">
      <c r="A5728"/>
      <c r="C5728"/>
      <c r="D5728"/>
      <c r="L5728"/>
      <c r="R5728"/>
      <c r="S5728"/>
      <c r="T5728"/>
      <c r="U5728"/>
    </row>
    <row r="5729" spans="1:21">
      <c r="A5729"/>
      <c r="C5729"/>
      <c r="D5729"/>
      <c r="L5729"/>
      <c r="R5729"/>
      <c r="S5729"/>
      <c r="T5729"/>
      <c r="U5729"/>
    </row>
    <row r="5730" spans="1:21">
      <c r="A5730"/>
      <c r="C5730"/>
      <c r="D5730"/>
      <c r="L5730"/>
      <c r="R5730"/>
      <c r="S5730"/>
      <c r="T5730"/>
      <c r="U5730"/>
    </row>
    <row r="5731" spans="1:21">
      <c r="A5731"/>
      <c r="C5731"/>
      <c r="D5731"/>
      <c r="L5731"/>
      <c r="R5731"/>
      <c r="S5731"/>
      <c r="T5731"/>
      <c r="U5731"/>
    </row>
    <row r="5732" spans="1:21">
      <c r="A5732"/>
      <c r="C5732"/>
      <c r="D5732"/>
      <c r="L5732"/>
      <c r="R5732"/>
      <c r="S5732"/>
      <c r="T5732"/>
      <c r="U5732"/>
    </row>
    <row r="5733" spans="1:21">
      <c r="A5733"/>
      <c r="C5733"/>
      <c r="D5733"/>
      <c r="L5733"/>
      <c r="R5733"/>
      <c r="S5733"/>
      <c r="T5733"/>
      <c r="U5733"/>
    </row>
    <row r="5734" spans="1:21">
      <c r="A5734"/>
      <c r="C5734"/>
      <c r="D5734"/>
      <c r="L5734"/>
      <c r="R5734"/>
      <c r="S5734"/>
      <c r="T5734"/>
      <c r="U5734"/>
    </row>
    <row r="5735" spans="1:21">
      <c r="A5735"/>
      <c r="C5735"/>
      <c r="D5735"/>
      <c r="L5735"/>
      <c r="R5735"/>
      <c r="S5735"/>
      <c r="T5735"/>
      <c r="U5735"/>
    </row>
    <row r="5736" spans="1:21">
      <c r="A5736"/>
      <c r="C5736"/>
      <c r="D5736"/>
      <c r="L5736"/>
      <c r="R5736"/>
      <c r="S5736"/>
      <c r="T5736"/>
      <c r="U5736"/>
    </row>
    <row r="5737" spans="1:21">
      <c r="A5737"/>
      <c r="C5737"/>
      <c r="D5737"/>
      <c r="L5737"/>
      <c r="R5737"/>
      <c r="S5737"/>
      <c r="T5737"/>
      <c r="U5737"/>
    </row>
    <row r="5738" spans="1:21">
      <c r="A5738"/>
      <c r="C5738"/>
      <c r="D5738"/>
      <c r="L5738"/>
      <c r="R5738"/>
      <c r="S5738"/>
      <c r="T5738"/>
      <c r="U5738"/>
    </row>
    <row r="5739" spans="1:21">
      <c r="A5739"/>
      <c r="C5739"/>
      <c r="D5739"/>
      <c r="L5739"/>
      <c r="R5739"/>
      <c r="S5739"/>
      <c r="T5739"/>
      <c r="U5739"/>
    </row>
    <row r="5740" spans="1:21">
      <c r="A5740"/>
      <c r="C5740"/>
      <c r="D5740"/>
      <c r="L5740"/>
      <c r="R5740"/>
      <c r="S5740"/>
      <c r="T5740"/>
      <c r="U5740"/>
    </row>
    <row r="5741" spans="1:21">
      <c r="A5741"/>
      <c r="C5741"/>
      <c r="D5741"/>
      <c r="L5741"/>
      <c r="R5741"/>
      <c r="S5741"/>
      <c r="T5741"/>
      <c r="U5741"/>
    </row>
    <row r="5742" spans="1:21">
      <c r="A5742"/>
      <c r="C5742"/>
      <c r="D5742"/>
      <c r="L5742"/>
      <c r="R5742"/>
      <c r="S5742"/>
      <c r="T5742"/>
      <c r="U5742"/>
    </row>
    <row r="5743" spans="1:21">
      <c r="A5743"/>
      <c r="C5743"/>
      <c r="D5743"/>
      <c r="L5743"/>
      <c r="R5743"/>
      <c r="S5743"/>
      <c r="T5743"/>
      <c r="U5743"/>
    </row>
    <row r="5744" spans="1:21">
      <c r="A5744"/>
      <c r="C5744"/>
      <c r="D5744"/>
      <c r="L5744"/>
      <c r="R5744"/>
      <c r="S5744"/>
      <c r="T5744"/>
      <c r="U5744"/>
    </row>
    <row r="5745" spans="1:21">
      <c r="A5745"/>
      <c r="C5745"/>
      <c r="D5745"/>
      <c r="L5745"/>
      <c r="R5745"/>
      <c r="S5745"/>
      <c r="T5745"/>
      <c r="U5745"/>
    </row>
    <row r="5746" spans="1:21">
      <c r="A5746"/>
      <c r="C5746"/>
      <c r="D5746"/>
      <c r="L5746"/>
      <c r="R5746"/>
      <c r="S5746"/>
      <c r="T5746"/>
      <c r="U5746"/>
    </row>
    <row r="5747" spans="1:21">
      <c r="A5747"/>
      <c r="C5747"/>
      <c r="D5747"/>
      <c r="L5747"/>
      <c r="R5747"/>
      <c r="S5747"/>
      <c r="T5747"/>
      <c r="U5747"/>
    </row>
    <row r="5748" spans="1:21">
      <c r="A5748"/>
      <c r="C5748"/>
      <c r="D5748"/>
      <c r="L5748"/>
      <c r="R5748"/>
      <c r="S5748"/>
      <c r="T5748"/>
      <c r="U5748"/>
    </row>
    <row r="5749" spans="1:21">
      <c r="A5749"/>
      <c r="C5749"/>
      <c r="D5749"/>
      <c r="L5749"/>
      <c r="R5749"/>
      <c r="S5749"/>
      <c r="T5749"/>
      <c r="U5749"/>
    </row>
    <row r="5750" spans="1:21">
      <c r="A5750"/>
      <c r="C5750"/>
      <c r="D5750"/>
      <c r="L5750"/>
      <c r="R5750"/>
      <c r="S5750"/>
      <c r="T5750"/>
      <c r="U5750"/>
    </row>
    <row r="5751" spans="1:21">
      <c r="A5751"/>
      <c r="C5751"/>
      <c r="D5751"/>
      <c r="L5751"/>
      <c r="R5751"/>
      <c r="S5751"/>
      <c r="T5751"/>
      <c r="U5751"/>
    </row>
    <row r="5752" spans="1:21">
      <c r="A5752"/>
      <c r="C5752"/>
      <c r="D5752"/>
      <c r="L5752"/>
      <c r="R5752"/>
      <c r="S5752"/>
      <c r="T5752"/>
      <c r="U5752"/>
    </row>
    <row r="5753" spans="1:21">
      <c r="A5753"/>
      <c r="C5753"/>
      <c r="D5753"/>
      <c r="L5753"/>
      <c r="R5753"/>
      <c r="S5753"/>
      <c r="T5753"/>
      <c r="U5753"/>
    </row>
    <row r="5754" spans="1:21">
      <c r="A5754"/>
      <c r="C5754"/>
      <c r="D5754"/>
      <c r="L5754"/>
      <c r="R5754"/>
      <c r="S5754"/>
      <c r="T5754"/>
      <c r="U5754"/>
    </row>
    <row r="5755" spans="1:21">
      <c r="A5755"/>
      <c r="C5755"/>
      <c r="D5755"/>
      <c r="L5755"/>
      <c r="R5755"/>
      <c r="S5755"/>
      <c r="T5755"/>
      <c r="U5755"/>
    </row>
    <row r="5756" spans="1:21">
      <c r="A5756"/>
      <c r="C5756"/>
      <c r="D5756"/>
      <c r="L5756"/>
      <c r="R5756"/>
      <c r="S5756"/>
      <c r="T5756"/>
      <c r="U5756"/>
    </row>
    <row r="5757" spans="1:21">
      <c r="A5757"/>
      <c r="C5757"/>
      <c r="D5757"/>
      <c r="L5757"/>
      <c r="R5757"/>
      <c r="S5757"/>
      <c r="T5757"/>
      <c r="U5757"/>
    </row>
    <row r="5758" spans="1:21">
      <c r="A5758"/>
      <c r="C5758"/>
      <c r="D5758"/>
      <c r="L5758"/>
      <c r="R5758"/>
      <c r="S5758"/>
      <c r="T5758"/>
      <c r="U5758"/>
    </row>
    <row r="5759" spans="1:21">
      <c r="A5759"/>
      <c r="C5759"/>
      <c r="D5759"/>
      <c r="L5759"/>
      <c r="R5759"/>
      <c r="S5759"/>
      <c r="T5759"/>
      <c r="U5759"/>
    </row>
    <row r="5760" spans="1:21">
      <c r="A5760"/>
      <c r="C5760"/>
      <c r="D5760"/>
      <c r="L5760"/>
      <c r="R5760"/>
      <c r="S5760"/>
      <c r="T5760"/>
      <c r="U5760"/>
    </row>
    <row r="5761" spans="1:21">
      <c r="A5761"/>
      <c r="C5761"/>
      <c r="D5761"/>
      <c r="L5761"/>
      <c r="R5761"/>
      <c r="S5761"/>
      <c r="T5761"/>
      <c r="U5761"/>
    </row>
    <row r="5762" spans="1:21">
      <c r="A5762"/>
      <c r="C5762"/>
      <c r="D5762"/>
      <c r="L5762"/>
      <c r="R5762"/>
      <c r="S5762"/>
      <c r="T5762"/>
      <c r="U5762"/>
    </row>
    <row r="5763" spans="1:21">
      <c r="A5763"/>
      <c r="C5763"/>
      <c r="D5763"/>
      <c r="L5763"/>
      <c r="R5763"/>
      <c r="S5763"/>
      <c r="T5763"/>
      <c r="U5763"/>
    </row>
    <row r="5764" spans="1:21">
      <c r="A5764"/>
      <c r="C5764"/>
      <c r="D5764"/>
      <c r="L5764"/>
      <c r="R5764"/>
      <c r="S5764"/>
      <c r="T5764"/>
      <c r="U5764"/>
    </row>
    <row r="5765" spans="1:21">
      <c r="A5765"/>
      <c r="C5765"/>
      <c r="D5765"/>
      <c r="L5765"/>
      <c r="R5765"/>
      <c r="S5765"/>
      <c r="T5765"/>
      <c r="U5765"/>
    </row>
    <row r="5766" spans="1:21">
      <c r="A5766"/>
      <c r="C5766"/>
      <c r="D5766"/>
      <c r="L5766"/>
      <c r="R5766"/>
      <c r="S5766"/>
      <c r="T5766"/>
      <c r="U5766"/>
    </row>
    <row r="5767" spans="1:21">
      <c r="A5767"/>
      <c r="C5767"/>
      <c r="D5767"/>
      <c r="L5767"/>
      <c r="R5767"/>
      <c r="S5767"/>
      <c r="T5767"/>
      <c r="U5767"/>
    </row>
    <row r="5768" spans="1:21">
      <c r="A5768"/>
      <c r="C5768"/>
      <c r="D5768"/>
      <c r="L5768"/>
      <c r="R5768"/>
      <c r="S5768"/>
      <c r="T5768"/>
      <c r="U5768"/>
    </row>
    <row r="5769" spans="1:21">
      <c r="A5769"/>
      <c r="C5769"/>
      <c r="D5769"/>
      <c r="L5769"/>
      <c r="R5769"/>
      <c r="S5769"/>
      <c r="T5769"/>
      <c r="U5769"/>
    </row>
    <row r="5770" spans="1:21">
      <c r="A5770"/>
      <c r="C5770"/>
      <c r="D5770"/>
      <c r="L5770"/>
      <c r="R5770"/>
      <c r="S5770"/>
      <c r="T5770"/>
      <c r="U5770"/>
    </row>
    <row r="5771" spans="1:21">
      <c r="A5771"/>
      <c r="C5771"/>
      <c r="D5771"/>
      <c r="L5771"/>
      <c r="R5771"/>
      <c r="S5771"/>
      <c r="T5771"/>
      <c r="U5771"/>
    </row>
    <row r="5772" spans="1:21">
      <c r="A5772"/>
      <c r="C5772"/>
      <c r="D5772"/>
      <c r="L5772"/>
      <c r="R5772"/>
      <c r="S5772"/>
      <c r="T5772"/>
      <c r="U5772"/>
    </row>
    <row r="5773" spans="1:21">
      <c r="A5773"/>
      <c r="C5773"/>
      <c r="D5773"/>
      <c r="L5773"/>
      <c r="R5773"/>
      <c r="S5773"/>
      <c r="T5773"/>
      <c r="U5773"/>
    </row>
    <row r="5774" spans="1:21">
      <c r="A5774"/>
      <c r="C5774"/>
      <c r="D5774"/>
      <c r="L5774"/>
      <c r="R5774"/>
      <c r="S5774"/>
      <c r="T5774"/>
      <c r="U5774"/>
    </row>
    <row r="5775" spans="1:21">
      <c r="A5775"/>
      <c r="C5775"/>
      <c r="D5775"/>
      <c r="L5775"/>
      <c r="R5775"/>
      <c r="S5775"/>
      <c r="T5775"/>
      <c r="U5775"/>
    </row>
    <row r="5776" spans="1:21">
      <c r="A5776"/>
      <c r="C5776"/>
      <c r="D5776"/>
      <c r="L5776"/>
      <c r="R5776"/>
      <c r="S5776"/>
      <c r="T5776"/>
      <c r="U5776"/>
    </row>
    <row r="5777" spans="1:21">
      <c r="A5777"/>
      <c r="C5777"/>
      <c r="D5777"/>
      <c r="L5777"/>
      <c r="R5777"/>
      <c r="S5777"/>
      <c r="T5777"/>
      <c r="U5777"/>
    </row>
    <row r="5778" spans="1:21">
      <c r="A5778"/>
      <c r="C5778"/>
      <c r="D5778"/>
      <c r="L5778"/>
      <c r="R5778"/>
      <c r="S5778"/>
      <c r="T5778"/>
      <c r="U5778"/>
    </row>
    <row r="5779" spans="1:21">
      <c r="A5779"/>
      <c r="C5779"/>
      <c r="D5779"/>
      <c r="L5779"/>
      <c r="R5779"/>
      <c r="S5779"/>
      <c r="T5779"/>
      <c r="U5779"/>
    </row>
    <row r="5780" spans="1:21">
      <c r="A5780"/>
      <c r="C5780"/>
      <c r="D5780"/>
      <c r="L5780"/>
      <c r="R5780"/>
      <c r="S5780"/>
      <c r="T5780"/>
      <c r="U5780"/>
    </row>
    <row r="5781" spans="1:21">
      <c r="A5781"/>
      <c r="C5781"/>
      <c r="D5781"/>
      <c r="L5781"/>
      <c r="R5781"/>
      <c r="S5781"/>
      <c r="T5781"/>
      <c r="U5781"/>
    </row>
    <row r="5782" spans="1:21">
      <c r="A5782"/>
      <c r="C5782"/>
      <c r="D5782"/>
      <c r="L5782"/>
      <c r="R5782"/>
      <c r="S5782"/>
      <c r="T5782"/>
      <c r="U5782"/>
    </row>
    <row r="5783" spans="1:21">
      <c r="A5783"/>
      <c r="C5783"/>
      <c r="D5783"/>
      <c r="L5783"/>
      <c r="R5783"/>
      <c r="S5783"/>
      <c r="T5783"/>
      <c r="U5783"/>
    </row>
    <row r="5784" spans="1:21">
      <c r="A5784"/>
      <c r="C5784"/>
      <c r="D5784"/>
      <c r="L5784"/>
      <c r="R5784"/>
      <c r="S5784"/>
      <c r="T5784"/>
      <c r="U5784"/>
    </row>
    <row r="5785" spans="1:21">
      <c r="A5785"/>
      <c r="C5785"/>
      <c r="D5785"/>
      <c r="L5785"/>
      <c r="R5785"/>
      <c r="S5785"/>
      <c r="T5785"/>
      <c r="U5785"/>
    </row>
    <row r="5786" spans="1:21">
      <c r="A5786"/>
      <c r="C5786"/>
      <c r="D5786"/>
      <c r="L5786"/>
      <c r="R5786"/>
      <c r="S5786"/>
      <c r="T5786"/>
      <c r="U5786"/>
    </row>
    <row r="5787" spans="1:21">
      <c r="A5787"/>
      <c r="C5787"/>
      <c r="D5787"/>
      <c r="L5787"/>
      <c r="R5787"/>
      <c r="S5787"/>
      <c r="T5787"/>
      <c r="U5787"/>
    </row>
    <row r="5788" spans="1:21">
      <c r="A5788"/>
      <c r="C5788"/>
      <c r="D5788"/>
      <c r="L5788"/>
      <c r="R5788"/>
      <c r="S5788"/>
      <c r="T5788"/>
      <c r="U5788"/>
    </row>
    <row r="5789" spans="1:21">
      <c r="A5789"/>
      <c r="C5789"/>
      <c r="D5789"/>
      <c r="L5789"/>
      <c r="R5789"/>
      <c r="S5789"/>
      <c r="T5789"/>
      <c r="U5789"/>
    </row>
    <row r="5790" spans="1:21">
      <c r="A5790"/>
      <c r="C5790"/>
      <c r="D5790"/>
      <c r="L5790"/>
      <c r="R5790"/>
      <c r="S5790"/>
      <c r="T5790"/>
      <c r="U5790"/>
    </row>
    <row r="5791" spans="1:21">
      <c r="A5791"/>
      <c r="C5791"/>
      <c r="D5791"/>
      <c r="L5791"/>
      <c r="R5791"/>
      <c r="S5791"/>
      <c r="T5791"/>
      <c r="U5791"/>
    </row>
    <row r="5792" spans="1:21">
      <c r="A5792"/>
      <c r="C5792"/>
      <c r="D5792"/>
      <c r="L5792"/>
      <c r="R5792"/>
      <c r="S5792"/>
      <c r="T5792"/>
      <c r="U5792"/>
    </row>
    <row r="5793" spans="1:21">
      <c r="A5793"/>
      <c r="C5793"/>
      <c r="D5793"/>
      <c r="L5793"/>
      <c r="R5793"/>
      <c r="S5793"/>
      <c r="T5793"/>
      <c r="U5793"/>
    </row>
    <row r="5794" spans="1:21">
      <c r="A5794"/>
      <c r="C5794"/>
      <c r="D5794"/>
      <c r="L5794"/>
      <c r="R5794"/>
      <c r="S5794"/>
      <c r="T5794"/>
      <c r="U5794"/>
    </row>
    <row r="5795" spans="1:21">
      <c r="A5795"/>
      <c r="C5795"/>
      <c r="D5795"/>
      <c r="L5795"/>
      <c r="R5795"/>
      <c r="S5795"/>
      <c r="T5795"/>
      <c r="U5795"/>
    </row>
    <row r="5796" spans="1:21">
      <c r="A5796"/>
      <c r="C5796"/>
      <c r="D5796"/>
      <c r="L5796"/>
      <c r="R5796"/>
      <c r="S5796"/>
      <c r="T5796"/>
      <c r="U5796"/>
    </row>
    <row r="5797" spans="1:21">
      <c r="A5797"/>
      <c r="C5797"/>
      <c r="D5797"/>
      <c r="L5797"/>
      <c r="R5797"/>
      <c r="S5797"/>
      <c r="T5797"/>
      <c r="U5797"/>
    </row>
    <row r="5798" spans="1:21">
      <c r="A5798"/>
      <c r="C5798"/>
      <c r="D5798"/>
      <c r="L5798"/>
      <c r="R5798"/>
      <c r="S5798"/>
      <c r="T5798"/>
      <c r="U5798"/>
    </row>
    <row r="5799" spans="1:21">
      <c r="A5799"/>
      <c r="C5799"/>
      <c r="D5799"/>
      <c r="L5799"/>
      <c r="R5799"/>
      <c r="S5799"/>
      <c r="T5799"/>
      <c r="U5799"/>
    </row>
    <row r="5800" spans="1:21">
      <c r="A5800"/>
      <c r="C5800"/>
      <c r="D5800"/>
      <c r="L5800"/>
      <c r="R5800"/>
      <c r="S5800"/>
      <c r="T5800"/>
      <c r="U5800"/>
    </row>
    <row r="5801" spans="1:21">
      <c r="A5801"/>
      <c r="C5801"/>
      <c r="D5801"/>
      <c r="L5801"/>
      <c r="R5801"/>
      <c r="S5801"/>
      <c r="T5801"/>
      <c r="U5801"/>
    </row>
    <row r="5802" spans="1:21">
      <c r="A5802"/>
      <c r="C5802"/>
      <c r="D5802"/>
      <c r="L5802"/>
      <c r="R5802"/>
      <c r="S5802"/>
      <c r="T5802"/>
      <c r="U5802"/>
    </row>
    <row r="5803" spans="1:21">
      <c r="A5803"/>
      <c r="C5803"/>
      <c r="D5803"/>
      <c r="L5803"/>
      <c r="R5803"/>
      <c r="S5803"/>
      <c r="T5803"/>
      <c r="U5803"/>
    </row>
    <row r="5804" spans="1:21">
      <c r="A5804"/>
      <c r="C5804"/>
      <c r="D5804"/>
      <c r="L5804"/>
      <c r="R5804"/>
      <c r="S5804"/>
      <c r="T5804"/>
      <c r="U5804"/>
    </row>
    <row r="5805" spans="1:21">
      <c r="A5805"/>
      <c r="C5805"/>
      <c r="D5805"/>
      <c r="L5805"/>
      <c r="R5805"/>
      <c r="S5805"/>
      <c r="T5805"/>
      <c r="U5805"/>
    </row>
    <row r="5806" spans="1:21">
      <c r="A5806"/>
      <c r="C5806"/>
      <c r="D5806"/>
      <c r="L5806"/>
      <c r="R5806"/>
      <c r="S5806"/>
      <c r="T5806"/>
      <c r="U5806"/>
    </row>
    <row r="5807" spans="1:21">
      <c r="A5807"/>
      <c r="C5807"/>
      <c r="D5807"/>
      <c r="L5807"/>
      <c r="R5807"/>
      <c r="S5807"/>
      <c r="T5807"/>
      <c r="U5807"/>
    </row>
    <row r="5808" spans="1:21">
      <c r="A5808"/>
      <c r="C5808"/>
      <c r="D5808"/>
      <c r="L5808"/>
      <c r="R5808"/>
      <c r="S5808"/>
      <c r="T5808"/>
      <c r="U5808"/>
    </row>
    <row r="5809" spans="1:21">
      <c r="A5809"/>
      <c r="C5809"/>
      <c r="D5809"/>
      <c r="L5809"/>
      <c r="R5809"/>
      <c r="S5809"/>
      <c r="T5809"/>
      <c r="U5809"/>
    </row>
    <row r="5810" spans="1:21">
      <c r="A5810"/>
      <c r="C5810"/>
      <c r="D5810"/>
      <c r="L5810"/>
      <c r="R5810"/>
      <c r="S5810"/>
      <c r="T5810"/>
      <c r="U5810"/>
    </row>
    <row r="5811" spans="1:21">
      <c r="A5811"/>
      <c r="C5811"/>
      <c r="D5811"/>
      <c r="L5811"/>
      <c r="R5811"/>
      <c r="S5811"/>
      <c r="T5811"/>
      <c r="U5811"/>
    </row>
    <row r="5812" spans="1:21">
      <c r="A5812"/>
      <c r="C5812"/>
      <c r="D5812"/>
      <c r="L5812"/>
      <c r="R5812"/>
      <c r="S5812"/>
      <c r="T5812"/>
      <c r="U5812"/>
    </row>
    <row r="5813" spans="1:21">
      <c r="A5813"/>
      <c r="C5813"/>
      <c r="D5813"/>
      <c r="L5813"/>
      <c r="R5813"/>
      <c r="S5813"/>
      <c r="T5813"/>
      <c r="U5813"/>
    </row>
    <row r="5814" spans="1:21">
      <c r="A5814"/>
      <c r="C5814"/>
      <c r="D5814"/>
      <c r="L5814"/>
      <c r="R5814"/>
      <c r="S5814"/>
      <c r="T5814"/>
      <c r="U5814"/>
    </row>
    <row r="5815" spans="1:21">
      <c r="A5815"/>
      <c r="C5815"/>
      <c r="D5815"/>
      <c r="L5815"/>
      <c r="R5815"/>
      <c r="S5815"/>
      <c r="T5815"/>
      <c r="U5815"/>
    </row>
    <row r="5816" spans="1:21">
      <c r="A5816"/>
      <c r="C5816"/>
      <c r="D5816"/>
      <c r="L5816"/>
      <c r="R5816"/>
      <c r="S5816"/>
      <c r="T5816"/>
      <c r="U5816"/>
    </row>
    <row r="5817" spans="1:21">
      <c r="A5817"/>
      <c r="C5817"/>
      <c r="D5817"/>
      <c r="L5817"/>
      <c r="R5817"/>
      <c r="S5817"/>
      <c r="T5817"/>
      <c r="U5817"/>
    </row>
    <row r="5818" spans="1:21">
      <c r="A5818"/>
      <c r="C5818"/>
      <c r="D5818"/>
      <c r="L5818"/>
      <c r="R5818"/>
      <c r="S5818"/>
      <c r="T5818"/>
      <c r="U5818"/>
    </row>
    <row r="5819" spans="1:21">
      <c r="A5819"/>
      <c r="C5819"/>
      <c r="D5819"/>
      <c r="L5819"/>
      <c r="R5819"/>
      <c r="S5819"/>
      <c r="T5819"/>
      <c r="U5819"/>
    </row>
    <row r="5820" spans="1:21">
      <c r="A5820"/>
      <c r="C5820"/>
      <c r="D5820"/>
      <c r="L5820"/>
      <c r="R5820"/>
      <c r="S5820"/>
      <c r="T5820"/>
      <c r="U5820"/>
    </row>
    <row r="5821" spans="1:21">
      <c r="A5821"/>
      <c r="C5821"/>
      <c r="D5821"/>
      <c r="L5821"/>
      <c r="R5821"/>
      <c r="S5821"/>
      <c r="T5821"/>
      <c r="U5821"/>
    </row>
    <row r="5822" spans="1:21">
      <c r="A5822"/>
      <c r="C5822"/>
      <c r="D5822"/>
      <c r="L5822"/>
      <c r="R5822"/>
      <c r="S5822"/>
      <c r="T5822"/>
      <c r="U5822"/>
    </row>
    <row r="5823" spans="1:21">
      <c r="A5823"/>
      <c r="C5823"/>
      <c r="D5823"/>
      <c r="L5823"/>
      <c r="R5823"/>
      <c r="S5823"/>
      <c r="T5823"/>
      <c r="U5823"/>
    </row>
    <row r="5824" spans="1:21">
      <c r="A5824"/>
      <c r="C5824"/>
      <c r="D5824"/>
      <c r="L5824"/>
      <c r="R5824"/>
      <c r="S5824"/>
      <c r="T5824"/>
      <c r="U5824"/>
    </row>
    <row r="5825" spans="1:21">
      <c r="A5825"/>
      <c r="C5825"/>
      <c r="D5825"/>
      <c r="L5825"/>
      <c r="R5825"/>
      <c r="S5825"/>
      <c r="T5825"/>
      <c r="U5825"/>
    </row>
    <row r="5826" spans="1:21">
      <c r="A5826"/>
      <c r="C5826"/>
      <c r="D5826"/>
      <c r="L5826"/>
      <c r="R5826"/>
      <c r="S5826"/>
      <c r="T5826"/>
      <c r="U5826"/>
    </row>
    <row r="5827" spans="1:21">
      <c r="A5827"/>
      <c r="C5827"/>
      <c r="D5827"/>
      <c r="L5827"/>
      <c r="R5827"/>
      <c r="S5827"/>
      <c r="T5827"/>
      <c r="U5827"/>
    </row>
    <row r="5828" spans="1:21">
      <c r="A5828"/>
      <c r="C5828"/>
      <c r="D5828"/>
      <c r="L5828"/>
      <c r="R5828"/>
      <c r="S5828"/>
      <c r="T5828"/>
      <c r="U5828"/>
    </row>
    <row r="5829" spans="1:21">
      <c r="A5829"/>
      <c r="C5829"/>
      <c r="D5829"/>
      <c r="L5829"/>
      <c r="R5829"/>
      <c r="S5829"/>
      <c r="T5829"/>
      <c r="U5829"/>
    </row>
    <row r="5830" spans="1:21">
      <c r="A5830"/>
      <c r="C5830"/>
      <c r="D5830"/>
      <c r="L5830"/>
      <c r="R5830"/>
      <c r="S5830"/>
      <c r="T5830"/>
      <c r="U5830"/>
    </row>
    <row r="5831" spans="1:21">
      <c r="A5831"/>
      <c r="C5831"/>
      <c r="D5831"/>
      <c r="L5831"/>
      <c r="R5831"/>
      <c r="S5831"/>
      <c r="T5831"/>
      <c r="U5831"/>
    </row>
    <row r="5832" spans="1:21">
      <c r="A5832"/>
      <c r="C5832"/>
      <c r="D5832"/>
      <c r="L5832"/>
      <c r="R5832"/>
      <c r="S5832"/>
      <c r="T5832"/>
      <c r="U5832"/>
    </row>
    <row r="5833" spans="1:21">
      <c r="A5833"/>
      <c r="C5833"/>
      <c r="D5833"/>
      <c r="L5833"/>
      <c r="R5833"/>
      <c r="S5833"/>
      <c r="T5833"/>
      <c r="U5833"/>
    </row>
    <row r="5834" spans="1:21">
      <c r="A5834"/>
      <c r="C5834"/>
      <c r="D5834"/>
      <c r="L5834"/>
      <c r="R5834"/>
      <c r="S5834"/>
      <c r="T5834"/>
      <c r="U5834"/>
    </row>
    <row r="5835" spans="1:21">
      <c r="A5835"/>
      <c r="C5835"/>
      <c r="D5835"/>
      <c r="L5835"/>
      <c r="R5835"/>
      <c r="S5835"/>
      <c r="T5835"/>
      <c r="U5835"/>
    </row>
    <row r="5836" spans="1:21">
      <c r="A5836"/>
      <c r="C5836"/>
      <c r="D5836"/>
      <c r="L5836"/>
      <c r="R5836"/>
      <c r="S5836"/>
      <c r="T5836"/>
      <c r="U5836"/>
    </row>
    <row r="5837" spans="1:21">
      <c r="A5837"/>
      <c r="C5837"/>
      <c r="D5837"/>
      <c r="L5837"/>
      <c r="R5837"/>
      <c r="S5837"/>
      <c r="T5837"/>
      <c r="U5837"/>
    </row>
    <row r="5838" spans="1:21">
      <c r="A5838"/>
      <c r="C5838"/>
      <c r="D5838"/>
      <c r="L5838"/>
      <c r="R5838"/>
      <c r="S5838"/>
      <c r="T5838"/>
      <c r="U5838"/>
    </row>
    <row r="5839" spans="1:21">
      <c r="A5839"/>
      <c r="C5839"/>
      <c r="D5839"/>
      <c r="L5839"/>
      <c r="R5839"/>
      <c r="S5839"/>
      <c r="T5839"/>
      <c r="U5839"/>
    </row>
    <row r="5840" spans="1:21">
      <c r="A5840"/>
      <c r="C5840"/>
      <c r="D5840"/>
      <c r="L5840"/>
      <c r="R5840"/>
      <c r="S5840"/>
      <c r="T5840"/>
      <c r="U5840"/>
    </row>
    <row r="5841" spans="1:21">
      <c r="A5841"/>
      <c r="C5841"/>
      <c r="D5841"/>
      <c r="L5841"/>
      <c r="R5841"/>
      <c r="S5841"/>
      <c r="T5841"/>
      <c r="U5841"/>
    </row>
    <row r="5842" spans="1:21">
      <c r="A5842"/>
      <c r="C5842"/>
      <c r="D5842"/>
      <c r="L5842"/>
      <c r="R5842"/>
      <c r="S5842"/>
      <c r="T5842"/>
      <c r="U5842"/>
    </row>
    <row r="5843" spans="1:21">
      <c r="A5843"/>
      <c r="C5843"/>
      <c r="D5843"/>
      <c r="L5843"/>
      <c r="R5843"/>
      <c r="S5843"/>
      <c r="T5843"/>
      <c r="U5843"/>
    </row>
    <row r="5844" spans="1:21">
      <c r="A5844"/>
      <c r="C5844"/>
      <c r="D5844"/>
      <c r="L5844"/>
      <c r="R5844"/>
      <c r="S5844"/>
      <c r="T5844"/>
      <c r="U5844"/>
    </row>
    <row r="5845" spans="1:21">
      <c r="A5845"/>
      <c r="C5845"/>
      <c r="D5845"/>
      <c r="L5845"/>
      <c r="R5845"/>
      <c r="S5845"/>
      <c r="T5845"/>
      <c r="U5845"/>
    </row>
    <row r="5846" spans="1:21">
      <c r="A5846"/>
      <c r="C5846"/>
      <c r="D5846"/>
      <c r="L5846"/>
      <c r="R5846"/>
      <c r="S5846"/>
      <c r="T5846"/>
      <c r="U5846"/>
    </row>
    <row r="5847" spans="1:21">
      <c r="A5847"/>
      <c r="C5847"/>
      <c r="D5847"/>
      <c r="L5847"/>
      <c r="R5847"/>
      <c r="S5847"/>
      <c r="T5847"/>
      <c r="U5847"/>
    </row>
    <row r="5848" spans="1:21">
      <c r="A5848"/>
      <c r="C5848"/>
      <c r="D5848"/>
      <c r="L5848"/>
      <c r="R5848"/>
      <c r="S5848"/>
      <c r="T5848"/>
      <c r="U5848"/>
    </row>
    <row r="5849" spans="1:21">
      <c r="A5849"/>
      <c r="C5849"/>
      <c r="D5849"/>
      <c r="L5849"/>
      <c r="R5849"/>
      <c r="S5849"/>
      <c r="T5849"/>
      <c r="U5849"/>
    </row>
    <row r="5850" spans="1:21">
      <c r="A5850"/>
      <c r="C5850"/>
      <c r="D5850"/>
      <c r="L5850"/>
      <c r="R5850"/>
      <c r="S5850"/>
      <c r="T5850"/>
      <c r="U5850"/>
    </row>
    <row r="5851" spans="1:21">
      <c r="A5851"/>
      <c r="C5851"/>
      <c r="D5851"/>
      <c r="L5851"/>
      <c r="R5851"/>
      <c r="S5851"/>
      <c r="T5851"/>
      <c r="U5851"/>
    </row>
    <row r="5852" spans="1:21">
      <c r="A5852"/>
      <c r="C5852"/>
      <c r="D5852"/>
      <c r="L5852"/>
      <c r="R5852"/>
      <c r="S5852"/>
      <c r="T5852"/>
      <c r="U5852"/>
    </row>
    <row r="5853" spans="1:21">
      <c r="A5853"/>
      <c r="C5853"/>
      <c r="D5853"/>
      <c r="L5853"/>
      <c r="R5853"/>
      <c r="S5853"/>
      <c r="T5853"/>
      <c r="U5853"/>
    </row>
    <row r="5854" spans="1:21">
      <c r="A5854"/>
      <c r="C5854"/>
      <c r="D5854"/>
      <c r="L5854"/>
      <c r="R5854"/>
      <c r="S5854"/>
      <c r="T5854"/>
      <c r="U5854"/>
    </row>
    <row r="5855" spans="1:21">
      <c r="A5855"/>
      <c r="C5855"/>
      <c r="D5855"/>
      <c r="L5855"/>
      <c r="R5855"/>
      <c r="S5855"/>
      <c r="T5855"/>
      <c r="U5855"/>
    </row>
    <row r="5856" spans="1:21">
      <c r="A5856"/>
      <c r="C5856"/>
      <c r="D5856"/>
      <c r="L5856"/>
      <c r="R5856"/>
      <c r="S5856"/>
      <c r="T5856"/>
      <c r="U5856"/>
    </row>
    <row r="5857" spans="1:21">
      <c r="A5857"/>
      <c r="C5857"/>
      <c r="D5857"/>
      <c r="L5857"/>
      <c r="R5857"/>
      <c r="S5857"/>
      <c r="T5857"/>
      <c r="U5857"/>
    </row>
    <row r="5858" spans="1:21">
      <c r="A5858"/>
      <c r="C5858"/>
      <c r="D5858"/>
      <c r="L5858"/>
      <c r="R5858"/>
      <c r="S5858"/>
      <c r="T5858"/>
      <c r="U5858"/>
    </row>
    <row r="5859" spans="1:21">
      <c r="A5859"/>
      <c r="C5859"/>
      <c r="D5859"/>
      <c r="L5859"/>
      <c r="R5859"/>
      <c r="S5859"/>
      <c r="T5859"/>
      <c r="U5859"/>
    </row>
    <row r="5860" spans="1:21">
      <c r="A5860"/>
      <c r="C5860"/>
      <c r="D5860"/>
      <c r="L5860"/>
      <c r="R5860"/>
      <c r="S5860"/>
      <c r="T5860"/>
      <c r="U5860"/>
    </row>
    <row r="5861" spans="1:21">
      <c r="A5861"/>
      <c r="C5861"/>
      <c r="D5861"/>
      <c r="L5861"/>
      <c r="R5861"/>
      <c r="S5861"/>
      <c r="T5861"/>
      <c r="U5861"/>
    </row>
    <row r="5862" spans="1:21">
      <c r="A5862"/>
      <c r="C5862"/>
      <c r="D5862"/>
      <c r="L5862"/>
      <c r="R5862"/>
      <c r="S5862"/>
      <c r="T5862"/>
      <c r="U5862"/>
    </row>
    <row r="5863" spans="1:21">
      <c r="A5863"/>
      <c r="C5863"/>
      <c r="D5863"/>
      <c r="L5863"/>
      <c r="R5863"/>
      <c r="S5863"/>
      <c r="T5863"/>
      <c r="U5863"/>
    </row>
    <row r="5864" spans="1:21">
      <c r="A5864"/>
      <c r="C5864"/>
      <c r="D5864"/>
      <c r="L5864"/>
      <c r="R5864"/>
      <c r="S5864"/>
      <c r="T5864"/>
      <c r="U5864"/>
    </row>
    <row r="5865" spans="1:21">
      <c r="A5865"/>
      <c r="C5865"/>
      <c r="D5865"/>
      <c r="L5865"/>
      <c r="R5865"/>
      <c r="S5865"/>
      <c r="T5865"/>
      <c r="U5865"/>
    </row>
    <row r="5866" spans="1:21">
      <c r="A5866"/>
      <c r="C5866"/>
      <c r="D5866"/>
      <c r="L5866"/>
      <c r="R5866"/>
      <c r="S5866"/>
      <c r="T5866"/>
      <c r="U5866"/>
    </row>
    <row r="5867" spans="1:21">
      <c r="A5867"/>
      <c r="C5867"/>
      <c r="D5867"/>
      <c r="L5867"/>
      <c r="R5867"/>
      <c r="S5867"/>
      <c r="T5867"/>
      <c r="U5867"/>
    </row>
    <row r="5868" spans="1:21">
      <c r="A5868"/>
      <c r="C5868"/>
      <c r="D5868"/>
      <c r="L5868"/>
      <c r="R5868"/>
      <c r="S5868"/>
      <c r="T5868"/>
      <c r="U5868"/>
    </row>
    <row r="5869" spans="1:21">
      <c r="A5869"/>
      <c r="C5869"/>
      <c r="D5869"/>
      <c r="L5869"/>
      <c r="R5869"/>
      <c r="S5869"/>
      <c r="T5869"/>
      <c r="U5869"/>
    </row>
    <row r="5870" spans="1:21">
      <c r="A5870"/>
      <c r="C5870"/>
      <c r="D5870"/>
      <c r="L5870"/>
      <c r="R5870"/>
      <c r="S5870"/>
      <c r="T5870"/>
      <c r="U5870"/>
    </row>
    <row r="5871" spans="1:21">
      <c r="A5871"/>
      <c r="C5871"/>
      <c r="D5871"/>
      <c r="L5871"/>
      <c r="R5871"/>
      <c r="S5871"/>
      <c r="T5871"/>
      <c r="U5871"/>
    </row>
    <row r="5872" spans="1:21">
      <c r="A5872"/>
      <c r="C5872"/>
      <c r="D5872"/>
      <c r="L5872"/>
      <c r="R5872"/>
      <c r="S5872"/>
      <c r="T5872"/>
      <c r="U5872"/>
    </row>
    <row r="5873" spans="1:21">
      <c r="A5873"/>
      <c r="C5873"/>
      <c r="D5873"/>
      <c r="L5873"/>
      <c r="R5873"/>
      <c r="S5873"/>
      <c r="T5873"/>
      <c r="U5873"/>
    </row>
    <row r="5874" spans="1:21">
      <c r="A5874"/>
      <c r="C5874"/>
      <c r="D5874"/>
      <c r="L5874"/>
      <c r="R5874"/>
      <c r="S5874"/>
      <c r="T5874"/>
      <c r="U5874"/>
    </row>
    <row r="5875" spans="1:21">
      <c r="A5875"/>
      <c r="C5875"/>
      <c r="D5875"/>
      <c r="L5875"/>
      <c r="R5875"/>
      <c r="S5875"/>
      <c r="T5875"/>
      <c r="U5875"/>
    </row>
    <row r="5876" spans="1:21">
      <c r="A5876"/>
      <c r="C5876"/>
      <c r="D5876"/>
      <c r="L5876"/>
      <c r="R5876"/>
      <c r="S5876"/>
      <c r="T5876"/>
      <c r="U5876"/>
    </row>
    <row r="5877" spans="1:21">
      <c r="A5877"/>
      <c r="C5877"/>
      <c r="D5877"/>
      <c r="L5877"/>
      <c r="R5877"/>
      <c r="S5877"/>
      <c r="T5877"/>
      <c r="U5877"/>
    </row>
    <row r="5878" spans="1:21">
      <c r="A5878"/>
      <c r="C5878"/>
      <c r="D5878"/>
      <c r="L5878"/>
      <c r="R5878"/>
      <c r="S5878"/>
      <c r="T5878"/>
      <c r="U5878"/>
    </row>
    <row r="5879" spans="1:21">
      <c r="A5879"/>
      <c r="C5879"/>
      <c r="D5879"/>
      <c r="L5879"/>
      <c r="R5879"/>
      <c r="S5879"/>
      <c r="T5879"/>
      <c r="U5879"/>
    </row>
    <row r="5880" spans="1:21">
      <c r="A5880"/>
      <c r="C5880"/>
      <c r="D5880"/>
      <c r="L5880"/>
      <c r="R5880"/>
      <c r="S5880"/>
      <c r="T5880"/>
      <c r="U5880"/>
    </row>
    <row r="5881" spans="1:21">
      <c r="A5881"/>
      <c r="C5881"/>
      <c r="D5881"/>
      <c r="L5881"/>
      <c r="R5881"/>
      <c r="S5881"/>
      <c r="T5881"/>
      <c r="U5881"/>
    </row>
    <row r="5882" spans="1:21">
      <c r="A5882"/>
      <c r="C5882"/>
      <c r="D5882"/>
      <c r="L5882"/>
      <c r="R5882"/>
      <c r="S5882"/>
      <c r="T5882"/>
      <c r="U5882"/>
    </row>
    <row r="5883" spans="1:21">
      <c r="A5883"/>
      <c r="C5883"/>
      <c r="D5883"/>
      <c r="L5883"/>
      <c r="R5883"/>
      <c r="S5883"/>
      <c r="T5883"/>
      <c r="U5883"/>
    </row>
    <row r="5884" spans="1:21">
      <c r="A5884"/>
      <c r="C5884"/>
      <c r="D5884"/>
      <c r="L5884"/>
      <c r="R5884"/>
      <c r="S5884"/>
      <c r="T5884"/>
      <c r="U5884"/>
    </row>
    <row r="5885" spans="1:21">
      <c r="A5885"/>
      <c r="C5885"/>
      <c r="D5885"/>
      <c r="L5885"/>
      <c r="R5885"/>
      <c r="S5885"/>
      <c r="T5885"/>
      <c r="U5885"/>
    </row>
    <row r="5886" spans="1:21">
      <c r="A5886"/>
      <c r="C5886"/>
      <c r="D5886"/>
      <c r="L5886"/>
      <c r="R5886"/>
      <c r="S5886"/>
      <c r="T5886"/>
      <c r="U5886"/>
    </row>
    <row r="5887" spans="1:21">
      <c r="A5887"/>
      <c r="C5887"/>
      <c r="D5887"/>
      <c r="L5887"/>
      <c r="R5887"/>
      <c r="S5887"/>
      <c r="T5887"/>
      <c r="U5887"/>
    </row>
    <row r="5888" spans="1:21">
      <c r="A5888"/>
      <c r="C5888"/>
      <c r="D5888"/>
      <c r="L5888"/>
      <c r="R5888"/>
      <c r="S5888"/>
      <c r="T5888"/>
      <c r="U5888"/>
    </row>
    <row r="5889" spans="1:21">
      <c r="A5889"/>
      <c r="C5889"/>
      <c r="D5889"/>
      <c r="L5889"/>
      <c r="R5889"/>
      <c r="S5889"/>
      <c r="T5889"/>
      <c r="U5889"/>
    </row>
    <row r="5890" spans="1:21">
      <c r="A5890"/>
      <c r="C5890"/>
      <c r="D5890"/>
      <c r="L5890"/>
      <c r="R5890"/>
      <c r="S5890"/>
      <c r="T5890"/>
      <c r="U5890"/>
    </row>
    <row r="5891" spans="1:21">
      <c r="A5891"/>
      <c r="C5891"/>
      <c r="D5891"/>
      <c r="L5891"/>
      <c r="R5891"/>
      <c r="S5891"/>
      <c r="T5891"/>
      <c r="U5891"/>
    </row>
    <row r="5892" spans="1:21">
      <c r="A5892"/>
      <c r="C5892"/>
      <c r="D5892"/>
      <c r="L5892"/>
      <c r="R5892"/>
      <c r="S5892"/>
      <c r="T5892"/>
      <c r="U5892"/>
    </row>
    <row r="5893" spans="1:21">
      <c r="A5893"/>
      <c r="C5893"/>
      <c r="D5893"/>
      <c r="L5893"/>
      <c r="R5893"/>
      <c r="S5893"/>
      <c r="T5893"/>
      <c r="U5893"/>
    </row>
    <row r="5894" spans="1:21">
      <c r="A5894"/>
      <c r="C5894"/>
      <c r="D5894"/>
      <c r="L5894"/>
      <c r="R5894"/>
      <c r="S5894"/>
      <c r="T5894"/>
      <c r="U5894"/>
    </row>
    <row r="5895" spans="1:21">
      <c r="A5895"/>
      <c r="C5895"/>
      <c r="D5895"/>
      <c r="L5895"/>
      <c r="R5895"/>
      <c r="S5895"/>
      <c r="T5895"/>
      <c r="U5895"/>
    </row>
    <row r="5896" spans="1:21">
      <c r="A5896"/>
      <c r="C5896"/>
      <c r="D5896"/>
      <c r="L5896"/>
      <c r="R5896"/>
      <c r="S5896"/>
      <c r="T5896"/>
      <c r="U5896"/>
    </row>
    <row r="5897" spans="1:21">
      <c r="A5897"/>
      <c r="C5897"/>
      <c r="D5897"/>
      <c r="L5897"/>
      <c r="R5897"/>
      <c r="S5897"/>
      <c r="T5897"/>
      <c r="U5897"/>
    </row>
    <row r="5898" spans="1:21">
      <c r="A5898"/>
      <c r="C5898"/>
      <c r="D5898"/>
      <c r="L5898"/>
      <c r="R5898"/>
      <c r="S5898"/>
      <c r="T5898"/>
      <c r="U5898"/>
    </row>
    <row r="5899" spans="1:21">
      <c r="A5899"/>
      <c r="C5899"/>
      <c r="D5899"/>
      <c r="L5899"/>
      <c r="R5899"/>
      <c r="S5899"/>
      <c r="T5899"/>
      <c r="U5899"/>
    </row>
    <row r="5900" spans="1:21">
      <c r="A5900"/>
      <c r="C5900"/>
      <c r="D5900"/>
      <c r="L5900"/>
      <c r="R5900"/>
      <c r="S5900"/>
      <c r="T5900"/>
      <c r="U5900"/>
    </row>
    <row r="5901" spans="1:21">
      <c r="A5901"/>
      <c r="C5901"/>
      <c r="D5901"/>
      <c r="L5901"/>
      <c r="R5901"/>
      <c r="S5901"/>
      <c r="T5901"/>
      <c r="U5901"/>
    </row>
    <row r="5902" spans="1:21">
      <c r="A5902"/>
      <c r="C5902"/>
      <c r="D5902"/>
      <c r="L5902"/>
      <c r="R5902"/>
      <c r="S5902"/>
      <c r="T5902"/>
      <c r="U5902"/>
    </row>
    <row r="5903" spans="1:21">
      <c r="A5903"/>
      <c r="C5903"/>
      <c r="D5903"/>
      <c r="L5903"/>
      <c r="R5903"/>
      <c r="S5903"/>
      <c r="T5903"/>
      <c r="U5903"/>
    </row>
    <row r="5904" spans="1:21">
      <c r="A5904"/>
      <c r="C5904"/>
      <c r="D5904"/>
      <c r="L5904"/>
      <c r="R5904"/>
      <c r="S5904"/>
      <c r="T5904"/>
      <c r="U5904"/>
    </row>
    <row r="5905" spans="1:21">
      <c r="A5905"/>
      <c r="C5905"/>
      <c r="D5905"/>
      <c r="L5905"/>
      <c r="R5905"/>
      <c r="S5905"/>
      <c r="T5905"/>
      <c r="U5905"/>
    </row>
    <row r="5906" spans="1:21">
      <c r="A5906"/>
      <c r="C5906"/>
      <c r="D5906"/>
      <c r="L5906"/>
      <c r="R5906"/>
      <c r="S5906"/>
      <c r="T5906"/>
      <c r="U5906"/>
    </row>
    <row r="5907" spans="1:21">
      <c r="A5907"/>
      <c r="C5907"/>
      <c r="D5907"/>
      <c r="L5907"/>
      <c r="R5907"/>
      <c r="S5907"/>
      <c r="T5907"/>
      <c r="U5907"/>
    </row>
    <row r="5908" spans="1:21">
      <c r="A5908"/>
      <c r="C5908"/>
      <c r="D5908"/>
      <c r="L5908"/>
      <c r="R5908"/>
      <c r="S5908"/>
      <c r="T5908"/>
      <c r="U5908"/>
    </row>
    <row r="5909" spans="1:21">
      <c r="A5909"/>
      <c r="C5909"/>
      <c r="D5909"/>
      <c r="L5909"/>
      <c r="R5909"/>
      <c r="S5909"/>
      <c r="T5909"/>
      <c r="U5909"/>
    </row>
    <row r="5910" spans="1:21">
      <c r="A5910"/>
      <c r="C5910"/>
      <c r="D5910"/>
      <c r="L5910"/>
      <c r="R5910"/>
      <c r="S5910"/>
      <c r="T5910"/>
      <c r="U5910"/>
    </row>
    <row r="5911" spans="1:21">
      <c r="A5911"/>
      <c r="C5911"/>
      <c r="D5911"/>
      <c r="L5911"/>
      <c r="R5911"/>
      <c r="S5911"/>
      <c r="T5911"/>
      <c r="U5911"/>
    </row>
    <row r="5912" spans="1:21">
      <c r="A5912"/>
      <c r="C5912"/>
      <c r="D5912"/>
      <c r="L5912"/>
      <c r="R5912"/>
      <c r="S5912"/>
      <c r="T5912"/>
      <c r="U5912"/>
    </row>
    <row r="5913" spans="1:21">
      <c r="A5913"/>
      <c r="C5913"/>
      <c r="D5913"/>
      <c r="L5913"/>
      <c r="R5913"/>
      <c r="S5913"/>
      <c r="T5913"/>
      <c r="U5913"/>
    </row>
    <row r="5914" spans="1:21">
      <c r="A5914"/>
      <c r="C5914"/>
      <c r="D5914"/>
      <c r="L5914"/>
      <c r="R5914"/>
      <c r="S5914"/>
      <c r="T5914"/>
      <c r="U5914"/>
    </row>
    <row r="5915" spans="1:21">
      <c r="A5915"/>
      <c r="C5915"/>
      <c r="D5915"/>
      <c r="L5915"/>
      <c r="R5915"/>
      <c r="S5915"/>
      <c r="T5915"/>
      <c r="U5915"/>
    </row>
    <row r="5916" spans="1:21">
      <c r="A5916"/>
      <c r="C5916"/>
      <c r="D5916"/>
      <c r="L5916"/>
      <c r="R5916"/>
      <c r="S5916"/>
      <c r="T5916"/>
      <c r="U5916"/>
    </row>
    <row r="5917" spans="1:21">
      <c r="A5917"/>
      <c r="C5917"/>
      <c r="D5917"/>
      <c r="L5917"/>
      <c r="R5917"/>
      <c r="S5917"/>
      <c r="T5917"/>
      <c r="U5917"/>
    </row>
    <row r="5918" spans="1:21">
      <c r="A5918"/>
      <c r="C5918"/>
      <c r="D5918"/>
      <c r="L5918"/>
      <c r="R5918"/>
      <c r="S5918"/>
      <c r="T5918"/>
      <c r="U5918"/>
    </row>
    <row r="5919" spans="1:21">
      <c r="A5919"/>
      <c r="C5919"/>
      <c r="D5919"/>
      <c r="L5919"/>
      <c r="R5919"/>
      <c r="S5919"/>
      <c r="T5919"/>
      <c r="U5919"/>
    </row>
    <row r="5920" spans="1:21">
      <c r="A5920"/>
      <c r="C5920"/>
      <c r="D5920"/>
      <c r="L5920"/>
      <c r="R5920"/>
      <c r="S5920"/>
      <c r="T5920"/>
      <c r="U5920"/>
    </row>
    <row r="5921" spans="1:21">
      <c r="A5921"/>
      <c r="C5921"/>
      <c r="D5921"/>
      <c r="L5921"/>
      <c r="R5921"/>
      <c r="S5921"/>
      <c r="T5921"/>
      <c r="U5921"/>
    </row>
    <row r="5922" spans="1:21">
      <c r="A5922"/>
      <c r="C5922"/>
      <c r="D5922"/>
      <c r="L5922"/>
      <c r="R5922"/>
      <c r="S5922"/>
      <c r="T5922"/>
      <c r="U5922"/>
    </row>
    <row r="5923" spans="1:21">
      <c r="A5923"/>
      <c r="C5923"/>
      <c r="D5923"/>
      <c r="L5923"/>
      <c r="R5923"/>
      <c r="S5923"/>
      <c r="T5923"/>
      <c r="U5923"/>
    </row>
    <row r="5924" spans="1:21">
      <c r="A5924"/>
      <c r="C5924"/>
      <c r="D5924"/>
      <c r="L5924"/>
      <c r="R5924"/>
      <c r="S5924"/>
      <c r="T5924"/>
      <c r="U5924"/>
    </row>
    <row r="5925" spans="1:21">
      <c r="A5925"/>
      <c r="C5925"/>
      <c r="D5925"/>
      <c r="L5925"/>
      <c r="R5925"/>
      <c r="S5925"/>
      <c r="T5925"/>
      <c r="U5925"/>
    </row>
    <row r="5926" spans="1:21">
      <c r="A5926"/>
      <c r="C5926"/>
      <c r="D5926"/>
      <c r="L5926"/>
      <c r="R5926"/>
      <c r="S5926"/>
      <c r="T5926"/>
      <c r="U5926"/>
    </row>
    <row r="5927" spans="1:21">
      <c r="A5927"/>
      <c r="C5927"/>
      <c r="D5927"/>
      <c r="L5927"/>
      <c r="R5927"/>
      <c r="S5927"/>
      <c r="T5927"/>
      <c r="U5927"/>
    </row>
    <row r="5928" spans="1:21">
      <c r="A5928"/>
      <c r="C5928"/>
      <c r="D5928"/>
      <c r="L5928"/>
      <c r="R5928"/>
      <c r="S5928"/>
      <c r="T5928"/>
      <c r="U5928"/>
    </row>
    <row r="5929" spans="1:21">
      <c r="A5929"/>
      <c r="C5929"/>
      <c r="D5929"/>
      <c r="L5929"/>
      <c r="R5929"/>
      <c r="S5929"/>
      <c r="T5929"/>
      <c r="U5929"/>
    </row>
    <row r="5930" spans="1:21">
      <c r="A5930"/>
      <c r="C5930"/>
      <c r="D5930"/>
      <c r="L5930"/>
      <c r="R5930"/>
      <c r="S5930"/>
      <c r="T5930"/>
      <c r="U5930"/>
    </row>
    <row r="5931" spans="1:21">
      <c r="A5931"/>
      <c r="C5931"/>
      <c r="D5931"/>
      <c r="L5931"/>
      <c r="R5931"/>
      <c r="S5931"/>
      <c r="T5931"/>
      <c r="U5931"/>
    </row>
    <row r="5932" spans="1:21">
      <c r="A5932"/>
      <c r="C5932"/>
      <c r="D5932"/>
      <c r="L5932"/>
      <c r="R5932"/>
      <c r="S5932"/>
      <c r="T5932"/>
      <c r="U5932"/>
    </row>
    <row r="5933" spans="1:21">
      <c r="A5933"/>
      <c r="C5933"/>
      <c r="D5933"/>
      <c r="L5933"/>
      <c r="R5933"/>
      <c r="S5933"/>
      <c r="T5933"/>
      <c r="U5933"/>
    </row>
    <row r="5934" spans="1:21">
      <c r="A5934"/>
      <c r="C5934"/>
      <c r="D5934"/>
      <c r="L5934"/>
      <c r="R5934"/>
      <c r="S5934"/>
      <c r="T5934"/>
      <c r="U5934"/>
    </row>
    <row r="5935" spans="1:21">
      <c r="A5935"/>
      <c r="C5935"/>
      <c r="D5935"/>
      <c r="L5935"/>
      <c r="R5935"/>
      <c r="S5935"/>
      <c r="T5935"/>
      <c r="U5935"/>
    </row>
    <row r="5936" spans="1:21">
      <c r="A5936"/>
      <c r="C5936"/>
      <c r="D5936"/>
      <c r="L5936"/>
      <c r="R5936"/>
      <c r="S5936"/>
      <c r="T5936"/>
      <c r="U5936"/>
    </row>
    <row r="5937" spans="1:21">
      <c r="A5937"/>
      <c r="C5937"/>
      <c r="D5937"/>
      <c r="L5937"/>
      <c r="R5937"/>
      <c r="S5937"/>
      <c r="T5937"/>
      <c r="U5937"/>
    </row>
    <row r="5938" spans="1:21">
      <c r="A5938"/>
      <c r="C5938"/>
      <c r="D5938"/>
      <c r="L5938"/>
      <c r="R5938"/>
      <c r="S5938"/>
      <c r="T5938"/>
      <c r="U5938"/>
    </row>
    <row r="5939" spans="1:21">
      <c r="A5939"/>
      <c r="C5939"/>
      <c r="D5939"/>
      <c r="L5939"/>
      <c r="R5939"/>
      <c r="S5939"/>
      <c r="T5939"/>
      <c r="U5939"/>
    </row>
    <row r="5940" spans="1:21">
      <c r="A5940"/>
      <c r="C5940"/>
      <c r="D5940"/>
      <c r="L5940"/>
      <c r="R5940"/>
      <c r="S5940"/>
      <c r="T5940"/>
      <c r="U5940"/>
    </row>
    <row r="5941" spans="1:21">
      <c r="A5941"/>
      <c r="C5941"/>
      <c r="D5941"/>
      <c r="L5941"/>
      <c r="R5941"/>
      <c r="S5941"/>
      <c r="T5941"/>
      <c r="U5941"/>
    </row>
    <row r="5942" spans="1:21">
      <c r="A5942"/>
      <c r="C5942"/>
      <c r="D5942"/>
      <c r="L5942"/>
      <c r="R5942"/>
      <c r="S5942"/>
      <c r="T5942"/>
      <c r="U5942"/>
    </row>
    <row r="5943" spans="1:21">
      <c r="A5943"/>
      <c r="C5943"/>
      <c r="D5943"/>
      <c r="L5943"/>
      <c r="R5943"/>
      <c r="S5943"/>
      <c r="T5943"/>
      <c r="U5943"/>
    </row>
    <row r="5944" spans="1:21">
      <c r="A5944"/>
      <c r="C5944"/>
      <c r="D5944"/>
      <c r="L5944"/>
      <c r="R5944"/>
      <c r="S5944"/>
      <c r="T5944"/>
      <c r="U5944"/>
    </row>
    <row r="5945" spans="1:21">
      <c r="A5945"/>
      <c r="C5945"/>
      <c r="D5945"/>
      <c r="L5945"/>
      <c r="R5945"/>
      <c r="S5945"/>
      <c r="T5945"/>
      <c r="U5945"/>
    </row>
    <row r="5946" spans="1:21">
      <c r="A5946"/>
      <c r="C5946"/>
      <c r="D5946"/>
      <c r="L5946"/>
      <c r="R5946"/>
      <c r="S5946"/>
      <c r="T5946"/>
      <c r="U5946"/>
    </row>
    <row r="5947" spans="1:21">
      <c r="A5947"/>
      <c r="C5947"/>
      <c r="D5947"/>
      <c r="L5947"/>
      <c r="R5947"/>
      <c r="S5947"/>
      <c r="T5947"/>
      <c r="U5947"/>
    </row>
    <row r="5948" spans="1:21">
      <c r="A5948"/>
      <c r="C5948"/>
      <c r="D5948"/>
      <c r="L5948"/>
      <c r="R5948"/>
      <c r="S5948"/>
      <c r="T5948"/>
      <c r="U5948"/>
    </row>
    <row r="5949" spans="1:21">
      <c r="A5949"/>
      <c r="C5949"/>
      <c r="D5949"/>
      <c r="L5949"/>
      <c r="R5949"/>
      <c r="S5949"/>
      <c r="T5949"/>
      <c r="U5949"/>
    </row>
    <row r="5950" spans="1:21">
      <c r="A5950"/>
      <c r="C5950"/>
      <c r="D5950"/>
      <c r="L5950"/>
      <c r="R5950"/>
      <c r="S5950"/>
      <c r="T5950"/>
      <c r="U5950"/>
    </row>
    <row r="5951" spans="1:21">
      <c r="A5951"/>
      <c r="C5951"/>
      <c r="D5951"/>
      <c r="L5951"/>
      <c r="R5951"/>
      <c r="S5951"/>
      <c r="T5951"/>
      <c r="U5951"/>
    </row>
    <row r="5952" spans="1:21">
      <c r="A5952"/>
      <c r="C5952"/>
      <c r="D5952"/>
      <c r="L5952"/>
      <c r="R5952"/>
      <c r="S5952"/>
      <c r="T5952"/>
      <c r="U5952"/>
    </row>
    <row r="5953" spans="1:21">
      <c r="A5953"/>
      <c r="C5953"/>
      <c r="D5953"/>
      <c r="L5953"/>
      <c r="R5953"/>
      <c r="S5953"/>
      <c r="T5953"/>
      <c r="U5953"/>
    </row>
    <row r="5954" spans="1:21">
      <c r="A5954"/>
      <c r="C5954"/>
      <c r="D5954"/>
      <c r="L5954"/>
      <c r="R5954"/>
      <c r="S5954"/>
      <c r="T5954"/>
      <c r="U5954"/>
    </row>
    <row r="5955" spans="1:21">
      <c r="A5955"/>
      <c r="C5955"/>
      <c r="D5955"/>
      <c r="L5955"/>
      <c r="R5955"/>
      <c r="S5955"/>
      <c r="T5955"/>
      <c r="U5955"/>
    </row>
    <row r="5956" spans="1:21">
      <c r="A5956"/>
      <c r="C5956"/>
      <c r="D5956"/>
      <c r="L5956"/>
      <c r="R5956"/>
      <c r="S5956"/>
      <c r="T5956"/>
      <c r="U5956"/>
    </row>
    <row r="5957" spans="1:21">
      <c r="A5957"/>
      <c r="C5957"/>
      <c r="D5957"/>
      <c r="L5957"/>
      <c r="R5957"/>
      <c r="S5957"/>
      <c r="T5957"/>
      <c r="U5957"/>
    </row>
    <row r="5958" spans="1:21">
      <c r="A5958"/>
      <c r="C5958"/>
      <c r="D5958"/>
      <c r="L5958"/>
      <c r="R5958"/>
      <c r="S5958"/>
      <c r="T5958"/>
      <c r="U5958"/>
    </row>
    <row r="5959" spans="1:21">
      <c r="A5959"/>
      <c r="C5959"/>
      <c r="D5959"/>
      <c r="L5959"/>
      <c r="R5959"/>
      <c r="S5959"/>
      <c r="T5959"/>
      <c r="U5959"/>
    </row>
    <row r="5960" spans="1:21">
      <c r="A5960"/>
      <c r="C5960"/>
      <c r="D5960"/>
      <c r="L5960"/>
      <c r="R5960"/>
      <c r="S5960"/>
      <c r="T5960"/>
      <c r="U5960"/>
    </row>
    <row r="5961" spans="1:21">
      <c r="A5961"/>
      <c r="C5961"/>
      <c r="D5961"/>
      <c r="L5961"/>
      <c r="R5961"/>
      <c r="S5961"/>
      <c r="T5961"/>
      <c r="U5961"/>
    </row>
    <row r="5962" spans="1:21">
      <c r="A5962"/>
      <c r="C5962"/>
      <c r="D5962"/>
      <c r="L5962"/>
      <c r="R5962"/>
      <c r="S5962"/>
      <c r="T5962"/>
      <c r="U5962"/>
    </row>
    <row r="5963" spans="1:21">
      <c r="A5963"/>
      <c r="C5963"/>
      <c r="D5963"/>
      <c r="L5963"/>
      <c r="R5963"/>
      <c r="S5963"/>
      <c r="T5963"/>
      <c r="U5963"/>
    </row>
    <row r="5964" spans="1:21">
      <c r="A5964"/>
      <c r="C5964"/>
      <c r="D5964"/>
      <c r="L5964"/>
      <c r="R5964"/>
      <c r="S5964"/>
      <c r="T5964"/>
      <c r="U5964"/>
    </row>
    <row r="5965" spans="1:21">
      <c r="A5965"/>
      <c r="C5965"/>
      <c r="D5965"/>
      <c r="L5965"/>
      <c r="R5965"/>
      <c r="S5965"/>
      <c r="T5965"/>
      <c r="U5965"/>
    </row>
    <row r="5966" spans="1:21">
      <c r="A5966"/>
      <c r="C5966"/>
      <c r="D5966"/>
      <c r="L5966"/>
      <c r="R5966"/>
      <c r="S5966"/>
      <c r="T5966"/>
      <c r="U5966"/>
    </row>
    <row r="5967" spans="1:21">
      <c r="A5967"/>
      <c r="C5967"/>
      <c r="D5967"/>
      <c r="L5967"/>
      <c r="R5967"/>
      <c r="S5967"/>
      <c r="T5967"/>
      <c r="U5967"/>
    </row>
    <row r="5968" spans="1:21">
      <c r="A5968"/>
      <c r="C5968"/>
      <c r="D5968"/>
      <c r="L5968"/>
      <c r="R5968"/>
      <c r="S5968"/>
      <c r="T5968"/>
      <c r="U5968"/>
    </row>
    <row r="5969" spans="1:21">
      <c r="A5969"/>
      <c r="C5969"/>
      <c r="D5969"/>
      <c r="L5969"/>
      <c r="R5969"/>
      <c r="S5969"/>
      <c r="T5969"/>
      <c r="U5969"/>
    </row>
    <row r="5970" spans="1:21">
      <c r="A5970"/>
      <c r="C5970"/>
      <c r="D5970"/>
      <c r="L5970"/>
      <c r="R5970"/>
      <c r="S5970"/>
      <c r="T5970"/>
      <c r="U5970"/>
    </row>
    <row r="5971" spans="1:21">
      <c r="A5971"/>
      <c r="C5971"/>
      <c r="D5971"/>
      <c r="L5971"/>
      <c r="R5971"/>
      <c r="S5971"/>
      <c r="T5971"/>
      <c r="U5971"/>
    </row>
    <row r="5972" spans="1:21">
      <c r="A5972"/>
      <c r="C5972"/>
      <c r="D5972"/>
      <c r="L5972"/>
      <c r="R5972"/>
      <c r="S5972"/>
      <c r="T5972"/>
      <c r="U5972"/>
    </row>
    <row r="5973" spans="1:21">
      <c r="A5973"/>
      <c r="C5973"/>
      <c r="D5973"/>
      <c r="L5973"/>
      <c r="R5973"/>
      <c r="S5973"/>
      <c r="T5973"/>
      <c r="U5973"/>
    </row>
    <row r="5974" spans="1:21">
      <c r="A5974"/>
      <c r="C5974"/>
      <c r="D5974"/>
      <c r="L5974"/>
      <c r="R5974"/>
      <c r="S5974"/>
      <c r="T5974"/>
      <c r="U5974"/>
    </row>
    <row r="5975" spans="1:21">
      <c r="A5975"/>
      <c r="C5975"/>
      <c r="D5975"/>
      <c r="L5975"/>
      <c r="R5975"/>
      <c r="S5975"/>
      <c r="T5975"/>
      <c r="U5975"/>
    </row>
    <row r="5976" spans="1:21">
      <c r="A5976"/>
      <c r="C5976"/>
      <c r="D5976"/>
      <c r="L5976"/>
      <c r="R5976"/>
      <c r="S5976"/>
      <c r="T5976"/>
      <c r="U5976"/>
    </row>
    <row r="5977" spans="1:21">
      <c r="A5977"/>
      <c r="C5977"/>
      <c r="D5977"/>
      <c r="L5977"/>
      <c r="R5977"/>
      <c r="S5977"/>
      <c r="T5977"/>
      <c r="U5977"/>
    </row>
    <row r="5978" spans="1:21">
      <c r="A5978"/>
      <c r="C5978"/>
      <c r="D5978"/>
      <c r="L5978"/>
      <c r="R5978"/>
      <c r="S5978"/>
      <c r="T5978"/>
      <c r="U5978"/>
    </row>
    <row r="5979" spans="1:21">
      <c r="A5979"/>
      <c r="C5979"/>
      <c r="D5979"/>
      <c r="L5979"/>
      <c r="R5979"/>
      <c r="S5979"/>
      <c r="T5979"/>
      <c r="U5979"/>
    </row>
    <row r="5980" spans="1:21">
      <c r="A5980"/>
      <c r="C5980"/>
      <c r="D5980"/>
      <c r="L5980"/>
      <c r="R5980"/>
      <c r="S5980"/>
      <c r="T5980"/>
      <c r="U5980"/>
    </row>
    <row r="5981" spans="1:21">
      <c r="A5981"/>
      <c r="C5981"/>
      <c r="D5981"/>
      <c r="L5981"/>
      <c r="R5981"/>
      <c r="S5981"/>
      <c r="T5981"/>
      <c r="U5981"/>
    </row>
    <row r="5982" spans="1:21">
      <c r="A5982"/>
      <c r="C5982"/>
      <c r="D5982"/>
      <c r="L5982"/>
      <c r="R5982"/>
      <c r="S5982"/>
      <c r="T5982"/>
      <c r="U5982"/>
    </row>
    <row r="5983" spans="1:21">
      <c r="A5983"/>
      <c r="C5983"/>
      <c r="D5983"/>
      <c r="L5983"/>
      <c r="R5983"/>
      <c r="S5983"/>
      <c r="T5983"/>
      <c r="U5983"/>
    </row>
    <row r="5984" spans="1:21">
      <c r="A5984"/>
      <c r="C5984"/>
      <c r="D5984"/>
      <c r="L5984"/>
      <c r="R5984"/>
      <c r="S5984"/>
      <c r="T5984"/>
      <c r="U5984"/>
    </row>
    <row r="5985" spans="1:21">
      <c r="A5985"/>
      <c r="C5985"/>
      <c r="D5985"/>
      <c r="L5985"/>
      <c r="R5985"/>
      <c r="S5985"/>
      <c r="T5985"/>
      <c r="U5985"/>
    </row>
    <row r="5986" spans="1:21">
      <c r="A5986"/>
      <c r="C5986"/>
      <c r="D5986"/>
      <c r="L5986"/>
      <c r="R5986"/>
      <c r="S5986"/>
      <c r="T5986"/>
      <c r="U5986"/>
    </row>
    <row r="5987" spans="1:21">
      <c r="A5987"/>
      <c r="C5987"/>
      <c r="D5987"/>
      <c r="L5987"/>
      <c r="R5987"/>
      <c r="S5987"/>
      <c r="T5987"/>
      <c r="U5987"/>
    </row>
    <row r="5988" spans="1:21">
      <c r="A5988"/>
      <c r="C5988"/>
      <c r="D5988"/>
      <c r="L5988"/>
      <c r="R5988"/>
      <c r="S5988"/>
      <c r="T5988"/>
      <c r="U5988"/>
    </row>
    <row r="5989" spans="1:21">
      <c r="A5989"/>
      <c r="C5989"/>
      <c r="D5989"/>
      <c r="L5989"/>
      <c r="R5989"/>
      <c r="S5989"/>
      <c r="T5989"/>
      <c r="U5989"/>
    </row>
    <row r="5990" spans="1:21">
      <c r="A5990"/>
      <c r="C5990"/>
      <c r="D5990"/>
      <c r="L5990"/>
      <c r="R5990"/>
      <c r="S5990"/>
      <c r="T5990"/>
      <c r="U5990"/>
    </row>
    <row r="5991" spans="1:21">
      <c r="A5991"/>
      <c r="C5991"/>
      <c r="D5991"/>
      <c r="L5991"/>
      <c r="R5991"/>
      <c r="S5991"/>
      <c r="T5991"/>
      <c r="U5991"/>
    </row>
    <row r="5992" spans="1:21">
      <c r="A5992"/>
      <c r="C5992"/>
      <c r="D5992"/>
      <c r="L5992"/>
      <c r="R5992"/>
      <c r="S5992"/>
      <c r="T5992"/>
      <c r="U5992"/>
    </row>
    <row r="5993" spans="1:21">
      <c r="A5993"/>
      <c r="C5993"/>
      <c r="D5993"/>
      <c r="L5993"/>
      <c r="R5993"/>
      <c r="S5993"/>
      <c r="T5993"/>
      <c r="U5993"/>
    </row>
    <row r="5994" spans="1:21">
      <c r="A5994"/>
      <c r="C5994"/>
      <c r="D5994"/>
      <c r="L5994"/>
      <c r="R5994"/>
      <c r="S5994"/>
      <c r="T5994"/>
      <c r="U5994"/>
    </row>
    <row r="5995" spans="1:21">
      <c r="A5995"/>
      <c r="C5995"/>
      <c r="D5995"/>
      <c r="L5995"/>
      <c r="R5995"/>
      <c r="S5995"/>
      <c r="T5995"/>
      <c r="U5995"/>
    </row>
    <row r="5996" spans="1:21">
      <c r="A5996"/>
      <c r="C5996"/>
      <c r="D5996"/>
      <c r="L5996"/>
      <c r="R5996"/>
      <c r="S5996"/>
      <c r="T5996"/>
      <c r="U5996"/>
    </row>
    <row r="5997" spans="1:21">
      <c r="A5997"/>
      <c r="C5997"/>
      <c r="D5997"/>
      <c r="L5997"/>
      <c r="R5997"/>
      <c r="S5997"/>
      <c r="T5997"/>
      <c r="U5997"/>
    </row>
    <row r="5998" spans="1:21">
      <c r="A5998"/>
      <c r="C5998"/>
      <c r="D5998"/>
      <c r="L5998"/>
      <c r="R5998"/>
      <c r="S5998"/>
      <c r="T5998"/>
      <c r="U5998"/>
    </row>
    <row r="5999" spans="1:21">
      <c r="A5999"/>
      <c r="C5999"/>
      <c r="D5999"/>
      <c r="L5999"/>
      <c r="R5999"/>
      <c r="S5999"/>
      <c r="T5999"/>
      <c r="U5999"/>
    </row>
    <row r="6000" spans="1:21">
      <c r="A6000"/>
      <c r="C6000"/>
      <c r="D6000"/>
      <c r="L6000"/>
      <c r="R6000"/>
      <c r="S6000"/>
      <c r="T6000"/>
      <c r="U6000"/>
    </row>
    <row r="6001" spans="1:21">
      <c r="A6001"/>
      <c r="C6001"/>
      <c r="D6001"/>
      <c r="L6001"/>
      <c r="R6001"/>
      <c r="S6001"/>
      <c r="T6001"/>
      <c r="U6001"/>
    </row>
    <row r="6002" spans="1:21">
      <c r="A6002"/>
      <c r="C6002"/>
      <c r="D6002"/>
      <c r="L6002"/>
      <c r="R6002"/>
      <c r="S6002"/>
      <c r="T6002"/>
      <c r="U6002"/>
    </row>
    <row r="6003" spans="1:21">
      <c r="A6003"/>
      <c r="C6003"/>
      <c r="D6003"/>
      <c r="L6003"/>
      <c r="R6003"/>
      <c r="S6003"/>
      <c r="T6003"/>
      <c r="U6003"/>
    </row>
    <row r="6004" spans="1:21">
      <c r="A6004"/>
      <c r="C6004"/>
      <c r="D6004"/>
      <c r="L6004"/>
      <c r="R6004"/>
      <c r="S6004"/>
      <c r="T6004"/>
      <c r="U6004"/>
    </row>
    <row r="6005" spans="1:21">
      <c r="A6005"/>
      <c r="C6005"/>
      <c r="D6005"/>
      <c r="L6005"/>
      <c r="R6005"/>
      <c r="S6005"/>
      <c r="T6005"/>
      <c r="U6005"/>
    </row>
    <row r="6006" spans="1:21">
      <c r="A6006"/>
      <c r="C6006"/>
      <c r="D6006"/>
      <c r="L6006"/>
      <c r="R6006"/>
      <c r="S6006"/>
      <c r="T6006"/>
      <c r="U6006"/>
    </row>
    <row r="6007" spans="1:21">
      <c r="A6007"/>
      <c r="C6007"/>
      <c r="D6007"/>
      <c r="L6007"/>
      <c r="R6007"/>
      <c r="S6007"/>
      <c r="T6007"/>
      <c r="U6007"/>
    </row>
    <row r="6008" spans="1:21">
      <c r="A6008"/>
      <c r="C6008"/>
      <c r="D6008"/>
      <c r="L6008"/>
      <c r="R6008"/>
      <c r="S6008"/>
      <c r="T6008"/>
      <c r="U6008"/>
    </row>
    <row r="6009" spans="1:21">
      <c r="A6009"/>
      <c r="C6009"/>
      <c r="D6009"/>
      <c r="L6009"/>
      <c r="R6009"/>
      <c r="S6009"/>
      <c r="T6009"/>
      <c r="U6009"/>
    </row>
    <row r="6010" spans="1:21">
      <c r="A6010"/>
      <c r="C6010"/>
      <c r="D6010"/>
      <c r="L6010"/>
      <c r="R6010"/>
      <c r="S6010"/>
      <c r="T6010"/>
      <c r="U6010"/>
    </row>
    <row r="6011" spans="1:21">
      <c r="A6011"/>
      <c r="C6011"/>
      <c r="D6011"/>
      <c r="L6011"/>
      <c r="R6011"/>
      <c r="S6011"/>
      <c r="T6011"/>
      <c r="U6011"/>
    </row>
    <row r="6012" spans="1:21">
      <c r="A6012"/>
      <c r="C6012"/>
      <c r="D6012"/>
      <c r="L6012"/>
      <c r="R6012"/>
      <c r="S6012"/>
      <c r="T6012"/>
      <c r="U6012"/>
    </row>
    <row r="6013" spans="1:21">
      <c r="A6013"/>
      <c r="C6013"/>
      <c r="D6013"/>
      <c r="L6013"/>
      <c r="R6013"/>
      <c r="S6013"/>
      <c r="T6013"/>
      <c r="U6013"/>
    </row>
    <row r="6014" spans="1:21">
      <c r="A6014"/>
      <c r="C6014"/>
      <c r="D6014"/>
      <c r="L6014"/>
      <c r="R6014"/>
      <c r="S6014"/>
      <c r="T6014"/>
      <c r="U6014"/>
    </row>
    <row r="6015" spans="1:21">
      <c r="A6015"/>
      <c r="C6015"/>
      <c r="D6015"/>
      <c r="L6015"/>
      <c r="R6015"/>
      <c r="S6015"/>
      <c r="T6015"/>
      <c r="U6015"/>
    </row>
    <row r="6016" spans="1:21">
      <c r="A6016"/>
      <c r="C6016"/>
      <c r="D6016"/>
      <c r="L6016"/>
      <c r="R6016"/>
      <c r="S6016"/>
      <c r="T6016"/>
      <c r="U6016"/>
    </row>
    <row r="6017" spans="1:21">
      <c r="A6017"/>
      <c r="C6017"/>
      <c r="D6017"/>
      <c r="L6017"/>
      <c r="R6017"/>
      <c r="S6017"/>
      <c r="T6017"/>
      <c r="U6017"/>
    </row>
    <row r="6018" spans="1:21">
      <c r="A6018"/>
      <c r="C6018"/>
      <c r="D6018"/>
      <c r="L6018"/>
      <c r="R6018"/>
      <c r="S6018"/>
      <c r="T6018"/>
      <c r="U6018"/>
    </row>
    <row r="6019" spans="1:21">
      <c r="A6019"/>
      <c r="C6019"/>
      <c r="D6019"/>
      <c r="L6019"/>
      <c r="R6019"/>
      <c r="S6019"/>
      <c r="T6019"/>
      <c r="U6019"/>
    </row>
    <row r="6020" spans="1:21">
      <c r="A6020"/>
      <c r="C6020"/>
      <c r="D6020"/>
      <c r="L6020"/>
      <c r="R6020"/>
      <c r="S6020"/>
      <c r="T6020"/>
      <c r="U6020"/>
    </row>
    <row r="6021" spans="1:21">
      <c r="A6021"/>
      <c r="C6021"/>
      <c r="D6021"/>
      <c r="L6021"/>
      <c r="R6021"/>
      <c r="S6021"/>
      <c r="T6021"/>
      <c r="U6021"/>
    </row>
    <row r="6022" spans="1:21">
      <c r="A6022"/>
      <c r="C6022"/>
      <c r="D6022"/>
      <c r="L6022"/>
      <c r="R6022"/>
      <c r="S6022"/>
      <c r="T6022"/>
      <c r="U6022"/>
    </row>
    <row r="6023" spans="1:21">
      <c r="A6023"/>
      <c r="C6023"/>
      <c r="D6023"/>
      <c r="L6023"/>
      <c r="R6023"/>
      <c r="S6023"/>
      <c r="T6023"/>
      <c r="U6023"/>
    </row>
    <row r="6024" spans="1:21">
      <c r="A6024"/>
      <c r="C6024"/>
      <c r="D6024"/>
      <c r="L6024"/>
      <c r="R6024"/>
      <c r="S6024"/>
      <c r="T6024"/>
      <c r="U6024"/>
    </row>
    <row r="6025" spans="1:21">
      <c r="A6025"/>
      <c r="C6025"/>
      <c r="D6025"/>
      <c r="L6025"/>
      <c r="R6025"/>
      <c r="S6025"/>
      <c r="T6025"/>
      <c r="U6025"/>
    </row>
    <row r="6026" spans="1:21">
      <c r="A6026"/>
      <c r="C6026"/>
      <c r="D6026"/>
      <c r="L6026"/>
      <c r="R6026"/>
      <c r="S6026"/>
      <c r="T6026"/>
      <c r="U6026"/>
    </row>
    <row r="6027" spans="1:21">
      <c r="A6027"/>
      <c r="C6027"/>
      <c r="D6027"/>
      <c r="L6027"/>
      <c r="R6027"/>
      <c r="S6027"/>
      <c r="T6027"/>
      <c r="U6027"/>
    </row>
    <row r="6028" spans="1:21">
      <c r="A6028"/>
      <c r="C6028"/>
      <c r="D6028"/>
      <c r="L6028"/>
      <c r="R6028"/>
      <c r="S6028"/>
      <c r="T6028"/>
      <c r="U6028"/>
    </row>
    <row r="6029" spans="1:21">
      <c r="A6029"/>
      <c r="C6029"/>
      <c r="D6029"/>
      <c r="L6029"/>
      <c r="R6029"/>
      <c r="S6029"/>
      <c r="T6029"/>
      <c r="U6029"/>
    </row>
    <row r="6030" spans="1:21">
      <c r="A6030"/>
      <c r="C6030"/>
      <c r="D6030"/>
      <c r="L6030"/>
      <c r="R6030"/>
      <c r="S6030"/>
      <c r="T6030"/>
      <c r="U6030"/>
    </row>
    <row r="6031" spans="1:21">
      <c r="A6031"/>
      <c r="C6031"/>
      <c r="D6031"/>
      <c r="L6031"/>
      <c r="R6031"/>
      <c r="S6031"/>
      <c r="T6031"/>
      <c r="U6031"/>
    </row>
    <row r="6032" spans="1:21">
      <c r="A6032"/>
      <c r="C6032"/>
      <c r="D6032"/>
      <c r="L6032"/>
      <c r="R6032"/>
      <c r="S6032"/>
      <c r="T6032"/>
      <c r="U6032"/>
    </row>
    <row r="6033" spans="1:21">
      <c r="A6033"/>
      <c r="C6033"/>
      <c r="D6033"/>
      <c r="L6033"/>
      <c r="R6033"/>
      <c r="S6033"/>
      <c r="T6033"/>
      <c r="U6033"/>
    </row>
    <row r="6034" spans="1:21">
      <c r="A6034"/>
      <c r="C6034"/>
      <c r="D6034"/>
      <c r="L6034"/>
      <c r="R6034"/>
      <c r="S6034"/>
      <c r="T6034"/>
      <c r="U6034"/>
    </row>
    <row r="6035" spans="1:21">
      <c r="A6035"/>
      <c r="C6035"/>
      <c r="D6035"/>
      <c r="L6035"/>
      <c r="R6035"/>
      <c r="S6035"/>
      <c r="T6035"/>
      <c r="U6035"/>
    </row>
    <row r="6036" spans="1:21">
      <c r="A6036"/>
      <c r="C6036"/>
      <c r="D6036"/>
      <c r="L6036"/>
      <c r="R6036"/>
      <c r="S6036"/>
      <c r="T6036"/>
      <c r="U6036"/>
    </row>
    <row r="6037" spans="1:21">
      <c r="A6037"/>
      <c r="C6037"/>
      <c r="D6037"/>
      <c r="L6037"/>
      <c r="R6037"/>
      <c r="S6037"/>
      <c r="T6037"/>
      <c r="U6037"/>
    </row>
    <row r="6038" spans="1:21">
      <c r="A6038"/>
      <c r="C6038"/>
      <c r="D6038"/>
      <c r="L6038"/>
      <c r="R6038"/>
      <c r="S6038"/>
      <c r="T6038"/>
      <c r="U6038"/>
    </row>
    <row r="6039" spans="1:21">
      <c r="A6039"/>
      <c r="C6039"/>
      <c r="D6039"/>
      <c r="L6039"/>
      <c r="R6039"/>
      <c r="S6039"/>
      <c r="T6039"/>
      <c r="U6039"/>
    </row>
    <row r="6040" spans="1:21">
      <c r="A6040"/>
      <c r="C6040"/>
      <c r="D6040"/>
      <c r="L6040"/>
      <c r="R6040"/>
      <c r="S6040"/>
      <c r="T6040"/>
      <c r="U6040"/>
    </row>
    <row r="6041" spans="1:21">
      <c r="A6041"/>
      <c r="C6041"/>
      <c r="D6041"/>
      <c r="L6041"/>
      <c r="R6041"/>
      <c r="S6041"/>
      <c r="T6041"/>
      <c r="U6041"/>
    </row>
    <row r="6042" spans="1:21">
      <c r="A6042"/>
      <c r="C6042"/>
      <c r="D6042"/>
      <c r="L6042"/>
      <c r="R6042"/>
      <c r="S6042"/>
      <c r="T6042"/>
      <c r="U6042"/>
    </row>
    <row r="6043" spans="1:21">
      <c r="A6043"/>
      <c r="C6043"/>
      <c r="D6043"/>
      <c r="L6043"/>
      <c r="R6043"/>
      <c r="S6043"/>
      <c r="T6043"/>
      <c r="U6043"/>
    </row>
    <row r="6044" spans="1:21">
      <c r="A6044"/>
      <c r="C6044"/>
      <c r="D6044"/>
      <c r="L6044"/>
      <c r="R6044"/>
      <c r="S6044"/>
      <c r="T6044"/>
      <c r="U6044"/>
    </row>
    <row r="6045" spans="1:21">
      <c r="A6045"/>
      <c r="C6045"/>
      <c r="D6045"/>
      <c r="L6045"/>
      <c r="R6045"/>
      <c r="S6045"/>
      <c r="T6045"/>
      <c r="U6045"/>
    </row>
    <row r="6046" spans="1:21">
      <c r="A6046"/>
      <c r="C6046"/>
      <c r="D6046"/>
      <c r="L6046"/>
      <c r="R6046"/>
      <c r="S6046"/>
      <c r="T6046"/>
      <c r="U6046"/>
    </row>
    <row r="6047" spans="1:21">
      <c r="A6047"/>
      <c r="C6047"/>
      <c r="D6047"/>
      <c r="L6047"/>
      <c r="R6047"/>
      <c r="S6047"/>
      <c r="T6047"/>
      <c r="U6047"/>
    </row>
    <row r="6048" spans="1:21">
      <c r="A6048"/>
      <c r="C6048"/>
      <c r="D6048"/>
      <c r="L6048"/>
      <c r="R6048"/>
      <c r="S6048"/>
      <c r="T6048"/>
      <c r="U6048"/>
    </row>
    <row r="6049" spans="1:21">
      <c r="A6049"/>
      <c r="C6049"/>
      <c r="D6049"/>
      <c r="L6049"/>
      <c r="R6049"/>
      <c r="S6049"/>
      <c r="T6049"/>
      <c r="U6049"/>
    </row>
    <row r="6050" spans="1:21">
      <c r="A6050"/>
      <c r="C6050"/>
      <c r="D6050"/>
      <c r="L6050"/>
      <c r="R6050"/>
      <c r="S6050"/>
      <c r="T6050"/>
      <c r="U6050"/>
    </row>
    <row r="6051" spans="1:21">
      <c r="A6051"/>
      <c r="C6051"/>
      <c r="D6051"/>
      <c r="L6051"/>
      <c r="R6051"/>
      <c r="S6051"/>
      <c r="T6051"/>
      <c r="U6051"/>
    </row>
    <row r="6052" spans="1:21">
      <c r="A6052"/>
      <c r="C6052"/>
      <c r="D6052"/>
      <c r="L6052"/>
      <c r="R6052"/>
      <c r="S6052"/>
      <c r="T6052"/>
      <c r="U6052"/>
    </row>
    <row r="6053" spans="1:21">
      <c r="A6053"/>
      <c r="C6053"/>
      <c r="D6053"/>
      <c r="L6053"/>
      <c r="R6053"/>
      <c r="S6053"/>
      <c r="T6053"/>
      <c r="U6053"/>
    </row>
    <row r="6054" spans="1:21">
      <c r="A6054"/>
      <c r="C6054"/>
      <c r="D6054"/>
      <c r="L6054"/>
      <c r="R6054"/>
      <c r="S6054"/>
      <c r="T6054"/>
      <c r="U6054"/>
    </row>
    <row r="6055" spans="1:21">
      <c r="A6055"/>
      <c r="C6055"/>
      <c r="D6055"/>
      <c r="L6055"/>
      <c r="R6055"/>
      <c r="S6055"/>
      <c r="T6055"/>
      <c r="U6055"/>
    </row>
    <row r="6056" spans="1:21">
      <c r="A6056"/>
      <c r="C6056"/>
      <c r="D6056"/>
      <c r="L6056"/>
      <c r="R6056"/>
      <c r="S6056"/>
      <c r="T6056"/>
      <c r="U6056"/>
    </row>
    <row r="6057" spans="1:21">
      <c r="A6057"/>
      <c r="C6057"/>
      <c r="D6057"/>
      <c r="L6057"/>
      <c r="R6057"/>
      <c r="S6057"/>
      <c r="T6057"/>
      <c r="U6057"/>
    </row>
    <row r="6058" spans="1:21">
      <c r="A6058"/>
      <c r="C6058"/>
      <c r="D6058"/>
      <c r="L6058"/>
      <c r="R6058"/>
      <c r="S6058"/>
      <c r="T6058"/>
      <c r="U6058"/>
    </row>
    <row r="6059" spans="1:21">
      <c r="A6059"/>
      <c r="C6059"/>
      <c r="D6059"/>
      <c r="L6059"/>
      <c r="R6059"/>
      <c r="S6059"/>
      <c r="T6059"/>
      <c r="U6059"/>
    </row>
    <row r="6060" spans="1:21">
      <c r="A6060"/>
      <c r="C6060"/>
      <c r="D6060"/>
      <c r="L6060"/>
      <c r="R6060"/>
      <c r="S6060"/>
      <c r="T6060"/>
      <c r="U6060"/>
    </row>
    <row r="6061" spans="1:21">
      <c r="A6061"/>
      <c r="C6061"/>
      <c r="D6061"/>
      <c r="L6061"/>
      <c r="R6061"/>
      <c r="S6061"/>
      <c r="T6061"/>
      <c r="U6061"/>
    </row>
    <row r="6062" spans="1:21">
      <c r="A6062"/>
      <c r="C6062"/>
      <c r="D6062"/>
      <c r="L6062"/>
      <c r="R6062"/>
      <c r="S6062"/>
      <c r="T6062"/>
      <c r="U6062"/>
    </row>
    <row r="6063" spans="1:21">
      <c r="A6063"/>
      <c r="C6063"/>
      <c r="D6063"/>
      <c r="L6063"/>
      <c r="R6063"/>
      <c r="S6063"/>
      <c r="T6063"/>
      <c r="U6063"/>
    </row>
    <row r="6064" spans="1:21">
      <c r="A6064"/>
      <c r="C6064"/>
      <c r="D6064"/>
      <c r="L6064"/>
      <c r="R6064"/>
      <c r="S6064"/>
      <c r="T6064"/>
      <c r="U6064"/>
    </row>
    <row r="6065" spans="1:21">
      <c r="A6065"/>
      <c r="C6065"/>
      <c r="D6065"/>
      <c r="L6065"/>
      <c r="R6065"/>
      <c r="S6065"/>
      <c r="T6065"/>
      <c r="U6065"/>
    </row>
    <row r="6066" spans="1:21">
      <c r="A6066"/>
      <c r="C6066"/>
      <c r="D6066"/>
      <c r="L6066"/>
      <c r="R6066"/>
      <c r="S6066"/>
      <c r="T6066"/>
      <c r="U6066"/>
    </row>
    <row r="6067" spans="1:21">
      <c r="A6067"/>
      <c r="C6067"/>
      <c r="D6067"/>
      <c r="L6067"/>
      <c r="R6067"/>
      <c r="S6067"/>
      <c r="T6067"/>
      <c r="U6067"/>
    </row>
    <row r="6068" spans="1:21">
      <c r="A6068"/>
      <c r="C6068"/>
      <c r="D6068"/>
      <c r="L6068"/>
      <c r="R6068"/>
      <c r="S6068"/>
      <c r="T6068"/>
      <c r="U6068"/>
    </row>
    <row r="6069" spans="1:21">
      <c r="A6069"/>
      <c r="C6069"/>
      <c r="D6069"/>
      <c r="L6069"/>
      <c r="R6069"/>
      <c r="S6069"/>
      <c r="T6069"/>
      <c r="U6069"/>
    </row>
    <row r="6070" spans="1:21">
      <c r="A6070"/>
      <c r="C6070"/>
      <c r="D6070"/>
      <c r="L6070"/>
      <c r="R6070"/>
      <c r="S6070"/>
      <c r="T6070"/>
      <c r="U6070"/>
    </row>
    <row r="6071" spans="1:21">
      <c r="A6071"/>
      <c r="C6071"/>
      <c r="D6071"/>
      <c r="L6071"/>
      <c r="R6071"/>
      <c r="S6071"/>
      <c r="T6071"/>
      <c r="U6071"/>
    </row>
    <row r="6072" spans="1:21">
      <c r="A6072"/>
      <c r="C6072"/>
      <c r="D6072"/>
      <c r="L6072"/>
      <c r="R6072"/>
      <c r="S6072"/>
      <c r="T6072"/>
      <c r="U6072"/>
    </row>
    <row r="6073" spans="1:21">
      <c r="A6073"/>
      <c r="C6073"/>
      <c r="D6073"/>
      <c r="L6073"/>
      <c r="R6073"/>
      <c r="S6073"/>
      <c r="T6073"/>
      <c r="U6073"/>
    </row>
    <row r="6074" spans="1:21">
      <c r="A6074"/>
      <c r="C6074"/>
      <c r="D6074"/>
      <c r="L6074"/>
      <c r="R6074"/>
      <c r="S6074"/>
      <c r="T6074"/>
      <c r="U6074"/>
    </row>
    <row r="6075" spans="1:21">
      <c r="A6075"/>
      <c r="C6075"/>
      <c r="D6075"/>
      <c r="L6075"/>
      <c r="R6075"/>
      <c r="S6075"/>
      <c r="T6075"/>
      <c r="U6075"/>
    </row>
    <row r="6076" spans="1:21">
      <c r="A6076"/>
      <c r="C6076"/>
      <c r="D6076"/>
      <c r="L6076"/>
      <c r="R6076"/>
      <c r="S6076"/>
      <c r="T6076"/>
      <c r="U6076"/>
    </row>
    <row r="6077" spans="1:21">
      <c r="A6077"/>
      <c r="C6077"/>
      <c r="D6077"/>
      <c r="L6077"/>
      <c r="R6077"/>
      <c r="S6077"/>
      <c r="T6077"/>
      <c r="U6077"/>
    </row>
    <row r="6078" spans="1:21">
      <c r="A6078"/>
      <c r="C6078"/>
      <c r="D6078"/>
      <c r="L6078"/>
      <c r="R6078"/>
      <c r="S6078"/>
      <c r="T6078"/>
      <c r="U6078"/>
    </row>
    <row r="6079" spans="1:21">
      <c r="A6079"/>
      <c r="C6079"/>
      <c r="D6079"/>
      <c r="L6079"/>
      <c r="R6079"/>
      <c r="S6079"/>
      <c r="T6079"/>
      <c r="U6079"/>
    </row>
    <row r="6080" spans="1:21">
      <c r="A6080"/>
      <c r="C6080"/>
      <c r="D6080"/>
      <c r="L6080"/>
      <c r="R6080"/>
      <c r="S6080"/>
      <c r="T6080"/>
      <c r="U6080"/>
    </row>
    <row r="6081" spans="1:21">
      <c r="A6081"/>
      <c r="C6081"/>
      <c r="D6081"/>
      <c r="L6081"/>
      <c r="R6081"/>
      <c r="S6081"/>
      <c r="T6081"/>
      <c r="U6081"/>
    </row>
    <row r="6082" spans="1:21">
      <c r="A6082"/>
      <c r="C6082"/>
      <c r="D6082"/>
      <c r="L6082"/>
      <c r="R6082"/>
      <c r="S6082"/>
      <c r="T6082"/>
      <c r="U6082"/>
    </row>
    <row r="6083" spans="1:21">
      <c r="A6083"/>
      <c r="C6083"/>
      <c r="D6083"/>
      <c r="L6083"/>
      <c r="R6083"/>
      <c r="S6083"/>
      <c r="T6083"/>
      <c r="U6083"/>
    </row>
    <row r="6084" spans="1:21">
      <c r="A6084"/>
      <c r="C6084"/>
      <c r="D6084"/>
      <c r="L6084"/>
      <c r="R6084"/>
      <c r="S6084"/>
      <c r="T6084"/>
      <c r="U6084"/>
    </row>
    <row r="6085" spans="1:21">
      <c r="A6085"/>
      <c r="C6085"/>
      <c r="D6085"/>
      <c r="L6085"/>
      <c r="R6085"/>
      <c r="S6085"/>
      <c r="T6085"/>
      <c r="U6085"/>
    </row>
    <row r="6086" spans="1:21">
      <c r="A6086"/>
      <c r="C6086"/>
      <c r="D6086"/>
      <c r="L6086"/>
      <c r="R6086"/>
      <c r="S6086"/>
      <c r="T6086"/>
      <c r="U6086"/>
    </row>
    <row r="6087" spans="1:21">
      <c r="A6087"/>
      <c r="C6087"/>
      <c r="D6087"/>
      <c r="L6087"/>
      <c r="R6087"/>
      <c r="S6087"/>
      <c r="T6087"/>
      <c r="U6087"/>
    </row>
    <row r="6088" spans="1:21">
      <c r="A6088"/>
      <c r="C6088"/>
      <c r="D6088"/>
      <c r="L6088"/>
      <c r="R6088"/>
      <c r="S6088"/>
      <c r="T6088"/>
      <c r="U6088"/>
    </row>
    <row r="6089" spans="1:21">
      <c r="A6089"/>
      <c r="C6089"/>
      <c r="D6089"/>
      <c r="L6089"/>
      <c r="R6089"/>
      <c r="S6089"/>
      <c r="T6089"/>
      <c r="U6089"/>
    </row>
    <row r="6090" spans="1:21">
      <c r="A6090"/>
      <c r="C6090"/>
      <c r="D6090"/>
      <c r="L6090"/>
      <c r="R6090"/>
      <c r="S6090"/>
      <c r="T6090"/>
      <c r="U6090"/>
    </row>
    <row r="6091" spans="1:21">
      <c r="A6091"/>
      <c r="C6091"/>
      <c r="D6091"/>
      <c r="L6091"/>
      <c r="R6091"/>
      <c r="S6091"/>
      <c r="T6091"/>
      <c r="U6091"/>
    </row>
    <row r="6092" spans="1:21">
      <c r="A6092"/>
      <c r="C6092"/>
      <c r="D6092"/>
      <c r="L6092"/>
      <c r="R6092"/>
      <c r="S6092"/>
      <c r="T6092"/>
      <c r="U6092"/>
    </row>
    <row r="6093" spans="1:21">
      <c r="A6093"/>
      <c r="C6093"/>
      <c r="D6093"/>
      <c r="L6093"/>
      <c r="R6093"/>
      <c r="S6093"/>
      <c r="T6093"/>
      <c r="U6093"/>
    </row>
    <row r="6094" spans="1:21">
      <c r="A6094"/>
      <c r="C6094"/>
      <c r="D6094"/>
      <c r="L6094"/>
      <c r="R6094"/>
      <c r="S6094"/>
      <c r="T6094"/>
      <c r="U6094"/>
    </row>
    <row r="6095" spans="1:21">
      <c r="A6095"/>
      <c r="C6095"/>
      <c r="D6095"/>
      <c r="L6095"/>
      <c r="R6095"/>
      <c r="S6095"/>
      <c r="T6095"/>
      <c r="U6095"/>
    </row>
    <row r="6096" spans="1:21">
      <c r="A6096"/>
      <c r="C6096"/>
      <c r="D6096"/>
      <c r="L6096"/>
      <c r="R6096"/>
      <c r="S6096"/>
      <c r="T6096"/>
      <c r="U6096"/>
    </row>
    <row r="6097" spans="1:21">
      <c r="A6097"/>
      <c r="C6097"/>
      <c r="D6097"/>
      <c r="L6097"/>
      <c r="R6097"/>
      <c r="S6097"/>
      <c r="T6097"/>
      <c r="U6097"/>
    </row>
    <row r="6098" spans="1:21">
      <c r="A6098"/>
      <c r="C6098"/>
      <c r="D6098"/>
      <c r="L6098"/>
      <c r="R6098"/>
      <c r="S6098"/>
      <c r="T6098"/>
      <c r="U6098"/>
    </row>
    <row r="6099" spans="1:21">
      <c r="A6099"/>
      <c r="C6099"/>
      <c r="D6099"/>
      <c r="L6099"/>
      <c r="R6099"/>
      <c r="S6099"/>
      <c r="T6099"/>
      <c r="U6099"/>
    </row>
    <row r="6100" spans="1:21">
      <c r="A6100"/>
      <c r="C6100"/>
      <c r="D6100"/>
      <c r="L6100"/>
      <c r="R6100"/>
      <c r="S6100"/>
      <c r="T6100"/>
      <c r="U6100"/>
    </row>
    <row r="6101" spans="1:21">
      <c r="A6101"/>
      <c r="C6101"/>
      <c r="D6101"/>
      <c r="L6101"/>
      <c r="R6101"/>
      <c r="S6101"/>
      <c r="T6101"/>
      <c r="U6101"/>
    </row>
    <row r="6102" spans="1:21">
      <c r="A6102"/>
      <c r="C6102"/>
      <c r="D6102"/>
      <c r="L6102"/>
      <c r="R6102"/>
      <c r="S6102"/>
      <c r="T6102"/>
      <c r="U6102"/>
    </row>
    <row r="6103" spans="1:21">
      <c r="A6103"/>
      <c r="C6103"/>
      <c r="D6103"/>
      <c r="L6103"/>
      <c r="R6103"/>
      <c r="S6103"/>
      <c r="T6103"/>
      <c r="U6103"/>
    </row>
    <row r="6104" spans="1:21">
      <c r="A6104"/>
      <c r="C6104"/>
      <c r="D6104"/>
      <c r="L6104"/>
      <c r="R6104"/>
      <c r="S6104"/>
      <c r="T6104"/>
      <c r="U6104"/>
    </row>
    <row r="6105" spans="1:21">
      <c r="A6105"/>
      <c r="C6105"/>
      <c r="D6105"/>
      <c r="L6105"/>
      <c r="R6105"/>
      <c r="S6105"/>
      <c r="T6105"/>
      <c r="U6105"/>
    </row>
    <row r="6106" spans="1:21">
      <c r="A6106"/>
      <c r="C6106"/>
      <c r="D6106"/>
      <c r="L6106"/>
      <c r="R6106"/>
      <c r="S6106"/>
      <c r="T6106"/>
      <c r="U6106"/>
    </row>
    <row r="6107" spans="1:21">
      <c r="A6107"/>
      <c r="C6107"/>
      <c r="D6107"/>
      <c r="L6107"/>
      <c r="R6107"/>
      <c r="S6107"/>
      <c r="T6107"/>
      <c r="U6107"/>
    </row>
    <row r="6108" spans="1:21">
      <c r="A6108"/>
      <c r="C6108"/>
      <c r="D6108"/>
      <c r="L6108"/>
      <c r="R6108"/>
      <c r="S6108"/>
      <c r="T6108"/>
      <c r="U6108"/>
    </row>
    <row r="6109" spans="1:21">
      <c r="A6109"/>
      <c r="C6109"/>
      <c r="D6109"/>
      <c r="L6109"/>
      <c r="R6109"/>
      <c r="S6109"/>
      <c r="T6109"/>
      <c r="U6109"/>
    </row>
    <row r="6110" spans="1:21">
      <c r="A6110"/>
      <c r="C6110"/>
      <c r="D6110"/>
      <c r="L6110"/>
      <c r="R6110"/>
      <c r="S6110"/>
      <c r="T6110"/>
      <c r="U6110"/>
    </row>
    <row r="6111" spans="1:21">
      <c r="A6111"/>
      <c r="C6111"/>
      <c r="D6111"/>
      <c r="L6111"/>
      <c r="R6111"/>
      <c r="S6111"/>
      <c r="T6111"/>
      <c r="U6111"/>
    </row>
    <row r="6112" spans="1:21">
      <c r="A6112"/>
      <c r="C6112"/>
      <c r="D6112"/>
      <c r="L6112"/>
      <c r="R6112"/>
      <c r="S6112"/>
      <c r="T6112"/>
      <c r="U6112"/>
    </row>
    <row r="6113" spans="1:21">
      <c r="A6113"/>
      <c r="C6113"/>
      <c r="D6113"/>
      <c r="L6113"/>
      <c r="R6113"/>
      <c r="S6113"/>
      <c r="T6113"/>
      <c r="U6113"/>
    </row>
    <row r="6114" spans="1:21">
      <c r="A6114"/>
      <c r="C6114"/>
      <c r="D6114"/>
      <c r="L6114"/>
      <c r="R6114"/>
      <c r="S6114"/>
      <c r="T6114"/>
      <c r="U6114"/>
    </row>
    <row r="6115" spans="1:21">
      <c r="A6115"/>
      <c r="C6115"/>
      <c r="D6115"/>
      <c r="L6115"/>
      <c r="R6115"/>
      <c r="S6115"/>
      <c r="T6115"/>
      <c r="U6115"/>
    </row>
    <row r="6116" spans="1:21">
      <c r="A6116"/>
      <c r="C6116"/>
      <c r="D6116"/>
      <c r="L6116"/>
      <c r="R6116"/>
      <c r="S6116"/>
      <c r="T6116"/>
      <c r="U6116"/>
    </row>
    <row r="6117" spans="1:21">
      <c r="A6117"/>
      <c r="C6117"/>
      <c r="D6117"/>
      <c r="L6117"/>
      <c r="R6117"/>
      <c r="S6117"/>
      <c r="T6117"/>
      <c r="U6117"/>
    </row>
    <row r="6118" spans="1:21">
      <c r="A6118"/>
      <c r="C6118"/>
      <c r="D6118"/>
      <c r="L6118"/>
      <c r="R6118"/>
      <c r="S6118"/>
      <c r="T6118"/>
      <c r="U6118"/>
    </row>
    <row r="6119" spans="1:21">
      <c r="A6119"/>
      <c r="C6119"/>
      <c r="D6119"/>
      <c r="L6119"/>
      <c r="R6119"/>
      <c r="S6119"/>
      <c r="T6119"/>
      <c r="U6119"/>
    </row>
    <row r="6120" spans="1:21">
      <c r="A6120"/>
      <c r="C6120"/>
      <c r="D6120"/>
      <c r="L6120"/>
      <c r="R6120"/>
      <c r="S6120"/>
      <c r="T6120"/>
      <c r="U6120"/>
    </row>
    <row r="6121" spans="1:21">
      <c r="A6121"/>
      <c r="C6121"/>
      <c r="D6121"/>
      <c r="L6121"/>
      <c r="R6121"/>
      <c r="S6121"/>
      <c r="T6121"/>
      <c r="U6121"/>
    </row>
    <row r="6122" spans="1:21">
      <c r="A6122"/>
      <c r="C6122"/>
      <c r="D6122"/>
      <c r="L6122"/>
      <c r="R6122"/>
      <c r="S6122"/>
      <c r="T6122"/>
      <c r="U6122"/>
    </row>
    <row r="6123" spans="1:21">
      <c r="A6123"/>
      <c r="C6123"/>
      <c r="D6123"/>
      <c r="L6123"/>
      <c r="R6123"/>
      <c r="S6123"/>
      <c r="T6123"/>
      <c r="U6123"/>
    </row>
    <row r="6124" spans="1:21">
      <c r="A6124"/>
      <c r="C6124"/>
      <c r="D6124"/>
      <c r="L6124"/>
      <c r="R6124"/>
      <c r="S6124"/>
      <c r="T6124"/>
      <c r="U6124"/>
    </row>
    <row r="6125" spans="1:21">
      <c r="A6125"/>
      <c r="C6125"/>
      <c r="D6125"/>
      <c r="L6125"/>
      <c r="R6125"/>
      <c r="S6125"/>
      <c r="T6125"/>
      <c r="U6125"/>
    </row>
    <row r="6126" spans="1:21">
      <c r="A6126"/>
      <c r="C6126"/>
      <c r="D6126"/>
      <c r="L6126"/>
      <c r="R6126"/>
      <c r="S6126"/>
      <c r="T6126"/>
      <c r="U6126"/>
    </row>
    <row r="6127" spans="1:21">
      <c r="A6127"/>
      <c r="C6127"/>
      <c r="D6127"/>
      <c r="L6127"/>
      <c r="R6127"/>
      <c r="S6127"/>
      <c r="T6127"/>
      <c r="U6127"/>
    </row>
    <row r="6128" spans="1:21">
      <c r="A6128"/>
      <c r="C6128"/>
      <c r="D6128"/>
      <c r="L6128"/>
      <c r="R6128"/>
      <c r="S6128"/>
      <c r="T6128"/>
      <c r="U6128"/>
    </row>
    <row r="6129" spans="1:21">
      <c r="A6129"/>
      <c r="C6129"/>
      <c r="D6129"/>
      <c r="L6129"/>
      <c r="R6129"/>
      <c r="S6129"/>
      <c r="T6129"/>
      <c r="U6129"/>
    </row>
    <row r="6130" spans="1:21">
      <c r="A6130"/>
      <c r="C6130"/>
      <c r="D6130"/>
      <c r="L6130"/>
      <c r="R6130"/>
      <c r="S6130"/>
      <c r="T6130"/>
      <c r="U6130"/>
    </row>
    <row r="6131" spans="1:21">
      <c r="A6131"/>
      <c r="C6131"/>
      <c r="D6131"/>
      <c r="L6131"/>
      <c r="R6131"/>
      <c r="S6131"/>
      <c r="T6131"/>
      <c r="U6131"/>
    </row>
    <row r="6132" spans="1:21">
      <c r="A6132"/>
      <c r="C6132"/>
      <c r="D6132"/>
      <c r="L6132"/>
      <c r="R6132"/>
      <c r="S6132"/>
      <c r="T6132"/>
      <c r="U6132"/>
    </row>
    <row r="6133" spans="1:21">
      <c r="A6133"/>
      <c r="C6133"/>
      <c r="D6133"/>
      <c r="L6133"/>
      <c r="R6133"/>
      <c r="S6133"/>
      <c r="T6133"/>
      <c r="U6133"/>
    </row>
    <row r="6134" spans="1:21">
      <c r="A6134"/>
      <c r="C6134"/>
      <c r="D6134"/>
      <c r="L6134"/>
      <c r="R6134"/>
      <c r="S6134"/>
      <c r="T6134"/>
      <c r="U6134"/>
    </row>
    <row r="6135" spans="1:21">
      <c r="A6135"/>
      <c r="C6135"/>
      <c r="D6135"/>
      <c r="L6135"/>
      <c r="R6135"/>
      <c r="S6135"/>
      <c r="T6135"/>
      <c r="U6135"/>
    </row>
    <row r="6136" spans="1:21">
      <c r="A6136"/>
      <c r="C6136"/>
      <c r="D6136"/>
      <c r="L6136"/>
      <c r="R6136"/>
      <c r="S6136"/>
      <c r="T6136"/>
      <c r="U6136"/>
    </row>
    <row r="6137" spans="1:21">
      <c r="A6137"/>
      <c r="C6137"/>
      <c r="D6137"/>
      <c r="L6137"/>
      <c r="R6137"/>
      <c r="S6137"/>
      <c r="T6137"/>
      <c r="U6137"/>
    </row>
    <row r="6138" spans="1:21">
      <c r="A6138"/>
      <c r="C6138"/>
      <c r="D6138"/>
      <c r="L6138"/>
      <c r="R6138"/>
      <c r="S6138"/>
      <c r="T6138"/>
      <c r="U6138"/>
    </row>
    <row r="6139" spans="1:21">
      <c r="A6139"/>
      <c r="C6139"/>
      <c r="D6139"/>
      <c r="L6139"/>
      <c r="R6139"/>
      <c r="S6139"/>
      <c r="T6139"/>
      <c r="U6139"/>
    </row>
    <row r="6140" spans="1:21">
      <c r="A6140"/>
      <c r="C6140"/>
      <c r="D6140"/>
      <c r="L6140"/>
      <c r="R6140"/>
      <c r="S6140"/>
      <c r="T6140"/>
      <c r="U6140"/>
    </row>
    <row r="6141" spans="1:21">
      <c r="A6141"/>
      <c r="C6141"/>
      <c r="D6141"/>
      <c r="L6141"/>
      <c r="R6141"/>
      <c r="S6141"/>
      <c r="T6141"/>
      <c r="U6141"/>
    </row>
    <row r="6142" spans="1:21">
      <c r="A6142"/>
      <c r="C6142"/>
      <c r="D6142"/>
      <c r="L6142"/>
      <c r="R6142"/>
      <c r="S6142"/>
      <c r="T6142"/>
      <c r="U6142"/>
    </row>
    <row r="6143" spans="1:21">
      <c r="A6143"/>
      <c r="C6143"/>
      <c r="D6143"/>
      <c r="L6143"/>
      <c r="R6143"/>
      <c r="S6143"/>
      <c r="T6143"/>
      <c r="U6143"/>
    </row>
    <row r="6144" spans="1:21">
      <c r="A6144"/>
      <c r="C6144"/>
      <c r="D6144"/>
      <c r="L6144"/>
      <c r="R6144"/>
      <c r="S6144"/>
      <c r="T6144"/>
      <c r="U6144"/>
    </row>
    <row r="6145" spans="1:21">
      <c r="A6145"/>
      <c r="C6145"/>
      <c r="D6145"/>
      <c r="L6145"/>
      <c r="R6145"/>
      <c r="S6145"/>
      <c r="T6145"/>
      <c r="U6145"/>
    </row>
    <row r="6146" spans="1:21">
      <c r="A6146"/>
      <c r="C6146"/>
      <c r="D6146"/>
      <c r="L6146"/>
      <c r="R6146"/>
      <c r="S6146"/>
      <c r="T6146"/>
      <c r="U6146"/>
    </row>
    <row r="6147" spans="1:21">
      <c r="A6147"/>
      <c r="C6147"/>
      <c r="D6147"/>
      <c r="L6147"/>
      <c r="R6147"/>
      <c r="S6147"/>
      <c r="T6147"/>
      <c r="U6147"/>
    </row>
    <row r="6148" spans="1:21">
      <c r="A6148"/>
      <c r="C6148"/>
      <c r="D6148"/>
      <c r="L6148"/>
      <c r="R6148"/>
      <c r="S6148"/>
      <c r="T6148"/>
      <c r="U6148"/>
    </row>
    <row r="6149" spans="1:21">
      <c r="A6149"/>
      <c r="C6149"/>
      <c r="D6149"/>
      <c r="L6149"/>
      <c r="R6149"/>
      <c r="S6149"/>
      <c r="T6149"/>
      <c r="U6149"/>
    </row>
    <row r="6150" spans="1:21">
      <c r="A6150"/>
      <c r="C6150"/>
      <c r="D6150"/>
      <c r="L6150"/>
      <c r="R6150"/>
      <c r="S6150"/>
      <c r="T6150"/>
      <c r="U6150"/>
    </row>
    <row r="6151" spans="1:21">
      <c r="A6151"/>
      <c r="C6151"/>
      <c r="D6151"/>
      <c r="L6151"/>
      <c r="R6151"/>
      <c r="S6151"/>
      <c r="T6151"/>
      <c r="U6151"/>
    </row>
    <row r="6152" spans="1:21">
      <c r="A6152"/>
      <c r="C6152"/>
      <c r="D6152"/>
      <c r="L6152"/>
      <c r="R6152"/>
      <c r="S6152"/>
      <c r="T6152"/>
      <c r="U6152"/>
    </row>
    <row r="6153" spans="1:21">
      <c r="A6153"/>
      <c r="C6153"/>
      <c r="D6153"/>
      <c r="L6153"/>
      <c r="R6153"/>
      <c r="S6153"/>
      <c r="T6153"/>
      <c r="U6153"/>
    </row>
    <row r="6154" spans="1:21">
      <c r="A6154"/>
      <c r="C6154"/>
      <c r="D6154"/>
      <c r="L6154"/>
      <c r="R6154"/>
      <c r="S6154"/>
      <c r="T6154"/>
      <c r="U6154"/>
    </row>
    <row r="6155" spans="1:21">
      <c r="A6155"/>
      <c r="C6155"/>
      <c r="D6155"/>
      <c r="L6155"/>
      <c r="R6155"/>
      <c r="S6155"/>
      <c r="T6155"/>
      <c r="U6155"/>
    </row>
    <row r="6156" spans="1:21">
      <c r="A6156"/>
      <c r="C6156"/>
      <c r="D6156"/>
      <c r="L6156"/>
      <c r="R6156"/>
      <c r="S6156"/>
      <c r="T6156"/>
      <c r="U6156"/>
    </row>
    <row r="6157" spans="1:21">
      <c r="A6157"/>
      <c r="C6157"/>
      <c r="D6157"/>
      <c r="L6157"/>
      <c r="R6157"/>
      <c r="S6157"/>
      <c r="T6157"/>
      <c r="U6157"/>
    </row>
    <row r="6158" spans="1:21">
      <c r="A6158"/>
      <c r="C6158"/>
      <c r="D6158"/>
      <c r="L6158"/>
      <c r="R6158"/>
      <c r="S6158"/>
      <c r="T6158"/>
      <c r="U6158"/>
    </row>
    <row r="6159" spans="1:21">
      <c r="A6159"/>
      <c r="C6159"/>
      <c r="D6159"/>
      <c r="L6159"/>
      <c r="R6159"/>
      <c r="S6159"/>
      <c r="T6159"/>
      <c r="U6159"/>
    </row>
    <row r="6160" spans="1:21">
      <c r="A6160"/>
      <c r="C6160"/>
      <c r="D6160"/>
      <c r="L6160"/>
      <c r="R6160"/>
      <c r="S6160"/>
      <c r="T6160"/>
      <c r="U6160"/>
    </row>
    <row r="6161" spans="1:21">
      <c r="A6161"/>
      <c r="C6161"/>
      <c r="D6161"/>
      <c r="L6161"/>
      <c r="R6161"/>
      <c r="S6161"/>
      <c r="T6161"/>
      <c r="U6161"/>
    </row>
    <row r="6162" spans="1:21">
      <c r="A6162"/>
      <c r="C6162"/>
      <c r="D6162"/>
      <c r="L6162"/>
      <c r="R6162"/>
      <c r="S6162"/>
      <c r="T6162"/>
      <c r="U6162"/>
    </row>
    <row r="6163" spans="1:21">
      <c r="A6163"/>
      <c r="C6163"/>
      <c r="D6163"/>
      <c r="L6163"/>
      <c r="R6163"/>
      <c r="S6163"/>
      <c r="T6163"/>
      <c r="U6163"/>
    </row>
    <row r="6164" spans="1:21">
      <c r="A6164"/>
      <c r="C6164"/>
      <c r="D6164"/>
      <c r="L6164"/>
      <c r="R6164"/>
      <c r="S6164"/>
      <c r="T6164"/>
      <c r="U6164"/>
    </row>
    <row r="6165" spans="1:21">
      <c r="A6165"/>
      <c r="C6165"/>
      <c r="D6165"/>
      <c r="L6165"/>
      <c r="R6165"/>
      <c r="S6165"/>
      <c r="T6165"/>
      <c r="U6165"/>
    </row>
    <row r="6166" spans="1:21">
      <c r="A6166"/>
      <c r="C6166"/>
      <c r="D6166"/>
      <c r="L6166"/>
      <c r="R6166"/>
      <c r="S6166"/>
      <c r="T6166"/>
      <c r="U6166"/>
    </row>
    <row r="6167" spans="1:21">
      <c r="A6167"/>
      <c r="C6167"/>
      <c r="D6167"/>
      <c r="L6167"/>
      <c r="R6167"/>
      <c r="S6167"/>
      <c r="T6167"/>
      <c r="U6167"/>
    </row>
    <row r="6168" spans="1:21">
      <c r="A6168"/>
      <c r="C6168"/>
      <c r="D6168"/>
      <c r="L6168"/>
      <c r="R6168"/>
      <c r="S6168"/>
      <c r="T6168"/>
      <c r="U6168"/>
    </row>
    <row r="6169" spans="1:21">
      <c r="A6169"/>
      <c r="C6169"/>
      <c r="D6169"/>
      <c r="L6169"/>
      <c r="R6169"/>
      <c r="S6169"/>
      <c r="T6169"/>
      <c r="U6169"/>
    </row>
    <row r="6170" spans="1:21">
      <c r="A6170"/>
      <c r="C6170"/>
      <c r="D6170"/>
      <c r="L6170"/>
      <c r="R6170"/>
      <c r="S6170"/>
      <c r="T6170"/>
      <c r="U6170"/>
    </row>
    <row r="6171" spans="1:21">
      <c r="A6171"/>
      <c r="C6171"/>
      <c r="D6171"/>
      <c r="L6171"/>
      <c r="R6171"/>
      <c r="S6171"/>
      <c r="T6171"/>
      <c r="U6171"/>
    </row>
    <row r="6172" spans="1:21">
      <c r="A6172"/>
      <c r="C6172"/>
      <c r="D6172"/>
      <c r="L6172"/>
      <c r="R6172"/>
      <c r="S6172"/>
      <c r="T6172"/>
      <c r="U6172"/>
    </row>
    <row r="6173" spans="1:21">
      <c r="A6173"/>
      <c r="C6173"/>
      <c r="D6173"/>
      <c r="L6173"/>
      <c r="R6173"/>
      <c r="S6173"/>
      <c r="T6173"/>
      <c r="U6173"/>
    </row>
    <row r="6174" spans="1:21">
      <c r="A6174"/>
      <c r="C6174"/>
      <c r="D6174"/>
      <c r="L6174"/>
      <c r="R6174"/>
      <c r="S6174"/>
      <c r="T6174"/>
      <c r="U6174"/>
    </row>
    <row r="6175" spans="1:21">
      <c r="A6175"/>
      <c r="C6175"/>
      <c r="D6175"/>
      <c r="L6175"/>
      <c r="R6175"/>
      <c r="S6175"/>
      <c r="T6175"/>
      <c r="U6175"/>
    </row>
    <row r="6176" spans="1:21">
      <c r="A6176"/>
      <c r="C6176"/>
      <c r="D6176"/>
      <c r="L6176"/>
      <c r="R6176"/>
      <c r="S6176"/>
      <c r="T6176"/>
      <c r="U6176"/>
    </row>
    <row r="6177" spans="1:21">
      <c r="A6177"/>
      <c r="C6177"/>
      <c r="D6177"/>
      <c r="L6177"/>
      <c r="R6177"/>
      <c r="S6177"/>
      <c r="T6177"/>
      <c r="U6177"/>
    </row>
    <row r="6178" spans="1:21">
      <c r="A6178"/>
      <c r="C6178"/>
      <c r="D6178"/>
      <c r="L6178"/>
      <c r="R6178"/>
      <c r="S6178"/>
      <c r="T6178"/>
      <c r="U6178"/>
    </row>
    <row r="6179" spans="1:21">
      <c r="A6179"/>
      <c r="C6179"/>
      <c r="D6179"/>
      <c r="L6179"/>
      <c r="R6179"/>
      <c r="S6179"/>
      <c r="T6179"/>
      <c r="U6179"/>
    </row>
    <row r="6180" spans="1:21">
      <c r="A6180"/>
      <c r="C6180"/>
      <c r="D6180"/>
      <c r="L6180"/>
      <c r="R6180"/>
      <c r="S6180"/>
      <c r="T6180"/>
      <c r="U6180"/>
    </row>
    <row r="6181" spans="1:21">
      <c r="A6181"/>
      <c r="C6181"/>
      <c r="D6181"/>
      <c r="L6181"/>
      <c r="R6181"/>
      <c r="S6181"/>
      <c r="T6181"/>
      <c r="U6181"/>
    </row>
    <row r="6182" spans="1:21">
      <c r="A6182"/>
      <c r="C6182"/>
      <c r="D6182"/>
      <c r="L6182"/>
      <c r="R6182"/>
      <c r="S6182"/>
      <c r="T6182"/>
      <c r="U6182"/>
    </row>
    <row r="6183" spans="1:21">
      <c r="A6183"/>
      <c r="C6183"/>
      <c r="D6183"/>
      <c r="L6183"/>
      <c r="R6183"/>
      <c r="S6183"/>
      <c r="T6183"/>
      <c r="U6183"/>
    </row>
    <row r="6184" spans="1:21">
      <c r="A6184"/>
      <c r="C6184"/>
      <c r="D6184"/>
      <c r="L6184"/>
      <c r="R6184"/>
      <c r="S6184"/>
      <c r="T6184"/>
      <c r="U6184"/>
    </row>
    <row r="6185" spans="1:21">
      <c r="A6185"/>
      <c r="C6185"/>
      <c r="D6185"/>
      <c r="L6185"/>
      <c r="R6185"/>
      <c r="S6185"/>
      <c r="T6185"/>
      <c r="U6185"/>
    </row>
    <row r="6186" spans="1:21">
      <c r="A6186"/>
      <c r="C6186"/>
      <c r="D6186"/>
      <c r="L6186"/>
      <c r="R6186"/>
      <c r="S6186"/>
      <c r="T6186"/>
      <c r="U6186"/>
    </row>
    <row r="6187" spans="1:21">
      <c r="A6187"/>
      <c r="C6187"/>
      <c r="D6187"/>
      <c r="L6187"/>
      <c r="R6187"/>
      <c r="S6187"/>
      <c r="T6187"/>
      <c r="U6187"/>
    </row>
    <row r="6188" spans="1:21">
      <c r="A6188"/>
      <c r="C6188"/>
      <c r="D6188"/>
      <c r="L6188"/>
      <c r="R6188"/>
      <c r="S6188"/>
      <c r="T6188"/>
      <c r="U6188"/>
    </row>
    <row r="6189" spans="1:21">
      <c r="A6189"/>
      <c r="C6189"/>
      <c r="D6189"/>
      <c r="L6189"/>
      <c r="R6189"/>
      <c r="S6189"/>
      <c r="T6189"/>
      <c r="U6189"/>
    </row>
    <row r="6190" spans="1:21">
      <c r="A6190"/>
      <c r="C6190"/>
      <c r="D6190"/>
      <c r="L6190"/>
      <c r="R6190"/>
      <c r="S6190"/>
      <c r="T6190"/>
      <c r="U6190"/>
    </row>
    <row r="6191" spans="1:21">
      <c r="A6191"/>
      <c r="C6191"/>
      <c r="D6191"/>
      <c r="L6191"/>
      <c r="R6191"/>
      <c r="S6191"/>
      <c r="T6191"/>
      <c r="U6191"/>
    </row>
    <row r="6192" spans="1:21">
      <c r="A6192"/>
      <c r="C6192"/>
      <c r="D6192"/>
      <c r="L6192"/>
      <c r="R6192"/>
      <c r="S6192"/>
      <c r="T6192"/>
      <c r="U6192"/>
    </row>
    <row r="6193" spans="1:21">
      <c r="A6193"/>
      <c r="C6193"/>
      <c r="D6193"/>
      <c r="L6193"/>
      <c r="R6193"/>
      <c r="S6193"/>
      <c r="T6193"/>
      <c r="U6193"/>
    </row>
    <row r="6194" spans="1:21">
      <c r="A6194"/>
      <c r="C6194"/>
      <c r="D6194"/>
      <c r="L6194"/>
      <c r="R6194"/>
      <c r="S6194"/>
      <c r="T6194"/>
      <c r="U6194"/>
    </row>
    <row r="6195" spans="1:21">
      <c r="A6195"/>
      <c r="C6195"/>
      <c r="D6195"/>
      <c r="L6195"/>
      <c r="R6195"/>
      <c r="S6195"/>
      <c r="T6195"/>
      <c r="U6195"/>
    </row>
    <row r="6196" spans="1:21">
      <c r="A6196"/>
      <c r="C6196"/>
      <c r="D6196"/>
      <c r="L6196"/>
      <c r="R6196"/>
      <c r="S6196"/>
      <c r="T6196"/>
      <c r="U6196"/>
    </row>
    <row r="6197" spans="1:21">
      <c r="A6197"/>
      <c r="C6197"/>
      <c r="D6197"/>
      <c r="L6197"/>
      <c r="R6197"/>
      <c r="S6197"/>
      <c r="T6197"/>
      <c r="U6197"/>
    </row>
    <row r="6198" spans="1:21">
      <c r="A6198"/>
      <c r="C6198"/>
      <c r="D6198"/>
      <c r="L6198"/>
      <c r="R6198"/>
      <c r="S6198"/>
      <c r="T6198"/>
      <c r="U6198"/>
    </row>
    <row r="6199" spans="1:21">
      <c r="A6199"/>
      <c r="C6199"/>
      <c r="D6199"/>
      <c r="L6199"/>
      <c r="R6199"/>
      <c r="S6199"/>
      <c r="T6199"/>
      <c r="U6199"/>
    </row>
    <row r="6200" spans="1:21">
      <c r="A6200"/>
      <c r="C6200"/>
      <c r="D6200"/>
      <c r="L6200"/>
      <c r="R6200"/>
      <c r="S6200"/>
      <c r="T6200"/>
      <c r="U6200"/>
    </row>
    <row r="6201" spans="1:21">
      <c r="A6201"/>
      <c r="C6201"/>
      <c r="D6201"/>
      <c r="L6201"/>
      <c r="R6201"/>
      <c r="S6201"/>
      <c r="T6201"/>
      <c r="U6201"/>
    </row>
    <row r="6202" spans="1:21">
      <c r="A6202"/>
      <c r="C6202"/>
      <c r="D6202"/>
      <c r="L6202"/>
      <c r="R6202"/>
      <c r="S6202"/>
      <c r="T6202"/>
      <c r="U6202"/>
    </row>
    <row r="6203" spans="1:21">
      <c r="A6203"/>
      <c r="C6203"/>
      <c r="D6203"/>
      <c r="L6203"/>
      <c r="R6203"/>
      <c r="S6203"/>
      <c r="T6203"/>
      <c r="U6203"/>
    </row>
    <row r="6204" spans="1:21">
      <c r="A6204"/>
      <c r="C6204"/>
      <c r="D6204"/>
      <c r="L6204"/>
      <c r="R6204"/>
      <c r="S6204"/>
      <c r="T6204"/>
      <c r="U6204"/>
    </row>
    <row r="6205" spans="1:21">
      <c r="A6205"/>
      <c r="C6205"/>
      <c r="D6205"/>
      <c r="L6205"/>
      <c r="R6205"/>
      <c r="S6205"/>
      <c r="T6205"/>
      <c r="U6205"/>
    </row>
    <row r="6206" spans="1:21">
      <c r="A6206"/>
      <c r="C6206"/>
      <c r="D6206"/>
      <c r="L6206"/>
      <c r="R6206"/>
      <c r="S6206"/>
      <c r="T6206"/>
      <c r="U6206"/>
    </row>
    <row r="6207" spans="1:21">
      <c r="A6207"/>
      <c r="C6207"/>
      <c r="D6207"/>
      <c r="L6207"/>
      <c r="R6207"/>
      <c r="S6207"/>
      <c r="T6207"/>
      <c r="U6207"/>
    </row>
    <row r="6208" spans="1:21">
      <c r="A6208"/>
      <c r="C6208"/>
      <c r="D6208"/>
      <c r="L6208"/>
      <c r="R6208"/>
      <c r="S6208"/>
      <c r="T6208"/>
      <c r="U6208"/>
    </row>
    <row r="6209" spans="1:21">
      <c r="A6209"/>
      <c r="C6209"/>
      <c r="D6209"/>
      <c r="L6209"/>
      <c r="R6209"/>
      <c r="S6209"/>
      <c r="T6209"/>
      <c r="U6209"/>
    </row>
    <row r="6210" spans="1:21">
      <c r="A6210"/>
      <c r="C6210"/>
      <c r="D6210"/>
      <c r="L6210"/>
      <c r="R6210"/>
      <c r="S6210"/>
      <c r="T6210"/>
      <c r="U6210"/>
    </row>
    <row r="6211" spans="1:21">
      <c r="A6211"/>
      <c r="C6211"/>
      <c r="D6211"/>
      <c r="L6211"/>
      <c r="R6211"/>
      <c r="S6211"/>
      <c r="T6211"/>
      <c r="U6211"/>
    </row>
    <row r="6212" spans="1:21">
      <c r="A6212"/>
      <c r="C6212"/>
      <c r="D6212"/>
      <c r="L6212"/>
      <c r="R6212"/>
      <c r="S6212"/>
      <c r="T6212"/>
      <c r="U6212"/>
    </row>
    <row r="6213" spans="1:21">
      <c r="A6213"/>
      <c r="C6213"/>
      <c r="D6213"/>
      <c r="L6213"/>
      <c r="R6213"/>
      <c r="S6213"/>
      <c r="T6213"/>
      <c r="U6213"/>
    </row>
    <row r="6214" spans="1:21">
      <c r="A6214"/>
      <c r="C6214"/>
      <c r="D6214"/>
      <c r="L6214"/>
      <c r="R6214"/>
      <c r="S6214"/>
      <c r="T6214"/>
      <c r="U6214"/>
    </row>
    <row r="6215" spans="1:21">
      <c r="A6215"/>
      <c r="C6215"/>
      <c r="D6215"/>
      <c r="L6215"/>
      <c r="R6215"/>
      <c r="S6215"/>
      <c r="T6215"/>
      <c r="U6215"/>
    </row>
    <row r="6216" spans="1:21">
      <c r="A6216"/>
      <c r="C6216"/>
      <c r="D6216"/>
      <c r="L6216"/>
      <c r="R6216"/>
      <c r="S6216"/>
      <c r="T6216"/>
      <c r="U6216"/>
    </row>
    <row r="6217" spans="1:21">
      <c r="A6217"/>
      <c r="C6217"/>
      <c r="D6217"/>
      <c r="L6217"/>
      <c r="R6217"/>
      <c r="S6217"/>
      <c r="T6217"/>
      <c r="U6217"/>
    </row>
    <row r="6218" spans="1:21">
      <c r="A6218"/>
      <c r="C6218"/>
      <c r="D6218"/>
      <c r="L6218"/>
      <c r="R6218"/>
      <c r="S6218"/>
      <c r="T6218"/>
      <c r="U6218"/>
    </row>
    <row r="6219" spans="1:21">
      <c r="A6219"/>
      <c r="C6219"/>
      <c r="D6219"/>
      <c r="L6219"/>
      <c r="R6219"/>
      <c r="S6219"/>
      <c r="T6219"/>
      <c r="U6219"/>
    </row>
    <row r="6220" spans="1:21">
      <c r="A6220"/>
      <c r="C6220"/>
      <c r="D6220"/>
      <c r="L6220"/>
      <c r="R6220"/>
      <c r="S6220"/>
      <c r="T6220"/>
      <c r="U6220"/>
    </row>
    <row r="6221" spans="1:21">
      <c r="A6221"/>
      <c r="C6221"/>
      <c r="D6221"/>
      <c r="L6221"/>
      <c r="R6221"/>
      <c r="S6221"/>
      <c r="T6221"/>
      <c r="U6221"/>
    </row>
    <row r="6222" spans="1:21">
      <c r="A6222"/>
      <c r="C6222"/>
      <c r="D6222"/>
      <c r="L6222"/>
      <c r="R6222"/>
      <c r="S6222"/>
      <c r="T6222"/>
      <c r="U6222"/>
    </row>
    <row r="6223" spans="1:21">
      <c r="A6223"/>
      <c r="C6223"/>
      <c r="D6223"/>
      <c r="L6223"/>
      <c r="R6223"/>
      <c r="S6223"/>
      <c r="T6223"/>
      <c r="U6223"/>
    </row>
    <row r="6224" spans="1:21">
      <c r="A6224"/>
      <c r="C6224"/>
      <c r="D6224"/>
      <c r="L6224"/>
      <c r="R6224"/>
      <c r="S6224"/>
      <c r="T6224"/>
      <c r="U6224"/>
    </row>
    <row r="6225" spans="1:21">
      <c r="A6225"/>
      <c r="C6225"/>
      <c r="D6225"/>
      <c r="L6225"/>
      <c r="R6225"/>
      <c r="S6225"/>
      <c r="T6225"/>
      <c r="U6225"/>
    </row>
    <row r="6226" spans="1:21">
      <c r="A6226"/>
      <c r="C6226"/>
      <c r="D6226"/>
      <c r="L6226"/>
      <c r="R6226"/>
      <c r="S6226"/>
      <c r="T6226"/>
      <c r="U6226"/>
    </row>
    <row r="6227" spans="1:21">
      <c r="A6227"/>
      <c r="C6227"/>
      <c r="D6227"/>
      <c r="L6227"/>
      <c r="R6227"/>
      <c r="S6227"/>
      <c r="T6227"/>
      <c r="U6227"/>
    </row>
    <row r="6228" spans="1:21">
      <c r="A6228"/>
      <c r="C6228"/>
      <c r="D6228"/>
      <c r="L6228"/>
      <c r="R6228"/>
      <c r="S6228"/>
      <c r="T6228"/>
      <c r="U6228"/>
    </row>
    <row r="6229" spans="1:21">
      <c r="A6229"/>
      <c r="C6229"/>
      <c r="D6229"/>
      <c r="L6229"/>
      <c r="R6229"/>
      <c r="S6229"/>
      <c r="T6229"/>
      <c r="U6229"/>
    </row>
    <row r="6230" spans="1:21">
      <c r="A6230"/>
      <c r="C6230"/>
      <c r="D6230"/>
      <c r="L6230"/>
      <c r="R6230"/>
      <c r="S6230"/>
      <c r="T6230"/>
      <c r="U6230"/>
    </row>
    <row r="6231" spans="1:21">
      <c r="A6231"/>
      <c r="C6231"/>
      <c r="D6231"/>
      <c r="L6231"/>
      <c r="R6231"/>
      <c r="S6231"/>
      <c r="T6231"/>
      <c r="U6231"/>
    </row>
    <row r="6232" spans="1:21">
      <c r="A6232"/>
      <c r="C6232"/>
      <c r="D6232"/>
      <c r="L6232"/>
      <c r="R6232"/>
      <c r="S6232"/>
      <c r="T6232"/>
      <c r="U6232"/>
    </row>
    <row r="6233" spans="1:21">
      <c r="A6233"/>
      <c r="C6233"/>
      <c r="D6233"/>
      <c r="L6233"/>
      <c r="R6233"/>
      <c r="S6233"/>
      <c r="T6233"/>
      <c r="U6233"/>
    </row>
    <row r="6234" spans="1:21">
      <c r="A6234"/>
      <c r="C6234"/>
      <c r="D6234"/>
      <c r="L6234"/>
      <c r="R6234"/>
      <c r="S6234"/>
      <c r="T6234"/>
      <c r="U6234"/>
    </row>
    <row r="6235" spans="1:21">
      <c r="A6235"/>
      <c r="C6235"/>
      <c r="D6235"/>
      <c r="L6235"/>
      <c r="R6235"/>
      <c r="S6235"/>
      <c r="T6235"/>
      <c r="U6235"/>
    </row>
    <row r="6236" spans="1:21">
      <c r="A6236"/>
      <c r="C6236"/>
      <c r="D6236"/>
      <c r="L6236"/>
      <c r="R6236"/>
      <c r="S6236"/>
      <c r="T6236"/>
      <c r="U6236"/>
    </row>
    <row r="6237" spans="1:21">
      <c r="A6237"/>
      <c r="C6237"/>
      <c r="D6237"/>
      <c r="L6237"/>
      <c r="R6237"/>
      <c r="S6237"/>
      <c r="T6237"/>
      <c r="U6237"/>
    </row>
    <row r="6238" spans="1:21">
      <c r="A6238"/>
      <c r="C6238"/>
      <c r="D6238"/>
      <c r="L6238"/>
      <c r="R6238"/>
      <c r="S6238"/>
      <c r="T6238"/>
      <c r="U6238"/>
    </row>
    <row r="6239" spans="1:21">
      <c r="A6239"/>
      <c r="C6239"/>
      <c r="D6239"/>
      <c r="L6239"/>
      <c r="R6239"/>
      <c r="S6239"/>
      <c r="T6239"/>
      <c r="U6239"/>
    </row>
    <row r="6240" spans="1:21">
      <c r="A6240"/>
      <c r="C6240"/>
      <c r="D6240"/>
      <c r="L6240"/>
      <c r="R6240"/>
      <c r="S6240"/>
      <c r="T6240"/>
      <c r="U6240"/>
    </row>
    <row r="6241" spans="1:21">
      <c r="A6241"/>
      <c r="C6241"/>
      <c r="D6241"/>
      <c r="L6241"/>
      <c r="R6241"/>
      <c r="S6241"/>
      <c r="T6241"/>
      <c r="U6241"/>
    </row>
    <row r="6242" spans="1:21">
      <c r="A6242"/>
      <c r="C6242"/>
      <c r="D6242"/>
      <c r="L6242"/>
      <c r="R6242"/>
      <c r="S6242"/>
      <c r="T6242"/>
      <c r="U6242"/>
    </row>
    <row r="6243" spans="1:21">
      <c r="A6243"/>
      <c r="C6243"/>
      <c r="D6243"/>
      <c r="L6243"/>
      <c r="R6243"/>
      <c r="S6243"/>
      <c r="T6243"/>
      <c r="U6243"/>
    </row>
    <row r="6244" spans="1:21">
      <c r="A6244"/>
      <c r="C6244"/>
      <c r="D6244"/>
      <c r="L6244"/>
      <c r="R6244"/>
      <c r="S6244"/>
      <c r="T6244"/>
      <c r="U6244"/>
    </row>
    <row r="6245" spans="1:21">
      <c r="A6245"/>
      <c r="C6245"/>
      <c r="D6245"/>
      <c r="L6245"/>
      <c r="R6245"/>
      <c r="S6245"/>
      <c r="T6245"/>
      <c r="U6245"/>
    </row>
    <row r="6246" spans="1:21">
      <c r="A6246"/>
      <c r="C6246"/>
      <c r="D6246"/>
      <c r="L6246"/>
      <c r="R6246"/>
      <c r="S6246"/>
      <c r="T6246"/>
      <c r="U6246"/>
    </row>
    <row r="6247" spans="1:21">
      <c r="A6247"/>
      <c r="C6247"/>
      <c r="D6247"/>
      <c r="L6247"/>
      <c r="R6247"/>
      <c r="S6247"/>
      <c r="T6247"/>
      <c r="U6247"/>
    </row>
    <row r="6248" spans="1:21">
      <c r="A6248"/>
      <c r="C6248"/>
      <c r="D6248"/>
      <c r="L6248"/>
      <c r="R6248"/>
      <c r="S6248"/>
      <c r="T6248"/>
      <c r="U6248"/>
    </row>
    <row r="6249" spans="1:21">
      <c r="A6249"/>
      <c r="C6249"/>
      <c r="D6249"/>
      <c r="L6249"/>
      <c r="R6249"/>
      <c r="S6249"/>
      <c r="T6249"/>
      <c r="U6249"/>
    </row>
    <row r="6250" spans="1:21">
      <c r="A6250"/>
      <c r="C6250"/>
      <c r="D6250"/>
      <c r="L6250"/>
      <c r="R6250"/>
      <c r="S6250"/>
      <c r="T6250"/>
      <c r="U6250"/>
    </row>
    <row r="6251" spans="1:21">
      <c r="A6251"/>
      <c r="C6251"/>
      <c r="D6251"/>
      <c r="L6251"/>
      <c r="R6251"/>
      <c r="S6251"/>
      <c r="T6251"/>
      <c r="U6251"/>
    </row>
    <row r="6252" spans="1:21">
      <c r="A6252"/>
      <c r="C6252"/>
      <c r="D6252"/>
      <c r="L6252"/>
      <c r="R6252"/>
      <c r="S6252"/>
      <c r="T6252"/>
      <c r="U6252"/>
    </row>
    <row r="6253" spans="1:21">
      <c r="A6253"/>
      <c r="C6253"/>
      <c r="D6253"/>
      <c r="L6253"/>
      <c r="R6253"/>
      <c r="S6253"/>
      <c r="T6253"/>
      <c r="U6253"/>
    </row>
    <row r="6254" spans="1:21">
      <c r="A6254"/>
      <c r="C6254"/>
      <c r="D6254"/>
      <c r="L6254"/>
      <c r="R6254"/>
      <c r="S6254"/>
      <c r="T6254"/>
      <c r="U6254"/>
    </row>
    <row r="6255" spans="1:21">
      <c r="A6255"/>
      <c r="C6255"/>
      <c r="D6255"/>
      <c r="L6255"/>
      <c r="R6255"/>
      <c r="S6255"/>
      <c r="T6255"/>
      <c r="U6255"/>
    </row>
    <row r="6256" spans="1:21">
      <c r="A6256"/>
      <c r="C6256"/>
      <c r="D6256"/>
      <c r="L6256"/>
      <c r="R6256"/>
      <c r="S6256"/>
      <c r="T6256"/>
      <c r="U6256"/>
    </row>
    <row r="6257" spans="1:21">
      <c r="A6257"/>
      <c r="C6257"/>
      <c r="D6257"/>
      <c r="L6257"/>
      <c r="R6257"/>
      <c r="S6257"/>
      <c r="T6257"/>
      <c r="U6257"/>
    </row>
    <row r="6258" spans="1:21">
      <c r="A6258"/>
      <c r="C6258"/>
      <c r="D6258"/>
      <c r="L6258"/>
      <c r="R6258"/>
      <c r="S6258"/>
      <c r="T6258"/>
      <c r="U6258"/>
    </row>
    <row r="6259" spans="1:21">
      <c r="A6259"/>
      <c r="C6259"/>
      <c r="D6259"/>
      <c r="L6259"/>
      <c r="R6259"/>
      <c r="S6259"/>
      <c r="T6259"/>
      <c r="U6259"/>
    </row>
    <row r="6260" spans="1:21">
      <c r="A6260"/>
      <c r="C6260"/>
      <c r="D6260"/>
      <c r="L6260"/>
      <c r="R6260"/>
      <c r="S6260"/>
      <c r="T6260"/>
      <c r="U6260"/>
    </row>
    <row r="6261" spans="1:21">
      <c r="A6261"/>
      <c r="C6261"/>
      <c r="D6261"/>
      <c r="L6261"/>
      <c r="R6261"/>
      <c r="S6261"/>
      <c r="T6261"/>
      <c r="U6261"/>
    </row>
    <row r="6262" spans="1:21">
      <c r="A6262"/>
      <c r="C6262"/>
      <c r="D6262"/>
      <c r="L6262"/>
      <c r="R6262"/>
      <c r="S6262"/>
      <c r="T6262"/>
      <c r="U6262"/>
    </row>
    <row r="6263" spans="1:21">
      <c r="A6263"/>
      <c r="C6263"/>
      <c r="D6263"/>
      <c r="L6263"/>
      <c r="R6263"/>
      <c r="S6263"/>
      <c r="T6263"/>
      <c r="U6263"/>
    </row>
    <row r="6264" spans="1:21">
      <c r="A6264"/>
      <c r="C6264"/>
      <c r="D6264"/>
      <c r="L6264"/>
      <c r="R6264"/>
      <c r="S6264"/>
      <c r="T6264"/>
      <c r="U6264"/>
    </row>
    <row r="6265" spans="1:21">
      <c r="A6265"/>
      <c r="C6265"/>
      <c r="D6265"/>
      <c r="L6265"/>
      <c r="R6265"/>
      <c r="S6265"/>
      <c r="T6265"/>
      <c r="U6265"/>
    </row>
    <row r="6266" spans="1:21">
      <c r="A6266"/>
      <c r="C6266"/>
      <c r="D6266"/>
      <c r="L6266"/>
      <c r="R6266"/>
      <c r="S6266"/>
      <c r="T6266"/>
      <c r="U6266"/>
    </row>
    <row r="6267" spans="1:21">
      <c r="A6267"/>
      <c r="C6267"/>
      <c r="D6267"/>
      <c r="L6267"/>
      <c r="R6267"/>
      <c r="S6267"/>
      <c r="T6267"/>
      <c r="U6267"/>
    </row>
    <row r="6268" spans="1:21">
      <c r="A6268"/>
      <c r="C6268"/>
      <c r="D6268"/>
      <c r="L6268"/>
      <c r="R6268"/>
      <c r="S6268"/>
      <c r="T6268"/>
      <c r="U6268"/>
    </row>
    <row r="6269" spans="1:21">
      <c r="A6269"/>
      <c r="C6269"/>
      <c r="D6269"/>
      <c r="L6269"/>
      <c r="R6269"/>
      <c r="S6269"/>
      <c r="T6269"/>
      <c r="U6269"/>
    </row>
    <row r="6270" spans="1:21">
      <c r="A6270"/>
      <c r="C6270"/>
      <c r="D6270"/>
      <c r="L6270"/>
      <c r="R6270"/>
      <c r="S6270"/>
      <c r="T6270"/>
      <c r="U6270"/>
    </row>
    <row r="6271" spans="1:21">
      <c r="A6271"/>
      <c r="C6271"/>
      <c r="D6271"/>
      <c r="L6271"/>
      <c r="R6271"/>
      <c r="S6271"/>
      <c r="T6271"/>
      <c r="U6271"/>
    </row>
    <row r="6272" spans="1:21">
      <c r="A6272"/>
      <c r="C6272"/>
      <c r="D6272"/>
      <c r="L6272"/>
      <c r="R6272"/>
      <c r="S6272"/>
      <c r="T6272"/>
      <c r="U6272"/>
    </row>
    <row r="6273" spans="1:21">
      <c r="A6273"/>
      <c r="C6273"/>
      <c r="D6273"/>
      <c r="L6273"/>
      <c r="R6273"/>
      <c r="S6273"/>
      <c r="T6273"/>
      <c r="U6273"/>
    </row>
    <row r="6274" spans="1:21">
      <c r="A6274"/>
      <c r="C6274"/>
      <c r="D6274"/>
      <c r="L6274"/>
      <c r="R6274"/>
      <c r="S6274"/>
      <c r="T6274"/>
      <c r="U6274"/>
    </row>
    <row r="6275" spans="1:21">
      <c r="A6275"/>
      <c r="C6275"/>
      <c r="D6275"/>
      <c r="L6275"/>
      <c r="R6275"/>
      <c r="S6275"/>
      <c r="T6275"/>
      <c r="U6275"/>
    </row>
    <row r="6276" spans="1:21">
      <c r="A6276"/>
      <c r="C6276"/>
      <c r="D6276"/>
      <c r="L6276"/>
      <c r="R6276"/>
      <c r="S6276"/>
      <c r="T6276"/>
      <c r="U6276"/>
    </row>
    <row r="6277" spans="1:21">
      <c r="A6277"/>
      <c r="C6277"/>
      <c r="D6277"/>
      <c r="L6277"/>
      <c r="R6277"/>
      <c r="S6277"/>
      <c r="T6277"/>
      <c r="U6277"/>
    </row>
    <row r="6278" spans="1:21">
      <c r="A6278"/>
      <c r="C6278"/>
      <c r="D6278"/>
      <c r="L6278"/>
      <c r="R6278"/>
      <c r="S6278"/>
      <c r="T6278"/>
      <c r="U6278"/>
    </row>
    <row r="6279" spans="1:21">
      <c r="A6279"/>
      <c r="C6279"/>
      <c r="D6279"/>
      <c r="L6279"/>
      <c r="R6279"/>
      <c r="S6279"/>
      <c r="T6279"/>
      <c r="U6279"/>
    </row>
    <row r="6280" spans="1:21">
      <c r="A6280"/>
      <c r="C6280"/>
      <c r="D6280"/>
      <c r="L6280"/>
      <c r="R6280"/>
      <c r="S6280"/>
      <c r="T6280"/>
      <c r="U6280"/>
    </row>
    <row r="6281" spans="1:21">
      <c r="A6281"/>
      <c r="C6281"/>
      <c r="D6281"/>
      <c r="L6281"/>
      <c r="R6281"/>
      <c r="S6281"/>
      <c r="T6281"/>
      <c r="U6281"/>
    </row>
    <row r="6282" spans="1:21">
      <c r="A6282"/>
      <c r="C6282"/>
      <c r="D6282"/>
      <c r="L6282"/>
      <c r="R6282"/>
      <c r="S6282"/>
      <c r="T6282"/>
      <c r="U6282"/>
    </row>
    <row r="6283" spans="1:21">
      <c r="A6283"/>
      <c r="C6283"/>
      <c r="D6283"/>
      <c r="L6283"/>
      <c r="R6283"/>
      <c r="S6283"/>
      <c r="T6283"/>
      <c r="U6283"/>
    </row>
    <row r="6284" spans="1:21">
      <c r="A6284"/>
      <c r="C6284"/>
      <c r="D6284"/>
      <c r="L6284"/>
      <c r="R6284"/>
      <c r="S6284"/>
      <c r="T6284"/>
      <c r="U6284"/>
    </row>
    <row r="6285" spans="1:21">
      <c r="A6285"/>
      <c r="C6285"/>
      <c r="D6285"/>
      <c r="L6285"/>
      <c r="R6285"/>
      <c r="S6285"/>
      <c r="T6285"/>
      <c r="U6285"/>
    </row>
    <row r="6286" spans="1:21">
      <c r="A6286"/>
      <c r="C6286"/>
      <c r="D6286"/>
      <c r="L6286"/>
      <c r="R6286"/>
      <c r="S6286"/>
      <c r="T6286"/>
      <c r="U6286"/>
    </row>
    <row r="6287" spans="1:21">
      <c r="A6287"/>
      <c r="C6287"/>
      <c r="D6287"/>
      <c r="L6287"/>
      <c r="R6287"/>
      <c r="S6287"/>
      <c r="T6287"/>
      <c r="U6287"/>
    </row>
    <row r="6288" spans="1:21">
      <c r="A6288"/>
      <c r="C6288"/>
      <c r="D6288"/>
      <c r="L6288"/>
      <c r="R6288"/>
      <c r="S6288"/>
      <c r="T6288"/>
      <c r="U6288"/>
    </row>
    <row r="6289" spans="1:21">
      <c r="A6289"/>
      <c r="C6289"/>
      <c r="D6289"/>
      <c r="L6289"/>
      <c r="R6289"/>
      <c r="S6289"/>
      <c r="T6289"/>
      <c r="U6289"/>
    </row>
    <row r="6290" spans="1:21">
      <c r="A6290"/>
      <c r="C6290"/>
      <c r="D6290"/>
      <c r="L6290"/>
      <c r="R6290"/>
      <c r="S6290"/>
      <c r="T6290"/>
      <c r="U6290"/>
    </row>
    <row r="6291" spans="1:21">
      <c r="A6291"/>
      <c r="C6291"/>
      <c r="D6291"/>
      <c r="L6291"/>
      <c r="R6291"/>
      <c r="S6291"/>
      <c r="T6291"/>
      <c r="U6291"/>
    </row>
    <row r="6292" spans="1:21">
      <c r="A6292"/>
      <c r="C6292"/>
      <c r="D6292"/>
      <c r="L6292"/>
      <c r="R6292"/>
      <c r="S6292"/>
      <c r="T6292"/>
      <c r="U6292"/>
    </row>
    <row r="6293" spans="1:21">
      <c r="A6293"/>
      <c r="C6293"/>
      <c r="D6293"/>
      <c r="L6293"/>
      <c r="R6293"/>
      <c r="S6293"/>
      <c r="T6293"/>
      <c r="U6293"/>
    </row>
    <row r="6294" spans="1:21">
      <c r="A6294"/>
      <c r="C6294"/>
      <c r="D6294"/>
      <c r="L6294"/>
      <c r="R6294"/>
      <c r="S6294"/>
      <c r="T6294"/>
      <c r="U6294"/>
    </row>
    <row r="6295" spans="1:21">
      <c r="A6295"/>
      <c r="C6295"/>
      <c r="D6295"/>
      <c r="L6295"/>
      <c r="R6295"/>
      <c r="S6295"/>
      <c r="T6295"/>
      <c r="U6295"/>
    </row>
    <row r="6296" spans="1:21">
      <c r="A6296"/>
      <c r="C6296"/>
      <c r="D6296"/>
      <c r="L6296"/>
      <c r="R6296"/>
      <c r="S6296"/>
      <c r="T6296"/>
      <c r="U6296"/>
    </row>
    <row r="6297" spans="1:21">
      <c r="A6297"/>
      <c r="C6297"/>
      <c r="D6297"/>
      <c r="L6297"/>
      <c r="R6297"/>
      <c r="S6297"/>
      <c r="T6297"/>
      <c r="U6297"/>
    </row>
    <row r="6298" spans="1:21">
      <c r="A6298"/>
      <c r="C6298"/>
      <c r="D6298"/>
      <c r="L6298"/>
      <c r="R6298"/>
      <c r="S6298"/>
      <c r="T6298"/>
      <c r="U6298"/>
    </row>
    <row r="6299" spans="1:21">
      <c r="A6299"/>
      <c r="C6299"/>
      <c r="D6299"/>
      <c r="L6299"/>
      <c r="R6299"/>
      <c r="S6299"/>
      <c r="T6299"/>
      <c r="U6299"/>
    </row>
    <row r="6300" spans="1:21">
      <c r="A6300"/>
      <c r="C6300"/>
      <c r="D6300"/>
      <c r="L6300"/>
      <c r="R6300"/>
      <c r="S6300"/>
      <c r="T6300"/>
      <c r="U6300"/>
    </row>
    <row r="6301" spans="1:21">
      <c r="A6301"/>
      <c r="C6301"/>
      <c r="D6301"/>
      <c r="L6301"/>
      <c r="R6301"/>
      <c r="S6301"/>
      <c r="T6301"/>
      <c r="U6301"/>
    </row>
    <row r="6302" spans="1:21">
      <c r="A6302"/>
      <c r="C6302"/>
      <c r="D6302"/>
      <c r="L6302"/>
      <c r="R6302"/>
      <c r="S6302"/>
      <c r="T6302"/>
      <c r="U6302"/>
    </row>
    <row r="6303" spans="1:21">
      <c r="A6303"/>
      <c r="C6303"/>
      <c r="D6303"/>
      <c r="L6303"/>
      <c r="R6303"/>
      <c r="S6303"/>
      <c r="T6303"/>
      <c r="U6303"/>
    </row>
    <row r="6304" spans="1:21">
      <c r="A6304"/>
      <c r="C6304"/>
      <c r="D6304"/>
      <c r="L6304"/>
      <c r="R6304"/>
      <c r="S6304"/>
      <c r="T6304"/>
      <c r="U6304"/>
    </row>
    <row r="6305" spans="1:21">
      <c r="A6305"/>
      <c r="C6305"/>
      <c r="D6305"/>
      <c r="L6305"/>
      <c r="R6305"/>
      <c r="S6305"/>
      <c r="T6305"/>
      <c r="U6305"/>
    </row>
    <row r="6306" spans="1:21">
      <c r="A6306"/>
      <c r="C6306"/>
      <c r="D6306"/>
      <c r="L6306"/>
      <c r="R6306"/>
      <c r="S6306"/>
      <c r="T6306"/>
      <c r="U6306"/>
    </row>
    <row r="6307" spans="1:21">
      <c r="A6307"/>
      <c r="C6307"/>
      <c r="D6307"/>
      <c r="L6307"/>
      <c r="R6307"/>
      <c r="S6307"/>
      <c r="T6307"/>
      <c r="U6307"/>
    </row>
    <row r="6308" spans="1:21">
      <c r="A6308"/>
      <c r="C6308"/>
      <c r="D6308"/>
      <c r="L6308"/>
      <c r="R6308"/>
      <c r="S6308"/>
      <c r="T6308"/>
      <c r="U6308"/>
    </row>
    <row r="6309" spans="1:21">
      <c r="A6309"/>
      <c r="C6309"/>
      <c r="D6309"/>
      <c r="L6309"/>
      <c r="R6309"/>
      <c r="S6309"/>
      <c r="T6309"/>
      <c r="U6309"/>
    </row>
    <row r="6310" spans="1:21">
      <c r="A6310"/>
      <c r="C6310"/>
      <c r="D6310"/>
      <c r="L6310"/>
      <c r="R6310"/>
      <c r="S6310"/>
      <c r="T6310"/>
      <c r="U6310"/>
    </row>
    <row r="6311" spans="1:21">
      <c r="A6311"/>
      <c r="C6311"/>
      <c r="D6311"/>
      <c r="L6311"/>
      <c r="R6311"/>
      <c r="S6311"/>
      <c r="T6311"/>
      <c r="U6311"/>
    </row>
    <row r="6312" spans="1:21">
      <c r="A6312"/>
      <c r="C6312"/>
      <c r="D6312"/>
      <c r="L6312"/>
      <c r="R6312"/>
      <c r="S6312"/>
      <c r="T6312"/>
      <c r="U6312"/>
    </row>
    <row r="6313" spans="1:21">
      <c r="A6313"/>
      <c r="C6313"/>
      <c r="D6313"/>
      <c r="L6313"/>
      <c r="R6313"/>
      <c r="S6313"/>
      <c r="T6313"/>
      <c r="U6313"/>
    </row>
    <row r="6314" spans="1:21">
      <c r="A6314"/>
      <c r="C6314"/>
      <c r="D6314"/>
      <c r="L6314"/>
      <c r="R6314"/>
      <c r="S6314"/>
      <c r="T6314"/>
      <c r="U6314"/>
    </row>
    <row r="6315" spans="1:21">
      <c r="A6315"/>
      <c r="C6315"/>
      <c r="D6315"/>
      <c r="L6315"/>
      <c r="R6315"/>
      <c r="S6315"/>
      <c r="T6315"/>
      <c r="U6315"/>
    </row>
    <row r="6316" spans="1:21">
      <c r="A6316"/>
      <c r="C6316"/>
      <c r="D6316"/>
      <c r="L6316"/>
      <c r="R6316"/>
      <c r="S6316"/>
      <c r="T6316"/>
      <c r="U6316"/>
    </row>
    <row r="6317" spans="1:21">
      <c r="A6317"/>
      <c r="C6317"/>
      <c r="D6317"/>
      <c r="L6317"/>
      <c r="R6317"/>
      <c r="S6317"/>
      <c r="T6317"/>
      <c r="U6317"/>
    </row>
    <row r="6318" spans="1:21">
      <c r="A6318"/>
      <c r="C6318"/>
      <c r="D6318"/>
      <c r="L6318"/>
      <c r="R6318"/>
      <c r="S6318"/>
      <c r="T6318"/>
      <c r="U6318"/>
    </row>
    <row r="6319" spans="1:21">
      <c r="A6319"/>
      <c r="C6319"/>
      <c r="D6319"/>
      <c r="L6319"/>
      <c r="R6319"/>
      <c r="S6319"/>
      <c r="T6319"/>
      <c r="U6319"/>
    </row>
    <row r="6320" spans="1:21">
      <c r="A6320"/>
      <c r="C6320"/>
      <c r="D6320"/>
      <c r="L6320"/>
      <c r="R6320"/>
      <c r="S6320"/>
      <c r="T6320"/>
      <c r="U6320"/>
    </row>
    <row r="6321" spans="1:21">
      <c r="A6321"/>
      <c r="C6321"/>
      <c r="D6321"/>
      <c r="L6321"/>
      <c r="R6321"/>
      <c r="S6321"/>
      <c r="T6321"/>
      <c r="U6321"/>
    </row>
    <row r="6322" spans="1:21">
      <c r="A6322"/>
      <c r="C6322"/>
      <c r="D6322"/>
      <c r="L6322"/>
      <c r="R6322"/>
      <c r="S6322"/>
      <c r="T6322"/>
      <c r="U6322"/>
    </row>
    <row r="6323" spans="1:21">
      <c r="A6323"/>
      <c r="C6323"/>
      <c r="D6323"/>
      <c r="L6323"/>
      <c r="R6323"/>
      <c r="S6323"/>
      <c r="T6323"/>
      <c r="U6323"/>
    </row>
    <row r="6324" spans="1:21">
      <c r="A6324"/>
      <c r="C6324"/>
      <c r="D6324"/>
      <c r="L6324"/>
      <c r="R6324"/>
      <c r="S6324"/>
      <c r="T6324"/>
      <c r="U6324"/>
    </row>
    <row r="6325" spans="1:21">
      <c r="A6325"/>
      <c r="C6325"/>
      <c r="D6325"/>
      <c r="L6325"/>
      <c r="R6325"/>
      <c r="S6325"/>
      <c r="T6325"/>
      <c r="U6325"/>
    </row>
    <row r="6326" spans="1:21">
      <c r="A6326"/>
      <c r="C6326"/>
      <c r="D6326"/>
      <c r="L6326"/>
      <c r="R6326"/>
      <c r="S6326"/>
      <c r="T6326"/>
      <c r="U6326"/>
    </row>
    <row r="6327" spans="1:21">
      <c r="A6327"/>
      <c r="C6327"/>
      <c r="D6327"/>
      <c r="L6327"/>
      <c r="R6327"/>
      <c r="S6327"/>
      <c r="T6327"/>
      <c r="U6327"/>
    </row>
    <row r="6328" spans="1:21">
      <c r="A6328"/>
      <c r="C6328"/>
      <c r="D6328"/>
      <c r="L6328"/>
      <c r="R6328"/>
      <c r="S6328"/>
      <c r="T6328"/>
      <c r="U6328"/>
    </row>
    <row r="6329" spans="1:21">
      <c r="A6329"/>
      <c r="C6329"/>
      <c r="D6329"/>
      <c r="L6329"/>
      <c r="R6329"/>
      <c r="S6329"/>
      <c r="T6329"/>
      <c r="U6329"/>
    </row>
    <row r="6330" spans="1:21">
      <c r="A6330"/>
      <c r="C6330"/>
      <c r="D6330"/>
      <c r="L6330"/>
      <c r="R6330"/>
      <c r="S6330"/>
      <c r="T6330"/>
      <c r="U6330"/>
    </row>
    <row r="6331" spans="1:21">
      <c r="A6331"/>
      <c r="C6331"/>
      <c r="D6331"/>
      <c r="L6331"/>
      <c r="R6331"/>
      <c r="S6331"/>
      <c r="T6331"/>
      <c r="U6331"/>
    </row>
    <row r="6332" spans="1:21">
      <c r="A6332"/>
      <c r="C6332"/>
      <c r="D6332"/>
      <c r="L6332"/>
      <c r="R6332"/>
      <c r="S6332"/>
      <c r="T6332"/>
      <c r="U6332"/>
    </row>
    <row r="6333" spans="1:21">
      <c r="A6333"/>
      <c r="C6333"/>
      <c r="D6333"/>
      <c r="L6333"/>
      <c r="R6333"/>
      <c r="S6333"/>
      <c r="T6333"/>
      <c r="U6333"/>
    </row>
    <row r="6334" spans="1:21">
      <c r="A6334"/>
      <c r="C6334"/>
      <c r="D6334"/>
      <c r="L6334"/>
      <c r="R6334"/>
      <c r="S6334"/>
      <c r="T6334"/>
      <c r="U6334"/>
    </row>
    <row r="6335" spans="1:21">
      <c r="A6335"/>
      <c r="C6335"/>
      <c r="D6335"/>
      <c r="L6335"/>
      <c r="R6335"/>
      <c r="S6335"/>
      <c r="T6335"/>
      <c r="U6335"/>
    </row>
    <row r="6336" spans="1:21">
      <c r="A6336"/>
      <c r="C6336"/>
      <c r="D6336"/>
      <c r="L6336"/>
      <c r="R6336"/>
      <c r="S6336"/>
      <c r="T6336"/>
      <c r="U6336"/>
    </row>
    <row r="6337" spans="1:21">
      <c r="A6337"/>
      <c r="C6337"/>
      <c r="D6337"/>
      <c r="L6337"/>
      <c r="R6337"/>
      <c r="S6337"/>
      <c r="T6337"/>
      <c r="U6337"/>
    </row>
    <row r="6338" spans="1:21">
      <c r="A6338"/>
      <c r="C6338"/>
      <c r="D6338"/>
      <c r="L6338"/>
      <c r="R6338"/>
      <c r="S6338"/>
      <c r="T6338"/>
      <c r="U6338"/>
    </row>
    <row r="6339" spans="1:21">
      <c r="A6339"/>
      <c r="C6339"/>
      <c r="D6339"/>
      <c r="L6339"/>
      <c r="R6339"/>
      <c r="S6339"/>
      <c r="T6339"/>
      <c r="U6339"/>
    </row>
    <row r="6340" spans="1:21">
      <c r="A6340"/>
      <c r="C6340"/>
      <c r="D6340"/>
      <c r="L6340"/>
      <c r="R6340"/>
      <c r="S6340"/>
      <c r="T6340"/>
      <c r="U6340"/>
    </row>
    <row r="6341" spans="1:21">
      <c r="A6341"/>
      <c r="C6341"/>
      <c r="D6341"/>
      <c r="L6341"/>
      <c r="R6341"/>
      <c r="S6341"/>
      <c r="T6341"/>
      <c r="U6341"/>
    </row>
    <row r="6342" spans="1:21">
      <c r="A6342"/>
      <c r="C6342"/>
      <c r="D6342"/>
      <c r="L6342"/>
      <c r="R6342"/>
      <c r="S6342"/>
      <c r="T6342"/>
      <c r="U6342"/>
    </row>
    <row r="6343" spans="1:21">
      <c r="A6343"/>
      <c r="C6343"/>
      <c r="D6343"/>
      <c r="L6343"/>
      <c r="R6343"/>
      <c r="S6343"/>
      <c r="T6343"/>
      <c r="U6343"/>
    </row>
    <row r="6344" spans="1:21">
      <c r="A6344"/>
      <c r="C6344"/>
      <c r="D6344"/>
      <c r="L6344"/>
      <c r="R6344"/>
      <c r="S6344"/>
      <c r="T6344"/>
      <c r="U6344"/>
    </row>
    <row r="6345" spans="1:21">
      <c r="A6345"/>
      <c r="C6345"/>
      <c r="D6345"/>
      <c r="L6345"/>
      <c r="R6345"/>
      <c r="S6345"/>
      <c r="T6345"/>
      <c r="U6345"/>
    </row>
    <row r="6346" spans="1:21">
      <c r="A6346"/>
      <c r="C6346"/>
      <c r="D6346"/>
      <c r="L6346"/>
      <c r="R6346"/>
      <c r="S6346"/>
      <c r="T6346"/>
      <c r="U6346"/>
    </row>
    <row r="6347" spans="1:21">
      <c r="A6347"/>
      <c r="C6347"/>
      <c r="D6347"/>
      <c r="L6347"/>
      <c r="R6347"/>
      <c r="S6347"/>
      <c r="T6347"/>
      <c r="U6347"/>
    </row>
    <row r="6348" spans="1:21">
      <c r="A6348"/>
      <c r="C6348"/>
      <c r="D6348"/>
      <c r="L6348"/>
      <c r="R6348"/>
      <c r="S6348"/>
      <c r="T6348"/>
      <c r="U6348"/>
    </row>
    <row r="6349" spans="1:21">
      <c r="A6349"/>
      <c r="C6349"/>
      <c r="D6349"/>
      <c r="L6349"/>
      <c r="R6349"/>
      <c r="S6349"/>
      <c r="T6349"/>
      <c r="U6349"/>
    </row>
    <row r="6350" spans="1:21">
      <c r="A6350"/>
      <c r="C6350"/>
      <c r="D6350"/>
      <c r="L6350"/>
      <c r="R6350"/>
      <c r="S6350"/>
      <c r="T6350"/>
      <c r="U6350"/>
    </row>
    <row r="6351" spans="1:21">
      <c r="A6351"/>
      <c r="C6351"/>
      <c r="D6351"/>
      <c r="L6351"/>
      <c r="R6351"/>
      <c r="S6351"/>
      <c r="T6351"/>
      <c r="U6351"/>
    </row>
    <row r="6352" spans="1:21">
      <c r="A6352"/>
      <c r="C6352"/>
      <c r="D6352"/>
      <c r="L6352"/>
      <c r="R6352"/>
      <c r="S6352"/>
      <c r="T6352"/>
      <c r="U6352"/>
    </row>
    <row r="6353" spans="1:21">
      <c r="A6353"/>
      <c r="C6353"/>
      <c r="D6353"/>
      <c r="L6353"/>
      <c r="R6353"/>
      <c r="S6353"/>
      <c r="T6353"/>
      <c r="U6353"/>
    </row>
    <row r="6354" spans="1:21">
      <c r="A6354"/>
      <c r="C6354"/>
      <c r="D6354"/>
      <c r="L6354"/>
      <c r="R6354"/>
      <c r="S6354"/>
      <c r="T6354"/>
      <c r="U6354"/>
    </row>
    <row r="6355" spans="1:21">
      <c r="A6355"/>
      <c r="C6355"/>
      <c r="D6355"/>
      <c r="L6355"/>
      <c r="R6355"/>
      <c r="S6355"/>
      <c r="T6355"/>
      <c r="U6355"/>
    </row>
    <row r="6356" spans="1:21">
      <c r="A6356"/>
      <c r="C6356"/>
      <c r="D6356"/>
      <c r="L6356"/>
      <c r="R6356"/>
      <c r="S6356"/>
      <c r="T6356"/>
      <c r="U6356"/>
    </row>
    <row r="6357" spans="1:21">
      <c r="A6357"/>
      <c r="C6357"/>
      <c r="D6357"/>
      <c r="L6357"/>
      <c r="R6357"/>
      <c r="S6357"/>
      <c r="T6357"/>
      <c r="U6357"/>
    </row>
    <row r="6358" spans="1:21">
      <c r="A6358"/>
      <c r="C6358"/>
      <c r="D6358"/>
      <c r="L6358"/>
      <c r="R6358"/>
      <c r="S6358"/>
      <c r="T6358"/>
      <c r="U6358"/>
    </row>
    <row r="6359" spans="1:21">
      <c r="A6359"/>
      <c r="C6359"/>
      <c r="D6359"/>
      <c r="L6359"/>
      <c r="R6359"/>
      <c r="S6359"/>
      <c r="T6359"/>
      <c r="U6359"/>
    </row>
    <row r="6360" spans="1:21">
      <c r="A6360"/>
      <c r="C6360"/>
      <c r="D6360"/>
      <c r="L6360"/>
      <c r="R6360"/>
      <c r="S6360"/>
      <c r="T6360"/>
      <c r="U6360"/>
    </row>
    <row r="6361" spans="1:21">
      <c r="A6361"/>
      <c r="C6361"/>
      <c r="D6361"/>
      <c r="L6361"/>
      <c r="R6361"/>
      <c r="S6361"/>
      <c r="T6361"/>
      <c r="U6361"/>
    </row>
    <row r="6362" spans="1:21">
      <c r="A6362"/>
      <c r="C6362"/>
      <c r="D6362"/>
      <c r="L6362"/>
      <c r="R6362"/>
      <c r="S6362"/>
      <c r="T6362"/>
      <c r="U6362"/>
    </row>
    <row r="6363" spans="1:21">
      <c r="A6363"/>
      <c r="C6363"/>
      <c r="D6363"/>
      <c r="L6363"/>
      <c r="R6363"/>
      <c r="S6363"/>
      <c r="T6363"/>
      <c r="U6363"/>
    </row>
    <row r="6364" spans="1:21">
      <c r="A6364"/>
      <c r="C6364"/>
      <c r="D6364"/>
      <c r="L6364"/>
      <c r="R6364"/>
      <c r="S6364"/>
      <c r="T6364"/>
      <c r="U6364"/>
    </row>
    <row r="6365" spans="1:21">
      <c r="A6365"/>
      <c r="C6365"/>
      <c r="D6365"/>
      <c r="L6365"/>
      <c r="R6365"/>
      <c r="S6365"/>
      <c r="T6365"/>
      <c r="U6365"/>
    </row>
    <row r="6366" spans="1:21">
      <c r="A6366"/>
      <c r="C6366"/>
      <c r="D6366"/>
      <c r="L6366"/>
      <c r="R6366"/>
      <c r="S6366"/>
      <c r="T6366"/>
      <c r="U6366"/>
    </row>
    <row r="6367" spans="1:21">
      <c r="A6367"/>
      <c r="C6367"/>
      <c r="D6367"/>
      <c r="L6367"/>
      <c r="R6367"/>
      <c r="S6367"/>
      <c r="T6367"/>
      <c r="U6367"/>
    </row>
    <row r="6368" spans="1:21">
      <c r="A6368"/>
      <c r="C6368"/>
      <c r="D6368"/>
      <c r="L6368"/>
      <c r="R6368"/>
      <c r="S6368"/>
      <c r="T6368"/>
      <c r="U6368"/>
    </row>
    <row r="6369" spans="1:21">
      <c r="A6369"/>
      <c r="C6369"/>
      <c r="D6369"/>
      <c r="L6369"/>
      <c r="R6369"/>
      <c r="S6369"/>
      <c r="T6369"/>
      <c r="U6369"/>
    </row>
    <row r="6370" spans="1:21">
      <c r="A6370"/>
      <c r="C6370"/>
      <c r="D6370"/>
      <c r="L6370"/>
      <c r="R6370"/>
      <c r="S6370"/>
      <c r="T6370"/>
      <c r="U6370"/>
    </row>
    <row r="6371" spans="1:21">
      <c r="A6371"/>
      <c r="C6371"/>
      <c r="D6371"/>
      <c r="L6371"/>
      <c r="R6371"/>
      <c r="S6371"/>
      <c r="T6371"/>
      <c r="U6371"/>
    </row>
    <row r="6372" spans="1:21">
      <c r="A6372"/>
      <c r="C6372"/>
      <c r="D6372"/>
      <c r="L6372"/>
      <c r="R6372"/>
      <c r="S6372"/>
      <c r="T6372"/>
      <c r="U6372"/>
    </row>
    <row r="6373" spans="1:21">
      <c r="A6373"/>
      <c r="C6373"/>
      <c r="D6373"/>
      <c r="L6373"/>
      <c r="R6373"/>
      <c r="S6373"/>
      <c r="T6373"/>
      <c r="U6373"/>
    </row>
    <row r="6374" spans="1:21">
      <c r="A6374"/>
      <c r="C6374"/>
      <c r="D6374"/>
      <c r="L6374"/>
      <c r="R6374"/>
      <c r="S6374"/>
      <c r="T6374"/>
      <c r="U6374"/>
    </row>
    <row r="6375" spans="1:21">
      <c r="A6375"/>
      <c r="C6375"/>
      <c r="D6375"/>
      <c r="L6375"/>
      <c r="R6375"/>
      <c r="S6375"/>
      <c r="T6375"/>
      <c r="U6375"/>
    </row>
    <row r="6376" spans="1:21">
      <c r="A6376"/>
      <c r="C6376"/>
      <c r="D6376"/>
      <c r="L6376"/>
      <c r="R6376"/>
      <c r="S6376"/>
      <c r="T6376"/>
      <c r="U6376"/>
    </row>
    <row r="6377" spans="1:21">
      <c r="A6377"/>
      <c r="C6377"/>
      <c r="D6377"/>
      <c r="L6377"/>
      <c r="R6377"/>
      <c r="S6377"/>
      <c r="T6377"/>
      <c r="U6377"/>
    </row>
    <row r="6378" spans="1:21">
      <c r="A6378"/>
      <c r="C6378"/>
      <c r="D6378"/>
      <c r="L6378"/>
      <c r="R6378"/>
      <c r="S6378"/>
      <c r="T6378"/>
      <c r="U6378"/>
    </row>
    <row r="6379" spans="1:21">
      <c r="A6379"/>
      <c r="C6379"/>
      <c r="D6379"/>
      <c r="L6379"/>
      <c r="R6379"/>
      <c r="S6379"/>
      <c r="T6379"/>
      <c r="U6379"/>
    </row>
    <row r="6380" spans="1:21">
      <c r="A6380"/>
      <c r="C6380"/>
      <c r="D6380"/>
      <c r="L6380"/>
      <c r="R6380"/>
      <c r="S6380"/>
      <c r="T6380"/>
      <c r="U6380"/>
    </row>
    <row r="6381" spans="1:21">
      <c r="A6381"/>
      <c r="C6381"/>
      <c r="D6381"/>
      <c r="L6381"/>
      <c r="R6381"/>
      <c r="S6381"/>
      <c r="T6381"/>
      <c r="U6381"/>
    </row>
    <row r="6382" spans="1:21">
      <c r="A6382"/>
      <c r="C6382"/>
      <c r="D6382"/>
      <c r="L6382"/>
      <c r="R6382"/>
      <c r="S6382"/>
      <c r="T6382"/>
      <c r="U6382"/>
    </row>
    <row r="6383" spans="1:21">
      <c r="A6383"/>
      <c r="C6383"/>
      <c r="D6383"/>
      <c r="L6383"/>
      <c r="R6383"/>
      <c r="S6383"/>
      <c r="T6383"/>
      <c r="U6383"/>
    </row>
    <row r="6384" spans="1:21">
      <c r="A6384"/>
      <c r="C6384"/>
      <c r="D6384"/>
      <c r="L6384"/>
      <c r="R6384"/>
      <c r="S6384"/>
      <c r="T6384"/>
      <c r="U6384"/>
    </row>
    <row r="6385" spans="1:21">
      <c r="A6385"/>
      <c r="C6385"/>
      <c r="D6385"/>
      <c r="L6385"/>
      <c r="R6385"/>
      <c r="S6385"/>
      <c r="T6385"/>
      <c r="U6385"/>
    </row>
    <row r="6386" spans="1:21">
      <c r="A6386"/>
      <c r="C6386"/>
      <c r="D6386"/>
      <c r="L6386"/>
      <c r="R6386"/>
      <c r="S6386"/>
      <c r="T6386"/>
      <c r="U6386"/>
    </row>
    <row r="6387" spans="1:21">
      <c r="A6387"/>
      <c r="C6387"/>
      <c r="D6387"/>
      <c r="L6387"/>
      <c r="R6387"/>
      <c r="S6387"/>
      <c r="T6387"/>
      <c r="U6387"/>
    </row>
    <row r="6388" spans="1:21">
      <c r="A6388"/>
      <c r="C6388"/>
      <c r="D6388"/>
      <c r="L6388"/>
      <c r="R6388"/>
      <c r="S6388"/>
      <c r="T6388"/>
      <c r="U6388"/>
    </row>
    <row r="6389" spans="1:21">
      <c r="A6389"/>
      <c r="C6389"/>
      <c r="D6389"/>
      <c r="L6389"/>
      <c r="R6389"/>
      <c r="S6389"/>
      <c r="T6389"/>
      <c r="U6389"/>
    </row>
    <row r="6390" spans="1:21">
      <c r="A6390"/>
      <c r="C6390"/>
      <c r="D6390"/>
      <c r="L6390"/>
      <c r="R6390"/>
      <c r="S6390"/>
      <c r="T6390"/>
      <c r="U6390"/>
    </row>
    <row r="6391" spans="1:21">
      <c r="A6391"/>
      <c r="C6391"/>
      <c r="D6391"/>
      <c r="L6391"/>
      <c r="R6391"/>
      <c r="S6391"/>
      <c r="T6391"/>
      <c r="U6391"/>
    </row>
    <row r="6392" spans="1:21">
      <c r="A6392"/>
      <c r="C6392"/>
      <c r="D6392"/>
      <c r="L6392"/>
      <c r="R6392"/>
      <c r="S6392"/>
      <c r="T6392"/>
      <c r="U6392"/>
    </row>
    <row r="6393" spans="1:21">
      <c r="A6393"/>
      <c r="C6393"/>
      <c r="D6393"/>
      <c r="L6393"/>
      <c r="R6393"/>
      <c r="S6393"/>
      <c r="T6393"/>
      <c r="U6393"/>
    </row>
    <row r="6394" spans="1:21">
      <c r="A6394"/>
      <c r="C6394"/>
      <c r="D6394"/>
      <c r="L6394"/>
      <c r="R6394"/>
      <c r="S6394"/>
      <c r="T6394"/>
      <c r="U6394"/>
    </row>
    <row r="6395" spans="1:21">
      <c r="A6395"/>
      <c r="C6395"/>
      <c r="D6395"/>
      <c r="L6395"/>
      <c r="R6395"/>
      <c r="S6395"/>
      <c r="T6395"/>
      <c r="U6395"/>
    </row>
    <row r="6396" spans="1:21">
      <c r="A6396"/>
      <c r="C6396"/>
      <c r="D6396"/>
      <c r="L6396"/>
      <c r="R6396"/>
      <c r="S6396"/>
      <c r="T6396"/>
      <c r="U6396"/>
    </row>
    <row r="6397" spans="1:21">
      <c r="A6397"/>
      <c r="C6397"/>
      <c r="D6397"/>
      <c r="L6397"/>
      <c r="R6397"/>
      <c r="S6397"/>
      <c r="T6397"/>
      <c r="U6397"/>
    </row>
    <row r="6398" spans="1:21">
      <c r="A6398"/>
      <c r="C6398"/>
      <c r="D6398"/>
      <c r="L6398"/>
      <c r="R6398"/>
      <c r="S6398"/>
      <c r="T6398"/>
      <c r="U6398"/>
    </row>
    <row r="6399" spans="1:21">
      <c r="A6399"/>
      <c r="C6399"/>
      <c r="D6399"/>
      <c r="L6399"/>
      <c r="R6399"/>
      <c r="S6399"/>
      <c r="T6399"/>
      <c r="U6399"/>
    </row>
    <row r="6400" spans="1:21">
      <c r="A6400"/>
      <c r="C6400"/>
      <c r="D6400"/>
      <c r="L6400"/>
      <c r="R6400"/>
      <c r="S6400"/>
      <c r="T6400"/>
      <c r="U6400"/>
    </row>
    <row r="6401" spans="1:21">
      <c r="A6401"/>
      <c r="C6401"/>
      <c r="D6401"/>
      <c r="L6401"/>
      <c r="R6401"/>
      <c r="S6401"/>
      <c r="T6401"/>
      <c r="U6401"/>
    </row>
    <row r="6402" spans="1:21">
      <c r="A6402"/>
      <c r="C6402"/>
      <c r="D6402"/>
      <c r="L6402"/>
      <c r="R6402"/>
      <c r="S6402"/>
      <c r="T6402"/>
      <c r="U6402"/>
    </row>
    <row r="6403" spans="1:21">
      <c r="A6403"/>
      <c r="C6403"/>
      <c r="D6403"/>
      <c r="L6403"/>
      <c r="R6403"/>
      <c r="S6403"/>
      <c r="T6403"/>
      <c r="U6403"/>
    </row>
    <row r="6404" spans="1:21">
      <c r="A6404"/>
      <c r="C6404"/>
      <c r="D6404"/>
      <c r="L6404"/>
      <c r="R6404"/>
      <c r="S6404"/>
      <c r="T6404"/>
      <c r="U6404"/>
    </row>
    <row r="6405" spans="1:21">
      <c r="A6405"/>
      <c r="C6405"/>
      <c r="D6405"/>
      <c r="L6405"/>
      <c r="R6405"/>
      <c r="S6405"/>
      <c r="T6405"/>
      <c r="U6405"/>
    </row>
    <row r="6406" spans="1:21">
      <c r="A6406"/>
      <c r="C6406"/>
      <c r="D6406"/>
      <c r="L6406"/>
      <c r="R6406"/>
      <c r="S6406"/>
      <c r="T6406"/>
      <c r="U6406"/>
    </row>
    <row r="6407" spans="1:21">
      <c r="A6407"/>
      <c r="C6407"/>
      <c r="D6407"/>
      <c r="L6407"/>
      <c r="R6407"/>
      <c r="S6407"/>
      <c r="T6407"/>
      <c r="U6407"/>
    </row>
    <row r="6408" spans="1:21">
      <c r="A6408"/>
      <c r="C6408"/>
      <c r="D6408"/>
      <c r="L6408"/>
      <c r="R6408"/>
      <c r="S6408"/>
      <c r="T6408"/>
      <c r="U6408"/>
    </row>
    <row r="6409" spans="1:21">
      <c r="A6409"/>
      <c r="C6409"/>
      <c r="D6409"/>
      <c r="L6409"/>
      <c r="R6409"/>
      <c r="S6409"/>
      <c r="T6409"/>
      <c r="U6409"/>
    </row>
    <row r="6410" spans="1:21">
      <c r="A6410"/>
      <c r="C6410"/>
      <c r="D6410"/>
      <c r="L6410"/>
      <c r="R6410"/>
      <c r="S6410"/>
      <c r="T6410"/>
      <c r="U6410"/>
    </row>
    <row r="6411" spans="1:21">
      <c r="A6411"/>
      <c r="C6411"/>
      <c r="D6411"/>
      <c r="L6411"/>
      <c r="R6411"/>
      <c r="S6411"/>
      <c r="T6411"/>
      <c r="U6411"/>
    </row>
    <row r="6412" spans="1:21">
      <c r="A6412"/>
      <c r="C6412"/>
      <c r="D6412"/>
      <c r="L6412"/>
      <c r="R6412"/>
      <c r="S6412"/>
      <c r="T6412"/>
      <c r="U6412"/>
    </row>
    <row r="6413" spans="1:21">
      <c r="A6413"/>
      <c r="C6413"/>
      <c r="D6413"/>
      <c r="L6413"/>
      <c r="R6413"/>
      <c r="S6413"/>
      <c r="T6413"/>
      <c r="U6413"/>
    </row>
    <row r="6414" spans="1:21">
      <c r="A6414"/>
      <c r="C6414"/>
      <c r="D6414"/>
      <c r="L6414"/>
      <c r="R6414"/>
      <c r="S6414"/>
      <c r="T6414"/>
      <c r="U6414"/>
    </row>
    <row r="6415" spans="1:21">
      <c r="A6415"/>
      <c r="C6415"/>
      <c r="D6415"/>
      <c r="L6415"/>
      <c r="R6415"/>
      <c r="S6415"/>
      <c r="T6415"/>
      <c r="U6415"/>
    </row>
    <row r="6416" spans="1:21">
      <c r="A6416"/>
      <c r="C6416"/>
      <c r="D6416"/>
      <c r="L6416"/>
      <c r="R6416"/>
      <c r="S6416"/>
      <c r="T6416"/>
      <c r="U6416"/>
    </row>
    <row r="6417" spans="1:21">
      <c r="A6417"/>
      <c r="C6417"/>
      <c r="D6417"/>
      <c r="L6417"/>
      <c r="R6417"/>
      <c r="S6417"/>
      <c r="T6417"/>
      <c r="U6417"/>
    </row>
    <row r="6418" spans="1:21">
      <c r="A6418"/>
      <c r="C6418"/>
      <c r="D6418"/>
      <c r="L6418"/>
      <c r="R6418"/>
      <c r="S6418"/>
      <c r="T6418"/>
      <c r="U6418"/>
    </row>
    <row r="6419" spans="1:21">
      <c r="A6419"/>
      <c r="C6419"/>
      <c r="D6419"/>
      <c r="L6419"/>
      <c r="R6419"/>
      <c r="S6419"/>
      <c r="T6419"/>
      <c r="U6419"/>
    </row>
    <row r="6420" spans="1:21">
      <c r="A6420"/>
      <c r="C6420"/>
      <c r="D6420"/>
      <c r="L6420"/>
      <c r="R6420"/>
      <c r="S6420"/>
      <c r="T6420"/>
      <c r="U6420"/>
    </row>
    <row r="6421" spans="1:21">
      <c r="A6421"/>
      <c r="C6421"/>
      <c r="D6421"/>
      <c r="L6421"/>
      <c r="R6421"/>
      <c r="S6421"/>
      <c r="T6421"/>
      <c r="U6421"/>
    </row>
    <row r="6422" spans="1:21">
      <c r="A6422"/>
      <c r="C6422"/>
      <c r="D6422"/>
      <c r="L6422"/>
      <c r="R6422"/>
      <c r="S6422"/>
      <c r="T6422"/>
      <c r="U6422"/>
    </row>
    <row r="6423" spans="1:21">
      <c r="A6423"/>
      <c r="C6423"/>
      <c r="D6423"/>
      <c r="L6423"/>
      <c r="R6423"/>
      <c r="S6423"/>
      <c r="T6423"/>
      <c r="U6423"/>
    </row>
    <row r="6424" spans="1:21">
      <c r="A6424"/>
      <c r="C6424"/>
      <c r="D6424"/>
      <c r="L6424"/>
      <c r="R6424"/>
      <c r="S6424"/>
      <c r="T6424"/>
      <c r="U6424"/>
    </row>
    <row r="6425" spans="1:21">
      <c r="A6425"/>
      <c r="C6425"/>
      <c r="D6425"/>
      <c r="L6425"/>
      <c r="R6425"/>
      <c r="S6425"/>
      <c r="T6425"/>
      <c r="U6425"/>
    </row>
    <row r="6426" spans="1:21">
      <c r="A6426"/>
      <c r="C6426"/>
      <c r="D6426"/>
      <c r="L6426"/>
      <c r="R6426"/>
      <c r="S6426"/>
      <c r="T6426"/>
      <c r="U6426"/>
    </row>
    <row r="6427" spans="1:21">
      <c r="A6427"/>
      <c r="C6427"/>
      <c r="D6427"/>
      <c r="L6427"/>
      <c r="R6427"/>
      <c r="S6427"/>
      <c r="T6427"/>
      <c r="U6427"/>
    </row>
    <row r="6428" spans="1:21">
      <c r="A6428"/>
      <c r="C6428"/>
      <c r="D6428"/>
      <c r="L6428"/>
      <c r="R6428"/>
      <c r="S6428"/>
      <c r="T6428"/>
      <c r="U6428"/>
    </row>
    <row r="6429" spans="1:21">
      <c r="A6429"/>
      <c r="C6429"/>
      <c r="D6429"/>
      <c r="L6429"/>
      <c r="R6429"/>
      <c r="S6429"/>
      <c r="T6429"/>
      <c r="U6429"/>
    </row>
    <row r="6430" spans="1:21">
      <c r="A6430"/>
      <c r="C6430"/>
      <c r="D6430"/>
      <c r="L6430"/>
      <c r="R6430"/>
      <c r="S6430"/>
      <c r="T6430"/>
      <c r="U6430"/>
    </row>
    <row r="6431" spans="1:21">
      <c r="A6431"/>
      <c r="C6431"/>
      <c r="D6431"/>
      <c r="L6431"/>
      <c r="R6431"/>
      <c r="S6431"/>
      <c r="T6431"/>
      <c r="U6431"/>
    </row>
    <row r="6432" spans="1:21">
      <c r="A6432"/>
      <c r="C6432"/>
      <c r="D6432"/>
      <c r="L6432"/>
      <c r="R6432"/>
      <c r="S6432"/>
      <c r="T6432"/>
      <c r="U6432"/>
    </row>
    <row r="6433" spans="1:21">
      <c r="A6433"/>
      <c r="C6433"/>
      <c r="D6433"/>
      <c r="L6433"/>
      <c r="R6433"/>
      <c r="S6433"/>
      <c r="T6433"/>
      <c r="U6433"/>
    </row>
    <row r="6434" spans="1:21">
      <c r="A6434"/>
      <c r="C6434"/>
      <c r="D6434"/>
      <c r="L6434"/>
      <c r="R6434"/>
      <c r="S6434"/>
      <c r="T6434"/>
      <c r="U6434"/>
    </row>
    <row r="6435" spans="1:21">
      <c r="A6435"/>
      <c r="C6435"/>
      <c r="D6435"/>
      <c r="L6435"/>
      <c r="R6435"/>
      <c r="S6435"/>
      <c r="T6435"/>
      <c r="U6435"/>
    </row>
    <row r="6436" spans="1:21">
      <c r="A6436"/>
      <c r="C6436"/>
      <c r="D6436"/>
      <c r="L6436"/>
      <c r="R6436"/>
      <c r="S6436"/>
      <c r="T6436"/>
      <c r="U6436"/>
    </row>
    <row r="6437" spans="1:21">
      <c r="A6437"/>
      <c r="C6437"/>
      <c r="D6437"/>
      <c r="L6437"/>
      <c r="R6437"/>
      <c r="S6437"/>
      <c r="T6437"/>
      <c r="U6437"/>
    </row>
    <row r="6438" spans="1:21">
      <c r="A6438"/>
      <c r="C6438"/>
      <c r="D6438"/>
      <c r="L6438"/>
      <c r="R6438"/>
      <c r="S6438"/>
      <c r="T6438"/>
      <c r="U6438"/>
    </row>
    <row r="6439" spans="1:21">
      <c r="A6439"/>
      <c r="C6439"/>
      <c r="D6439"/>
      <c r="L6439"/>
      <c r="R6439"/>
      <c r="S6439"/>
      <c r="T6439"/>
      <c r="U6439"/>
    </row>
    <row r="6440" spans="1:21">
      <c r="A6440"/>
      <c r="C6440"/>
      <c r="D6440"/>
      <c r="L6440"/>
      <c r="R6440"/>
      <c r="S6440"/>
      <c r="T6440"/>
      <c r="U6440"/>
    </row>
    <row r="6441" spans="1:21">
      <c r="A6441"/>
      <c r="C6441"/>
      <c r="D6441"/>
      <c r="L6441"/>
      <c r="R6441"/>
      <c r="S6441"/>
      <c r="T6441"/>
      <c r="U6441"/>
    </row>
    <row r="6442" spans="1:21">
      <c r="A6442"/>
      <c r="C6442"/>
      <c r="D6442"/>
      <c r="L6442"/>
      <c r="R6442"/>
      <c r="S6442"/>
      <c r="T6442"/>
      <c r="U6442"/>
    </row>
    <row r="6443" spans="1:21">
      <c r="A6443"/>
      <c r="C6443"/>
      <c r="D6443"/>
      <c r="L6443"/>
      <c r="R6443"/>
      <c r="S6443"/>
      <c r="T6443"/>
      <c r="U6443"/>
    </row>
    <row r="6444" spans="1:21">
      <c r="A6444"/>
      <c r="C6444"/>
      <c r="D6444"/>
      <c r="L6444"/>
      <c r="R6444"/>
      <c r="S6444"/>
      <c r="T6444"/>
      <c r="U6444"/>
    </row>
    <row r="6445" spans="1:21">
      <c r="A6445"/>
      <c r="C6445"/>
      <c r="D6445"/>
      <c r="L6445"/>
      <c r="R6445"/>
      <c r="S6445"/>
      <c r="T6445"/>
      <c r="U6445"/>
    </row>
    <row r="6446" spans="1:21">
      <c r="A6446"/>
      <c r="C6446"/>
      <c r="D6446"/>
      <c r="L6446"/>
      <c r="R6446"/>
      <c r="S6446"/>
      <c r="T6446"/>
      <c r="U6446"/>
    </row>
    <row r="6447" spans="1:21">
      <c r="A6447"/>
      <c r="C6447"/>
      <c r="D6447"/>
      <c r="L6447"/>
      <c r="R6447"/>
      <c r="S6447"/>
      <c r="T6447"/>
      <c r="U6447"/>
    </row>
    <row r="6448" spans="1:21">
      <c r="A6448"/>
      <c r="C6448"/>
      <c r="D6448"/>
      <c r="L6448"/>
      <c r="R6448"/>
      <c r="S6448"/>
      <c r="T6448"/>
      <c r="U6448"/>
    </row>
    <row r="6449" spans="1:21">
      <c r="A6449"/>
      <c r="C6449"/>
      <c r="D6449"/>
      <c r="L6449"/>
      <c r="R6449"/>
      <c r="S6449"/>
      <c r="T6449"/>
      <c r="U6449"/>
    </row>
    <row r="6450" spans="1:21">
      <c r="A6450"/>
      <c r="C6450"/>
      <c r="D6450"/>
      <c r="L6450"/>
      <c r="R6450"/>
      <c r="S6450"/>
      <c r="T6450"/>
      <c r="U6450"/>
    </row>
    <row r="6451" spans="1:21">
      <c r="A6451"/>
      <c r="C6451"/>
      <c r="D6451"/>
      <c r="L6451"/>
      <c r="R6451"/>
      <c r="S6451"/>
      <c r="T6451"/>
      <c r="U6451"/>
    </row>
    <row r="6452" spans="1:21">
      <c r="A6452"/>
      <c r="C6452"/>
      <c r="D6452"/>
      <c r="L6452"/>
      <c r="R6452"/>
      <c r="S6452"/>
      <c r="T6452"/>
      <c r="U6452"/>
    </row>
    <row r="6453" spans="1:21">
      <c r="A6453"/>
      <c r="C6453"/>
      <c r="D6453"/>
      <c r="L6453"/>
      <c r="R6453"/>
      <c r="S6453"/>
      <c r="T6453"/>
      <c r="U6453"/>
    </row>
    <row r="6454" spans="1:21">
      <c r="A6454"/>
      <c r="C6454"/>
      <c r="D6454"/>
      <c r="L6454"/>
      <c r="R6454"/>
      <c r="S6454"/>
      <c r="T6454"/>
      <c r="U6454"/>
    </row>
    <row r="6455" spans="1:21">
      <c r="A6455"/>
      <c r="C6455"/>
      <c r="D6455"/>
      <c r="L6455"/>
      <c r="R6455"/>
      <c r="S6455"/>
      <c r="T6455"/>
      <c r="U6455"/>
    </row>
    <row r="6456" spans="1:21">
      <c r="A6456"/>
      <c r="C6456"/>
      <c r="D6456"/>
      <c r="L6456"/>
      <c r="R6456"/>
      <c r="S6456"/>
      <c r="T6456"/>
      <c r="U6456"/>
    </row>
    <row r="6457" spans="1:21">
      <c r="A6457"/>
      <c r="C6457"/>
      <c r="D6457"/>
      <c r="L6457"/>
      <c r="R6457"/>
      <c r="S6457"/>
      <c r="T6457"/>
      <c r="U6457"/>
    </row>
    <row r="6458" spans="1:21">
      <c r="A6458"/>
      <c r="C6458"/>
      <c r="D6458"/>
      <c r="L6458"/>
      <c r="R6458"/>
      <c r="S6458"/>
      <c r="T6458"/>
      <c r="U6458"/>
    </row>
    <row r="6459" spans="1:21">
      <c r="A6459"/>
      <c r="C6459"/>
      <c r="D6459"/>
      <c r="L6459"/>
      <c r="R6459"/>
      <c r="S6459"/>
      <c r="T6459"/>
      <c r="U6459"/>
    </row>
    <row r="6460" spans="1:21">
      <c r="A6460"/>
      <c r="C6460"/>
      <c r="D6460"/>
      <c r="L6460"/>
      <c r="R6460"/>
      <c r="S6460"/>
      <c r="T6460"/>
      <c r="U6460"/>
    </row>
    <row r="6461" spans="1:21">
      <c r="A6461"/>
      <c r="C6461"/>
      <c r="D6461"/>
      <c r="L6461"/>
      <c r="R6461"/>
      <c r="S6461"/>
      <c r="T6461"/>
      <c r="U6461"/>
    </row>
    <row r="6462" spans="1:21">
      <c r="A6462"/>
      <c r="C6462"/>
      <c r="D6462"/>
      <c r="L6462"/>
      <c r="R6462"/>
      <c r="S6462"/>
      <c r="T6462"/>
      <c r="U6462"/>
    </row>
    <row r="6463" spans="1:21">
      <c r="A6463"/>
      <c r="C6463"/>
      <c r="D6463"/>
      <c r="L6463"/>
      <c r="R6463"/>
      <c r="S6463"/>
      <c r="T6463"/>
      <c r="U6463"/>
    </row>
    <row r="6464" spans="1:21">
      <c r="A6464"/>
      <c r="C6464"/>
      <c r="D6464"/>
      <c r="L6464"/>
      <c r="R6464"/>
      <c r="S6464"/>
      <c r="T6464"/>
      <c r="U6464"/>
    </row>
    <row r="6465" spans="1:21">
      <c r="A6465"/>
      <c r="C6465"/>
      <c r="D6465"/>
      <c r="L6465"/>
      <c r="R6465"/>
      <c r="S6465"/>
      <c r="T6465"/>
      <c r="U6465"/>
    </row>
    <row r="6466" spans="1:21">
      <c r="A6466"/>
      <c r="C6466"/>
      <c r="D6466"/>
      <c r="L6466"/>
      <c r="R6466"/>
      <c r="S6466"/>
      <c r="T6466"/>
      <c r="U6466"/>
    </row>
    <row r="6467" spans="1:21">
      <c r="A6467"/>
      <c r="C6467"/>
      <c r="D6467"/>
      <c r="L6467"/>
      <c r="R6467"/>
      <c r="S6467"/>
      <c r="T6467"/>
      <c r="U6467"/>
    </row>
    <row r="6468" spans="1:21">
      <c r="A6468"/>
      <c r="C6468"/>
      <c r="D6468"/>
      <c r="L6468"/>
      <c r="R6468"/>
      <c r="S6468"/>
      <c r="T6468"/>
      <c r="U6468"/>
    </row>
    <row r="6469" spans="1:21">
      <c r="A6469"/>
      <c r="C6469"/>
      <c r="D6469"/>
      <c r="L6469"/>
      <c r="R6469"/>
      <c r="S6469"/>
      <c r="T6469"/>
      <c r="U6469"/>
    </row>
    <row r="6470" spans="1:21">
      <c r="A6470"/>
      <c r="C6470"/>
      <c r="D6470"/>
      <c r="L6470"/>
      <c r="R6470"/>
      <c r="S6470"/>
      <c r="T6470"/>
      <c r="U6470"/>
    </row>
    <row r="6471" spans="1:21">
      <c r="A6471"/>
      <c r="C6471"/>
      <c r="D6471"/>
      <c r="L6471"/>
      <c r="R6471"/>
      <c r="S6471"/>
      <c r="T6471"/>
      <c r="U6471"/>
    </row>
    <row r="6472" spans="1:21">
      <c r="A6472"/>
      <c r="C6472"/>
      <c r="D6472"/>
      <c r="L6472"/>
      <c r="R6472"/>
      <c r="S6472"/>
      <c r="T6472"/>
      <c r="U6472"/>
    </row>
    <row r="6473" spans="1:21">
      <c r="A6473"/>
      <c r="C6473"/>
      <c r="D6473"/>
      <c r="L6473"/>
      <c r="R6473"/>
      <c r="S6473"/>
      <c r="T6473"/>
      <c r="U6473"/>
    </row>
    <row r="6474" spans="1:21">
      <c r="A6474"/>
      <c r="C6474"/>
      <c r="D6474"/>
      <c r="L6474"/>
      <c r="R6474"/>
      <c r="S6474"/>
      <c r="T6474"/>
      <c r="U6474"/>
    </row>
    <row r="6475" spans="1:21">
      <c r="A6475"/>
      <c r="C6475"/>
      <c r="D6475"/>
      <c r="L6475"/>
      <c r="R6475"/>
      <c r="S6475"/>
      <c r="T6475"/>
      <c r="U6475"/>
    </row>
    <row r="6476" spans="1:21">
      <c r="A6476"/>
      <c r="C6476"/>
      <c r="D6476"/>
      <c r="L6476"/>
      <c r="R6476"/>
      <c r="S6476"/>
      <c r="T6476"/>
      <c r="U6476"/>
    </row>
    <row r="6477" spans="1:21">
      <c r="A6477"/>
      <c r="C6477"/>
      <c r="D6477"/>
      <c r="L6477"/>
      <c r="R6477"/>
      <c r="S6477"/>
      <c r="T6477"/>
      <c r="U6477"/>
    </row>
    <row r="6478" spans="1:21">
      <c r="A6478"/>
      <c r="C6478"/>
      <c r="D6478"/>
      <c r="L6478"/>
      <c r="R6478"/>
      <c r="S6478"/>
      <c r="T6478"/>
      <c r="U6478"/>
    </row>
    <row r="6479" spans="1:21">
      <c r="A6479"/>
      <c r="C6479"/>
      <c r="D6479"/>
      <c r="L6479"/>
      <c r="R6479"/>
      <c r="S6479"/>
      <c r="T6479"/>
      <c r="U6479"/>
    </row>
    <row r="6480" spans="1:21">
      <c r="A6480"/>
      <c r="C6480"/>
      <c r="D6480"/>
      <c r="L6480"/>
      <c r="R6480"/>
      <c r="S6480"/>
      <c r="T6480"/>
      <c r="U6480"/>
    </row>
    <row r="6481" spans="1:21">
      <c r="A6481"/>
      <c r="C6481"/>
      <c r="D6481"/>
      <c r="L6481"/>
      <c r="R6481"/>
      <c r="S6481"/>
      <c r="T6481"/>
      <c r="U6481"/>
    </row>
    <row r="6482" spans="1:21">
      <c r="A6482"/>
      <c r="C6482"/>
      <c r="D6482"/>
      <c r="L6482"/>
      <c r="R6482"/>
      <c r="S6482"/>
      <c r="T6482"/>
      <c r="U6482"/>
    </row>
    <row r="6483" spans="1:21">
      <c r="A6483"/>
      <c r="C6483"/>
      <c r="D6483"/>
      <c r="L6483"/>
      <c r="R6483"/>
      <c r="S6483"/>
      <c r="T6483"/>
      <c r="U6483"/>
    </row>
    <row r="6484" spans="1:21">
      <c r="A6484"/>
      <c r="C6484"/>
      <c r="D6484"/>
      <c r="L6484"/>
      <c r="R6484"/>
      <c r="S6484"/>
      <c r="T6484"/>
      <c r="U6484"/>
    </row>
    <row r="6485" spans="1:21">
      <c r="A6485"/>
      <c r="C6485"/>
      <c r="D6485"/>
      <c r="L6485"/>
      <c r="R6485"/>
      <c r="S6485"/>
      <c r="T6485"/>
      <c r="U6485"/>
    </row>
    <row r="6486" spans="1:21">
      <c r="A6486"/>
      <c r="C6486"/>
      <c r="D6486"/>
      <c r="L6486"/>
      <c r="R6486"/>
      <c r="S6486"/>
      <c r="T6486"/>
      <c r="U6486"/>
    </row>
    <row r="6487" spans="1:21">
      <c r="A6487"/>
      <c r="C6487"/>
      <c r="D6487"/>
      <c r="L6487"/>
      <c r="R6487"/>
      <c r="S6487"/>
      <c r="T6487"/>
      <c r="U6487"/>
    </row>
    <row r="6488" spans="1:21">
      <c r="A6488"/>
      <c r="C6488"/>
      <c r="D6488"/>
      <c r="L6488"/>
      <c r="R6488"/>
      <c r="S6488"/>
      <c r="T6488"/>
      <c r="U6488"/>
    </row>
    <row r="6489" spans="1:21">
      <c r="A6489"/>
      <c r="C6489"/>
      <c r="D6489"/>
      <c r="L6489"/>
      <c r="R6489"/>
      <c r="S6489"/>
      <c r="T6489"/>
      <c r="U6489"/>
    </row>
    <row r="6490" spans="1:21">
      <c r="A6490"/>
      <c r="C6490"/>
      <c r="D6490"/>
      <c r="L6490"/>
      <c r="R6490"/>
      <c r="S6490"/>
      <c r="T6490"/>
      <c r="U6490"/>
    </row>
    <row r="6491" spans="1:21">
      <c r="A6491"/>
      <c r="C6491"/>
      <c r="D6491"/>
      <c r="L6491"/>
      <c r="R6491"/>
      <c r="S6491"/>
      <c r="T6491"/>
      <c r="U6491"/>
    </row>
    <row r="6492" spans="1:21">
      <c r="A6492"/>
      <c r="C6492"/>
      <c r="D6492"/>
      <c r="L6492"/>
      <c r="R6492"/>
      <c r="S6492"/>
      <c r="T6492"/>
      <c r="U6492"/>
    </row>
    <row r="6493" spans="1:21">
      <c r="A6493"/>
      <c r="C6493"/>
      <c r="D6493"/>
      <c r="L6493"/>
      <c r="R6493"/>
      <c r="S6493"/>
      <c r="T6493"/>
      <c r="U6493"/>
    </row>
    <row r="6494" spans="1:21">
      <c r="A6494"/>
      <c r="C6494"/>
      <c r="D6494"/>
      <c r="L6494"/>
      <c r="R6494"/>
      <c r="S6494"/>
      <c r="T6494"/>
      <c r="U6494"/>
    </row>
    <row r="6495" spans="1:21">
      <c r="A6495"/>
      <c r="C6495"/>
      <c r="D6495"/>
      <c r="L6495"/>
      <c r="R6495"/>
      <c r="S6495"/>
      <c r="T6495"/>
      <c r="U6495"/>
    </row>
    <row r="6496" spans="1:21">
      <c r="A6496"/>
      <c r="C6496"/>
      <c r="D6496"/>
      <c r="L6496"/>
      <c r="R6496"/>
      <c r="S6496"/>
      <c r="T6496"/>
      <c r="U6496"/>
    </row>
    <row r="6497" spans="1:21">
      <c r="A6497"/>
      <c r="C6497"/>
      <c r="D6497"/>
      <c r="L6497"/>
      <c r="R6497"/>
      <c r="S6497"/>
      <c r="T6497"/>
      <c r="U6497"/>
    </row>
    <row r="6498" spans="1:21">
      <c r="A6498"/>
      <c r="C6498"/>
      <c r="D6498"/>
      <c r="L6498"/>
      <c r="R6498"/>
      <c r="S6498"/>
      <c r="T6498"/>
      <c r="U6498"/>
    </row>
    <row r="6499" spans="1:21">
      <c r="A6499"/>
      <c r="C6499"/>
      <c r="D6499"/>
      <c r="L6499"/>
      <c r="R6499"/>
      <c r="S6499"/>
      <c r="T6499"/>
      <c r="U6499"/>
    </row>
    <row r="6500" spans="1:21">
      <c r="A6500"/>
      <c r="C6500"/>
      <c r="D6500"/>
      <c r="L6500"/>
      <c r="R6500"/>
      <c r="S6500"/>
      <c r="T6500"/>
      <c r="U6500"/>
    </row>
    <row r="6501" spans="1:21">
      <c r="A6501"/>
      <c r="C6501"/>
      <c r="D6501"/>
      <c r="L6501"/>
      <c r="R6501"/>
      <c r="S6501"/>
      <c r="T6501"/>
      <c r="U6501"/>
    </row>
    <row r="6502" spans="1:21">
      <c r="A6502"/>
      <c r="C6502"/>
      <c r="D6502"/>
      <c r="L6502"/>
      <c r="R6502"/>
      <c r="S6502"/>
      <c r="T6502"/>
      <c r="U6502"/>
    </row>
    <row r="6503" spans="1:21">
      <c r="A6503"/>
      <c r="C6503"/>
      <c r="D6503"/>
      <c r="L6503"/>
      <c r="R6503"/>
      <c r="S6503"/>
      <c r="T6503"/>
      <c r="U6503"/>
    </row>
    <row r="6504" spans="1:21">
      <c r="A6504"/>
      <c r="C6504"/>
      <c r="D6504"/>
      <c r="L6504"/>
      <c r="R6504"/>
      <c r="S6504"/>
      <c r="T6504"/>
      <c r="U6504"/>
    </row>
    <row r="6505" spans="1:21">
      <c r="A6505"/>
      <c r="C6505"/>
      <c r="D6505"/>
      <c r="L6505"/>
      <c r="R6505"/>
      <c r="S6505"/>
      <c r="T6505"/>
      <c r="U6505"/>
    </row>
    <row r="6506" spans="1:21">
      <c r="A6506"/>
      <c r="C6506"/>
      <c r="D6506"/>
      <c r="L6506"/>
      <c r="R6506"/>
      <c r="S6506"/>
      <c r="T6506"/>
      <c r="U6506"/>
    </row>
    <row r="6507" spans="1:21">
      <c r="A6507"/>
      <c r="C6507"/>
      <c r="D6507"/>
      <c r="L6507"/>
      <c r="R6507"/>
      <c r="S6507"/>
      <c r="T6507"/>
      <c r="U6507"/>
    </row>
    <row r="6508" spans="1:21">
      <c r="A6508"/>
      <c r="C6508"/>
      <c r="D6508"/>
      <c r="L6508"/>
      <c r="R6508"/>
      <c r="S6508"/>
      <c r="T6508"/>
      <c r="U6508"/>
    </row>
    <row r="6509" spans="1:21">
      <c r="A6509"/>
      <c r="C6509"/>
      <c r="D6509"/>
      <c r="L6509"/>
      <c r="R6509"/>
      <c r="S6509"/>
      <c r="T6509"/>
      <c r="U6509"/>
    </row>
    <row r="6510" spans="1:21">
      <c r="A6510"/>
      <c r="C6510"/>
      <c r="D6510"/>
      <c r="L6510"/>
      <c r="R6510"/>
      <c r="S6510"/>
      <c r="T6510"/>
      <c r="U6510"/>
    </row>
    <row r="6511" spans="1:21">
      <c r="A6511"/>
      <c r="C6511"/>
      <c r="D6511"/>
      <c r="L6511"/>
      <c r="R6511"/>
      <c r="S6511"/>
      <c r="T6511"/>
      <c r="U6511"/>
    </row>
    <row r="6512" spans="1:21">
      <c r="A6512"/>
      <c r="C6512"/>
      <c r="D6512"/>
      <c r="L6512"/>
      <c r="R6512"/>
      <c r="S6512"/>
      <c r="T6512"/>
      <c r="U6512"/>
    </row>
    <row r="6513" spans="1:21">
      <c r="A6513"/>
      <c r="C6513"/>
      <c r="D6513"/>
      <c r="L6513"/>
      <c r="R6513"/>
      <c r="S6513"/>
      <c r="T6513"/>
      <c r="U6513"/>
    </row>
    <row r="6514" spans="1:21">
      <c r="A6514"/>
      <c r="C6514"/>
      <c r="D6514"/>
      <c r="L6514"/>
      <c r="R6514"/>
      <c r="S6514"/>
      <c r="T6514"/>
      <c r="U6514"/>
    </row>
    <row r="6515" spans="1:21">
      <c r="A6515"/>
      <c r="C6515"/>
      <c r="D6515"/>
      <c r="L6515"/>
      <c r="R6515"/>
      <c r="S6515"/>
      <c r="T6515"/>
      <c r="U6515"/>
    </row>
    <row r="6516" spans="1:21">
      <c r="A6516"/>
      <c r="C6516"/>
      <c r="D6516"/>
      <c r="L6516"/>
      <c r="R6516"/>
      <c r="S6516"/>
      <c r="T6516"/>
      <c r="U6516"/>
    </row>
    <row r="6517" spans="1:21">
      <c r="A6517"/>
      <c r="C6517"/>
      <c r="D6517"/>
      <c r="L6517"/>
      <c r="R6517"/>
      <c r="S6517"/>
      <c r="T6517"/>
      <c r="U6517"/>
    </row>
    <row r="6518" spans="1:21">
      <c r="A6518"/>
      <c r="C6518"/>
      <c r="D6518"/>
      <c r="L6518"/>
      <c r="R6518"/>
      <c r="S6518"/>
      <c r="T6518"/>
      <c r="U6518"/>
    </row>
    <row r="6519" spans="1:21">
      <c r="A6519"/>
      <c r="C6519"/>
      <c r="D6519"/>
      <c r="L6519"/>
      <c r="R6519"/>
      <c r="S6519"/>
      <c r="T6519"/>
      <c r="U6519"/>
    </row>
    <row r="6520" spans="1:21">
      <c r="A6520"/>
      <c r="C6520"/>
      <c r="D6520"/>
      <c r="L6520"/>
      <c r="R6520"/>
      <c r="S6520"/>
      <c r="T6520"/>
      <c r="U6520"/>
    </row>
    <row r="6521" spans="1:21">
      <c r="A6521"/>
      <c r="C6521"/>
      <c r="D6521"/>
      <c r="L6521"/>
      <c r="R6521"/>
      <c r="S6521"/>
      <c r="T6521"/>
      <c r="U6521"/>
    </row>
    <row r="6522" spans="1:21">
      <c r="A6522"/>
      <c r="C6522"/>
      <c r="D6522"/>
      <c r="L6522"/>
      <c r="R6522"/>
      <c r="S6522"/>
      <c r="T6522"/>
      <c r="U6522"/>
    </row>
    <row r="6523" spans="1:21">
      <c r="A6523"/>
      <c r="C6523"/>
      <c r="D6523"/>
      <c r="L6523"/>
      <c r="R6523"/>
      <c r="S6523"/>
      <c r="T6523"/>
      <c r="U6523"/>
    </row>
    <row r="6524" spans="1:21">
      <c r="A6524"/>
      <c r="C6524"/>
      <c r="D6524"/>
      <c r="L6524"/>
      <c r="R6524"/>
      <c r="S6524"/>
      <c r="T6524"/>
      <c r="U6524"/>
    </row>
    <row r="6525" spans="1:21">
      <c r="A6525"/>
      <c r="C6525"/>
      <c r="D6525"/>
      <c r="L6525"/>
      <c r="R6525"/>
      <c r="S6525"/>
      <c r="T6525"/>
      <c r="U6525"/>
    </row>
    <row r="6526" spans="1:21">
      <c r="A6526"/>
      <c r="C6526"/>
      <c r="D6526"/>
      <c r="L6526"/>
      <c r="R6526"/>
      <c r="S6526"/>
      <c r="T6526"/>
      <c r="U6526"/>
    </row>
    <row r="6527" spans="1:21">
      <c r="A6527"/>
      <c r="C6527"/>
      <c r="D6527"/>
      <c r="L6527"/>
      <c r="R6527"/>
      <c r="S6527"/>
      <c r="T6527"/>
      <c r="U6527"/>
    </row>
    <row r="6528" spans="1:21">
      <c r="A6528"/>
      <c r="C6528"/>
      <c r="D6528"/>
      <c r="L6528"/>
      <c r="R6528"/>
      <c r="S6528"/>
      <c r="T6528"/>
      <c r="U6528"/>
    </row>
    <row r="6529" spans="1:21">
      <c r="A6529"/>
      <c r="C6529"/>
      <c r="D6529"/>
      <c r="L6529"/>
      <c r="R6529"/>
      <c r="S6529"/>
      <c r="T6529"/>
      <c r="U6529"/>
    </row>
    <row r="6530" spans="1:21">
      <c r="A6530"/>
      <c r="C6530"/>
      <c r="D6530"/>
      <c r="L6530"/>
      <c r="R6530"/>
      <c r="S6530"/>
      <c r="T6530"/>
      <c r="U6530"/>
    </row>
    <row r="6531" spans="1:21">
      <c r="A6531"/>
      <c r="C6531"/>
      <c r="D6531"/>
      <c r="L6531"/>
      <c r="R6531"/>
      <c r="S6531"/>
      <c r="T6531"/>
      <c r="U6531"/>
    </row>
    <row r="6532" spans="1:21">
      <c r="A6532"/>
      <c r="C6532"/>
      <c r="D6532"/>
      <c r="L6532"/>
      <c r="R6532"/>
      <c r="S6532"/>
      <c r="T6532"/>
      <c r="U6532"/>
    </row>
    <row r="6533" spans="1:21">
      <c r="A6533"/>
      <c r="C6533"/>
      <c r="D6533"/>
      <c r="L6533"/>
      <c r="R6533"/>
      <c r="S6533"/>
      <c r="T6533"/>
      <c r="U6533"/>
    </row>
    <row r="6534" spans="1:21">
      <c r="A6534"/>
      <c r="C6534"/>
      <c r="D6534"/>
      <c r="L6534"/>
      <c r="R6534"/>
      <c r="S6534"/>
      <c r="T6534"/>
      <c r="U6534"/>
    </row>
    <row r="6535" spans="1:21">
      <c r="A6535"/>
      <c r="C6535"/>
      <c r="D6535"/>
      <c r="L6535"/>
      <c r="R6535"/>
      <c r="S6535"/>
      <c r="T6535"/>
      <c r="U6535"/>
    </row>
    <row r="6536" spans="1:21">
      <c r="A6536"/>
      <c r="C6536"/>
      <c r="D6536"/>
      <c r="L6536"/>
      <c r="R6536"/>
      <c r="S6536"/>
      <c r="T6536"/>
      <c r="U6536"/>
    </row>
    <row r="6537" spans="1:21">
      <c r="A6537"/>
      <c r="C6537"/>
      <c r="D6537"/>
      <c r="L6537"/>
      <c r="R6537"/>
      <c r="S6537"/>
      <c r="T6537"/>
      <c r="U6537"/>
    </row>
    <row r="6538" spans="1:21">
      <c r="A6538"/>
      <c r="C6538"/>
      <c r="D6538"/>
      <c r="L6538"/>
      <c r="R6538"/>
      <c r="S6538"/>
      <c r="T6538"/>
      <c r="U6538"/>
    </row>
    <row r="6539" spans="1:21">
      <c r="A6539"/>
      <c r="C6539"/>
      <c r="D6539"/>
      <c r="L6539"/>
      <c r="R6539"/>
      <c r="S6539"/>
      <c r="T6539"/>
      <c r="U6539"/>
    </row>
    <row r="6540" spans="1:21">
      <c r="A6540"/>
      <c r="C6540"/>
      <c r="D6540"/>
      <c r="L6540"/>
      <c r="R6540"/>
      <c r="S6540"/>
      <c r="T6540"/>
      <c r="U6540"/>
    </row>
    <row r="6541" spans="1:21">
      <c r="A6541"/>
      <c r="C6541"/>
      <c r="D6541"/>
      <c r="L6541"/>
      <c r="R6541"/>
      <c r="S6541"/>
      <c r="T6541"/>
      <c r="U6541"/>
    </row>
    <row r="6542" spans="1:21">
      <c r="A6542"/>
      <c r="C6542"/>
      <c r="D6542"/>
      <c r="L6542"/>
      <c r="R6542"/>
      <c r="S6542"/>
      <c r="T6542"/>
      <c r="U6542"/>
    </row>
    <row r="6543" spans="1:21">
      <c r="A6543"/>
      <c r="C6543"/>
      <c r="D6543"/>
      <c r="L6543"/>
      <c r="R6543"/>
      <c r="S6543"/>
      <c r="T6543"/>
      <c r="U6543"/>
    </row>
    <row r="6544" spans="1:21">
      <c r="A6544"/>
      <c r="C6544"/>
      <c r="D6544"/>
      <c r="L6544"/>
      <c r="R6544"/>
      <c r="S6544"/>
      <c r="T6544"/>
      <c r="U6544"/>
    </row>
    <row r="6545" spans="1:21">
      <c r="A6545"/>
      <c r="C6545"/>
      <c r="D6545"/>
      <c r="L6545"/>
      <c r="R6545"/>
      <c r="S6545"/>
      <c r="T6545"/>
      <c r="U6545"/>
    </row>
    <row r="6546" spans="1:21">
      <c r="A6546"/>
      <c r="C6546"/>
      <c r="D6546"/>
      <c r="L6546"/>
      <c r="R6546"/>
      <c r="S6546"/>
      <c r="T6546"/>
      <c r="U6546"/>
    </row>
    <row r="6547" spans="1:21">
      <c r="A6547"/>
      <c r="C6547"/>
      <c r="D6547"/>
      <c r="L6547"/>
      <c r="R6547"/>
      <c r="S6547"/>
      <c r="T6547"/>
      <c r="U6547"/>
    </row>
    <row r="6548" spans="1:21">
      <c r="A6548"/>
      <c r="C6548"/>
      <c r="D6548"/>
      <c r="L6548"/>
      <c r="R6548"/>
      <c r="S6548"/>
      <c r="T6548"/>
      <c r="U6548"/>
    </row>
    <row r="6549" spans="1:21">
      <c r="A6549"/>
      <c r="C6549"/>
      <c r="D6549"/>
      <c r="L6549"/>
      <c r="R6549"/>
      <c r="S6549"/>
      <c r="T6549"/>
      <c r="U6549"/>
    </row>
    <row r="6550" spans="1:21">
      <c r="A6550"/>
      <c r="C6550"/>
      <c r="D6550"/>
      <c r="L6550"/>
      <c r="R6550"/>
      <c r="S6550"/>
      <c r="T6550"/>
      <c r="U6550"/>
    </row>
    <row r="6551" spans="1:21">
      <c r="A6551"/>
      <c r="C6551"/>
      <c r="D6551"/>
      <c r="L6551"/>
      <c r="R6551"/>
      <c r="S6551"/>
      <c r="T6551"/>
      <c r="U6551"/>
    </row>
    <row r="6552" spans="1:21">
      <c r="A6552"/>
      <c r="C6552"/>
      <c r="D6552"/>
      <c r="L6552"/>
      <c r="R6552"/>
      <c r="S6552"/>
      <c r="T6552"/>
      <c r="U6552"/>
    </row>
    <row r="6553" spans="1:21">
      <c r="A6553"/>
      <c r="C6553"/>
      <c r="D6553"/>
      <c r="L6553"/>
      <c r="R6553"/>
      <c r="S6553"/>
      <c r="T6553"/>
      <c r="U6553"/>
    </row>
    <row r="6554" spans="1:21">
      <c r="A6554"/>
      <c r="C6554"/>
      <c r="D6554"/>
      <c r="L6554"/>
      <c r="R6554"/>
      <c r="S6554"/>
      <c r="T6554"/>
      <c r="U6554"/>
    </row>
    <row r="6555" spans="1:21">
      <c r="A6555"/>
      <c r="C6555"/>
      <c r="D6555"/>
      <c r="L6555"/>
      <c r="R6555"/>
      <c r="S6555"/>
      <c r="T6555"/>
      <c r="U6555"/>
    </row>
    <row r="6556" spans="1:21">
      <c r="A6556"/>
      <c r="C6556"/>
      <c r="D6556"/>
      <c r="L6556"/>
      <c r="R6556"/>
      <c r="S6556"/>
      <c r="T6556"/>
      <c r="U6556"/>
    </row>
    <row r="6557" spans="1:21">
      <c r="A6557"/>
      <c r="C6557"/>
      <c r="D6557"/>
      <c r="L6557"/>
      <c r="R6557"/>
      <c r="S6557"/>
      <c r="T6557"/>
      <c r="U6557"/>
    </row>
    <row r="6558" spans="1:21">
      <c r="A6558"/>
      <c r="C6558"/>
      <c r="D6558"/>
      <c r="L6558"/>
      <c r="R6558"/>
      <c r="S6558"/>
      <c r="T6558"/>
      <c r="U6558"/>
    </row>
    <row r="6559" spans="1:21">
      <c r="A6559"/>
      <c r="C6559"/>
      <c r="D6559"/>
      <c r="L6559"/>
      <c r="R6559"/>
      <c r="S6559"/>
      <c r="T6559"/>
      <c r="U6559"/>
    </row>
    <row r="6560" spans="1:21">
      <c r="A6560"/>
      <c r="C6560"/>
      <c r="D6560"/>
      <c r="L6560"/>
      <c r="R6560"/>
      <c r="S6560"/>
      <c r="T6560"/>
      <c r="U6560"/>
    </row>
    <row r="6561" spans="1:21">
      <c r="A6561"/>
      <c r="C6561"/>
      <c r="D6561"/>
      <c r="L6561"/>
      <c r="R6561"/>
      <c r="S6561"/>
      <c r="T6561"/>
      <c r="U6561"/>
    </row>
    <row r="6562" spans="1:21">
      <c r="A6562"/>
      <c r="C6562"/>
      <c r="D6562"/>
      <c r="L6562"/>
      <c r="R6562"/>
      <c r="S6562"/>
      <c r="T6562"/>
      <c r="U6562"/>
    </row>
    <row r="6563" spans="1:21">
      <c r="A6563"/>
      <c r="C6563"/>
      <c r="D6563"/>
      <c r="L6563"/>
      <c r="R6563"/>
      <c r="S6563"/>
      <c r="T6563"/>
      <c r="U6563"/>
    </row>
    <row r="6564" spans="1:21">
      <c r="A6564"/>
      <c r="C6564"/>
      <c r="D6564"/>
      <c r="L6564"/>
      <c r="R6564"/>
      <c r="S6564"/>
      <c r="T6564"/>
      <c r="U6564"/>
    </row>
    <row r="6565" spans="1:21">
      <c r="A6565"/>
      <c r="C6565"/>
      <c r="D6565"/>
      <c r="L6565"/>
      <c r="R6565"/>
      <c r="S6565"/>
      <c r="T6565"/>
      <c r="U6565"/>
    </row>
    <row r="6566" spans="1:21">
      <c r="A6566"/>
      <c r="C6566"/>
      <c r="D6566"/>
      <c r="L6566"/>
      <c r="R6566"/>
      <c r="S6566"/>
      <c r="T6566"/>
      <c r="U6566"/>
    </row>
    <row r="6567" spans="1:21">
      <c r="A6567"/>
      <c r="C6567"/>
      <c r="D6567"/>
      <c r="L6567"/>
      <c r="R6567"/>
      <c r="S6567"/>
      <c r="T6567"/>
      <c r="U6567"/>
    </row>
    <row r="6568" spans="1:21">
      <c r="A6568"/>
      <c r="C6568"/>
      <c r="D6568"/>
      <c r="L6568"/>
      <c r="R6568"/>
      <c r="S6568"/>
      <c r="T6568"/>
      <c r="U6568"/>
    </row>
    <row r="6569" spans="1:21">
      <c r="A6569"/>
      <c r="C6569"/>
      <c r="D6569"/>
      <c r="L6569"/>
      <c r="R6569"/>
      <c r="S6569"/>
      <c r="T6569"/>
      <c r="U6569"/>
    </row>
    <row r="6570" spans="1:21">
      <c r="A6570"/>
      <c r="C6570"/>
      <c r="D6570"/>
      <c r="L6570"/>
      <c r="R6570"/>
      <c r="S6570"/>
      <c r="T6570"/>
      <c r="U6570"/>
    </row>
    <row r="6571" spans="1:21">
      <c r="A6571"/>
      <c r="C6571"/>
      <c r="D6571"/>
      <c r="L6571"/>
      <c r="R6571"/>
      <c r="S6571"/>
      <c r="T6571"/>
      <c r="U6571"/>
    </row>
    <row r="6572" spans="1:21">
      <c r="A6572"/>
      <c r="C6572"/>
      <c r="D6572"/>
      <c r="L6572"/>
      <c r="R6572"/>
      <c r="S6572"/>
      <c r="T6572"/>
      <c r="U6572"/>
    </row>
    <row r="6573" spans="1:21">
      <c r="A6573"/>
      <c r="C6573"/>
      <c r="D6573"/>
      <c r="L6573"/>
      <c r="R6573"/>
      <c r="S6573"/>
      <c r="T6573"/>
      <c r="U6573"/>
    </row>
    <row r="6574" spans="1:21">
      <c r="A6574"/>
      <c r="C6574"/>
      <c r="D6574"/>
      <c r="L6574"/>
      <c r="R6574"/>
      <c r="S6574"/>
      <c r="T6574"/>
      <c r="U6574"/>
    </row>
    <row r="6575" spans="1:21">
      <c r="A6575"/>
      <c r="C6575"/>
      <c r="D6575"/>
      <c r="L6575"/>
      <c r="R6575"/>
      <c r="S6575"/>
      <c r="T6575"/>
      <c r="U6575"/>
    </row>
    <row r="6576" spans="1:21">
      <c r="A6576"/>
      <c r="C6576"/>
      <c r="D6576"/>
      <c r="L6576"/>
      <c r="R6576"/>
      <c r="S6576"/>
      <c r="T6576"/>
      <c r="U6576"/>
    </row>
    <row r="6577" spans="1:21">
      <c r="A6577"/>
      <c r="C6577"/>
      <c r="D6577"/>
      <c r="L6577"/>
      <c r="R6577"/>
      <c r="S6577"/>
      <c r="T6577"/>
      <c r="U6577"/>
    </row>
    <row r="6578" spans="1:21">
      <c r="A6578"/>
      <c r="C6578"/>
      <c r="D6578"/>
      <c r="L6578"/>
      <c r="R6578"/>
      <c r="S6578"/>
      <c r="T6578"/>
      <c r="U6578"/>
    </row>
    <row r="6579" spans="1:21">
      <c r="A6579"/>
      <c r="C6579"/>
      <c r="D6579"/>
      <c r="L6579"/>
      <c r="R6579"/>
      <c r="S6579"/>
      <c r="T6579"/>
      <c r="U6579"/>
    </row>
    <row r="6580" spans="1:21">
      <c r="A6580"/>
      <c r="C6580"/>
      <c r="D6580"/>
      <c r="L6580"/>
      <c r="R6580"/>
      <c r="S6580"/>
      <c r="T6580"/>
      <c r="U6580"/>
    </row>
    <row r="6581" spans="1:21">
      <c r="A6581"/>
      <c r="C6581"/>
      <c r="D6581"/>
      <c r="L6581"/>
      <c r="R6581"/>
      <c r="S6581"/>
      <c r="T6581"/>
      <c r="U6581"/>
    </row>
    <row r="6582" spans="1:21">
      <c r="A6582"/>
      <c r="C6582"/>
      <c r="D6582"/>
      <c r="L6582"/>
      <c r="R6582"/>
      <c r="S6582"/>
      <c r="T6582"/>
      <c r="U6582"/>
    </row>
    <row r="6583" spans="1:21">
      <c r="A6583"/>
      <c r="C6583"/>
      <c r="D6583"/>
      <c r="L6583"/>
      <c r="R6583"/>
      <c r="S6583"/>
      <c r="T6583"/>
      <c r="U6583"/>
    </row>
    <row r="6584" spans="1:21">
      <c r="A6584"/>
      <c r="C6584"/>
      <c r="D6584"/>
      <c r="L6584"/>
      <c r="R6584"/>
      <c r="S6584"/>
      <c r="T6584"/>
      <c r="U6584"/>
    </row>
    <row r="6585" spans="1:21">
      <c r="A6585"/>
      <c r="C6585"/>
      <c r="D6585"/>
      <c r="L6585"/>
      <c r="R6585"/>
      <c r="S6585"/>
      <c r="T6585"/>
      <c r="U6585"/>
    </row>
    <row r="6586" spans="1:21">
      <c r="A6586"/>
      <c r="C6586"/>
      <c r="D6586"/>
      <c r="L6586"/>
      <c r="R6586"/>
      <c r="S6586"/>
      <c r="T6586"/>
      <c r="U6586"/>
    </row>
    <row r="6587" spans="1:21">
      <c r="A6587"/>
      <c r="C6587"/>
      <c r="D6587"/>
      <c r="L6587"/>
      <c r="R6587"/>
      <c r="S6587"/>
      <c r="T6587"/>
      <c r="U6587"/>
    </row>
    <row r="6588" spans="1:21">
      <c r="A6588"/>
      <c r="C6588"/>
      <c r="D6588"/>
      <c r="L6588"/>
      <c r="R6588"/>
      <c r="S6588"/>
      <c r="T6588"/>
      <c r="U6588"/>
    </row>
    <row r="6589" spans="1:21">
      <c r="A6589"/>
      <c r="C6589"/>
      <c r="D6589"/>
      <c r="L6589"/>
      <c r="R6589"/>
      <c r="S6589"/>
      <c r="T6589"/>
      <c r="U6589"/>
    </row>
    <row r="6590" spans="1:21">
      <c r="A6590"/>
      <c r="C6590"/>
      <c r="D6590"/>
      <c r="L6590"/>
      <c r="R6590"/>
      <c r="S6590"/>
      <c r="T6590"/>
      <c r="U6590"/>
    </row>
    <row r="6591" spans="1:21">
      <c r="A6591"/>
      <c r="C6591"/>
      <c r="D6591"/>
      <c r="L6591"/>
      <c r="R6591"/>
      <c r="S6591"/>
      <c r="T6591"/>
      <c r="U6591"/>
    </row>
    <row r="6592" spans="1:21">
      <c r="A6592"/>
      <c r="C6592"/>
      <c r="D6592"/>
      <c r="L6592"/>
      <c r="R6592"/>
      <c r="S6592"/>
      <c r="T6592"/>
      <c r="U6592"/>
    </row>
    <row r="6593" spans="1:21">
      <c r="A6593"/>
      <c r="C6593"/>
      <c r="D6593"/>
      <c r="L6593"/>
      <c r="R6593"/>
      <c r="S6593"/>
      <c r="T6593"/>
      <c r="U6593"/>
    </row>
    <row r="6594" spans="1:21">
      <c r="A6594"/>
      <c r="C6594"/>
      <c r="D6594"/>
      <c r="L6594"/>
      <c r="R6594"/>
      <c r="S6594"/>
      <c r="T6594"/>
      <c r="U6594"/>
    </row>
    <row r="6595" spans="1:21">
      <c r="A6595"/>
      <c r="C6595"/>
      <c r="D6595"/>
      <c r="L6595"/>
      <c r="R6595"/>
      <c r="S6595"/>
      <c r="T6595"/>
      <c r="U6595"/>
    </row>
    <row r="6596" spans="1:21">
      <c r="A6596"/>
      <c r="C6596"/>
      <c r="D6596"/>
      <c r="L6596"/>
      <c r="R6596"/>
      <c r="S6596"/>
      <c r="T6596"/>
      <c r="U6596"/>
    </row>
    <row r="6597" spans="1:21">
      <c r="A6597"/>
      <c r="C6597"/>
      <c r="D6597"/>
      <c r="L6597"/>
      <c r="R6597"/>
      <c r="S6597"/>
      <c r="T6597"/>
      <c r="U6597"/>
    </row>
    <row r="6598" spans="1:21">
      <c r="A6598"/>
      <c r="C6598"/>
      <c r="D6598"/>
      <c r="L6598"/>
      <c r="R6598"/>
      <c r="S6598"/>
      <c r="T6598"/>
      <c r="U6598"/>
    </row>
    <row r="6599" spans="1:21">
      <c r="A6599"/>
      <c r="C6599"/>
      <c r="D6599"/>
      <c r="L6599"/>
      <c r="R6599"/>
      <c r="S6599"/>
      <c r="T6599"/>
      <c r="U6599"/>
    </row>
    <row r="6600" spans="1:21">
      <c r="A6600"/>
      <c r="C6600"/>
      <c r="D6600"/>
      <c r="L6600"/>
      <c r="R6600"/>
      <c r="S6600"/>
      <c r="T6600"/>
      <c r="U6600"/>
    </row>
    <row r="6601" spans="1:21">
      <c r="A6601"/>
      <c r="C6601"/>
      <c r="D6601"/>
      <c r="L6601"/>
      <c r="R6601"/>
      <c r="S6601"/>
      <c r="T6601"/>
      <c r="U6601"/>
    </row>
    <row r="6602" spans="1:21">
      <c r="A6602"/>
      <c r="C6602"/>
      <c r="D6602"/>
      <c r="L6602"/>
      <c r="R6602"/>
      <c r="S6602"/>
      <c r="T6602"/>
      <c r="U6602"/>
    </row>
    <row r="6603" spans="1:21">
      <c r="A6603"/>
      <c r="C6603"/>
      <c r="D6603"/>
      <c r="L6603"/>
      <c r="R6603"/>
      <c r="S6603"/>
      <c r="T6603"/>
      <c r="U6603"/>
    </row>
    <row r="6604" spans="1:21">
      <c r="A6604"/>
      <c r="C6604"/>
      <c r="D6604"/>
      <c r="L6604"/>
      <c r="R6604"/>
      <c r="S6604"/>
      <c r="T6604"/>
      <c r="U6604"/>
    </row>
    <row r="6605" spans="1:21">
      <c r="A6605"/>
      <c r="C6605"/>
      <c r="D6605"/>
      <c r="L6605"/>
      <c r="R6605"/>
      <c r="S6605"/>
      <c r="T6605"/>
      <c r="U6605"/>
    </row>
    <row r="6606" spans="1:21">
      <c r="A6606"/>
      <c r="C6606"/>
      <c r="D6606"/>
      <c r="L6606"/>
      <c r="R6606"/>
      <c r="S6606"/>
      <c r="T6606"/>
      <c r="U6606"/>
    </row>
    <row r="6607" spans="1:21">
      <c r="A6607"/>
      <c r="C6607"/>
      <c r="D6607"/>
      <c r="L6607"/>
      <c r="R6607"/>
      <c r="S6607"/>
      <c r="T6607"/>
      <c r="U6607"/>
    </row>
    <row r="6608" spans="1:21">
      <c r="A6608"/>
      <c r="C6608"/>
      <c r="D6608"/>
      <c r="L6608"/>
      <c r="R6608"/>
      <c r="S6608"/>
      <c r="T6608"/>
      <c r="U6608"/>
    </row>
    <row r="6609" spans="1:21">
      <c r="A6609"/>
      <c r="C6609"/>
      <c r="D6609"/>
      <c r="L6609"/>
      <c r="R6609"/>
      <c r="S6609"/>
      <c r="T6609"/>
      <c r="U6609"/>
    </row>
    <row r="6610" spans="1:21">
      <c r="A6610"/>
      <c r="C6610"/>
      <c r="D6610"/>
      <c r="L6610"/>
      <c r="R6610"/>
      <c r="S6610"/>
      <c r="T6610"/>
      <c r="U6610"/>
    </row>
    <row r="6611" spans="1:21">
      <c r="A6611"/>
      <c r="C6611"/>
      <c r="D6611"/>
      <c r="L6611"/>
      <c r="R6611"/>
      <c r="S6611"/>
      <c r="T6611"/>
      <c r="U6611"/>
    </row>
    <row r="6612" spans="1:21">
      <c r="A6612"/>
      <c r="C6612"/>
      <c r="D6612"/>
      <c r="L6612"/>
      <c r="R6612"/>
      <c r="S6612"/>
      <c r="T6612"/>
      <c r="U6612"/>
    </row>
    <row r="6613" spans="1:21">
      <c r="A6613"/>
      <c r="C6613"/>
      <c r="D6613"/>
      <c r="L6613"/>
      <c r="R6613"/>
      <c r="S6613"/>
      <c r="T6613"/>
      <c r="U6613"/>
    </row>
    <row r="6614" spans="1:21">
      <c r="A6614"/>
      <c r="C6614"/>
      <c r="D6614"/>
      <c r="L6614"/>
      <c r="R6614"/>
      <c r="S6614"/>
      <c r="T6614"/>
      <c r="U6614"/>
    </row>
    <row r="6615" spans="1:21">
      <c r="A6615"/>
      <c r="C6615"/>
      <c r="D6615"/>
      <c r="L6615"/>
      <c r="R6615"/>
      <c r="S6615"/>
      <c r="T6615"/>
      <c r="U6615"/>
    </row>
    <row r="6616" spans="1:21">
      <c r="A6616"/>
      <c r="C6616"/>
      <c r="D6616"/>
      <c r="L6616"/>
      <c r="R6616"/>
      <c r="S6616"/>
      <c r="T6616"/>
      <c r="U6616"/>
    </row>
    <row r="6617" spans="1:21">
      <c r="A6617"/>
      <c r="C6617"/>
      <c r="D6617"/>
      <c r="L6617"/>
      <c r="R6617"/>
      <c r="S6617"/>
      <c r="T6617"/>
      <c r="U6617"/>
    </row>
    <row r="6618" spans="1:21">
      <c r="A6618"/>
      <c r="C6618"/>
      <c r="D6618"/>
      <c r="L6618"/>
      <c r="R6618"/>
      <c r="S6618"/>
      <c r="T6618"/>
      <c r="U6618"/>
    </row>
    <row r="6619" spans="1:21">
      <c r="A6619"/>
      <c r="C6619"/>
      <c r="D6619"/>
      <c r="L6619"/>
      <c r="R6619"/>
      <c r="S6619"/>
      <c r="T6619"/>
      <c r="U6619"/>
    </row>
    <row r="6620" spans="1:21">
      <c r="A6620"/>
      <c r="C6620"/>
      <c r="D6620"/>
      <c r="L6620"/>
      <c r="R6620"/>
      <c r="S6620"/>
      <c r="T6620"/>
      <c r="U6620"/>
    </row>
    <row r="6621" spans="1:21">
      <c r="A6621"/>
      <c r="C6621"/>
      <c r="D6621"/>
      <c r="L6621"/>
      <c r="R6621"/>
      <c r="S6621"/>
      <c r="T6621"/>
      <c r="U6621"/>
    </row>
    <row r="6622" spans="1:21">
      <c r="A6622"/>
      <c r="C6622"/>
      <c r="D6622"/>
      <c r="L6622"/>
      <c r="R6622"/>
      <c r="S6622"/>
      <c r="T6622"/>
      <c r="U6622"/>
    </row>
    <row r="6623" spans="1:21">
      <c r="A6623"/>
      <c r="C6623"/>
      <c r="D6623"/>
      <c r="L6623"/>
      <c r="R6623"/>
      <c r="S6623"/>
      <c r="T6623"/>
      <c r="U6623"/>
    </row>
    <row r="6624" spans="1:21">
      <c r="A6624"/>
      <c r="C6624"/>
      <c r="D6624"/>
      <c r="L6624"/>
      <c r="R6624"/>
      <c r="S6624"/>
      <c r="T6624"/>
      <c r="U6624"/>
    </row>
    <row r="6625" spans="1:21">
      <c r="A6625"/>
      <c r="C6625"/>
      <c r="D6625"/>
      <c r="L6625"/>
      <c r="R6625"/>
      <c r="S6625"/>
      <c r="T6625"/>
      <c r="U6625"/>
    </row>
    <row r="6626" spans="1:21">
      <c r="A6626"/>
      <c r="C6626"/>
      <c r="D6626"/>
      <c r="L6626"/>
      <c r="R6626"/>
      <c r="S6626"/>
      <c r="T6626"/>
      <c r="U6626"/>
    </row>
    <row r="6627" spans="1:21">
      <c r="A6627"/>
      <c r="C6627"/>
      <c r="D6627"/>
      <c r="L6627"/>
      <c r="R6627"/>
      <c r="S6627"/>
      <c r="T6627"/>
      <c r="U6627"/>
    </row>
    <row r="6628" spans="1:21">
      <c r="A6628"/>
      <c r="C6628"/>
      <c r="D6628"/>
      <c r="L6628"/>
      <c r="R6628"/>
      <c r="S6628"/>
      <c r="T6628"/>
      <c r="U6628"/>
    </row>
    <row r="6629" spans="1:21">
      <c r="A6629"/>
      <c r="C6629"/>
      <c r="D6629"/>
      <c r="L6629"/>
      <c r="R6629"/>
      <c r="S6629"/>
      <c r="T6629"/>
      <c r="U6629"/>
    </row>
    <row r="6630" spans="1:21">
      <c r="A6630"/>
      <c r="C6630"/>
      <c r="D6630"/>
      <c r="L6630"/>
      <c r="R6630"/>
      <c r="S6630"/>
      <c r="T6630"/>
      <c r="U6630"/>
    </row>
    <row r="6631" spans="1:21">
      <c r="A6631"/>
      <c r="C6631"/>
      <c r="D6631"/>
      <c r="L6631"/>
      <c r="R6631"/>
      <c r="S6631"/>
      <c r="T6631"/>
      <c r="U6631"/>
    </row>
    <row r="6632" spans="1:21">
      <c r="A6632"/>
      <c r="C6632"/>
      <c r="D6632"/>
      <c r="L6632"/>
      <c r="R6632"/>
      <c r="S6632"/>
      <c r="T6632"/>
      <c r="U6632"/>
    </row>
    <row r="6633" spans="1:21">
      <c r="A6633"/>
      <c r="C6633"/>
      <c r="D6633"/>
      <c r="L6633"/>
      <c r="R6633"/>
      <c r="S6633"/>
      <c r="T6633"/>
      <c r="U6633"/>
    </row>
    <row r="6634" spans="1:21">
      <c r="A6634"/>
      <c r="C6634"/>
      <c r="D6634"/>
      <c r="L6634"/>
      <c r="R6634"/>
      <c r="S6634"/>
      <c r="T6634"/>
      <c r="U6634"/>
    </row>
    <row r="6635" spans="1:21">
      <c r="A6635"/>
      <c r="C6635"/>
      <c r="D6635"/>
      <c r="L6635"/>
      <c r="R6635"/>
      <c r="S6635"/>
      <c r="T6635"/>
      <c r="U6635"/>
    </row>
    <row r="6636" spans="1:21">
      <c r="A6636"/>
      <c r="C6636"/>
      <c r="D6636"/>
      <c r="L6636"/>
      <c r="R6636"/>
      <c r="S6636"/>
      <c r="T6636"/>
      <c r="U6636"/>
    </row>
    <row r="6637" spans="1:21">
      <c r="A6637"/>
      <c r="C6637"/>
      <c r="D6637"/>
      <c r="L6637"/>
      <c r="R6637"/>
      <c r="S6637"/>
      <c r="T6637"/>
      <c r="U6637"/>
    </row>
    <row r="6638" spans="1:21">
      <c r="A6638"/>
      <c r="C6638"/>
      <c r="D6638"/>
      <c r="L6638"/>
      <c r="R6638"/>
      <c r="S6638"/>
      <c r="T6638"/>
      <c r="U6638"/>
    </row>
    <row r="6639" spans="1:21">
      <c r="A6639"/>
      <c r="C6639"/>
      <c r="D6639"/>
      <c r="L6639"/>
      <c r="R6639"/>
      <c r="S6639"/>
      <c r="T6639"/>
      <c r="U6639"/>
    </row>
    <row r="6640" spans="1:21">
      <c r="A6640"/>
      <c r="C6640"/>
      <c r="D6640"/>
      <c r="L6640"/>
      <c r="R6640"/>
      <c r="S6640"/>
      <c r="T6640"/>
      <c r="U6640"/>
    </row>
    <row r="6641" spans="1:21">
      <c r="A6641"/>
      <c r="C6641"/>
      <c r="D6641"/>
      <c r="L6641"/>
      <c r="R6641"/>
      <c r="S6641"/>
      <c r="T6641"/>
      <c r="U6641"/>
    </row>
    <row r="6642" spans="1:21">
      <c r="A6642"/>
      <c r="C6642"/>
      <c r="D6642"/>
      <c r="L6642"/>
      <c r="R6642"/>
      <c r="S6642"/>
      <c r="T6642"/>
      <c r="U6642"/>
    </row>
    <row r="6643" spans="1:21">
      <c r="A6643"/>
      <c r="C6643"/>
      <c r="D6643"/>
      <c r="L6643"/>
      <c r="R6643"/>
      <c r="S6643"/>
      <c r="T6643"/>
      <c r="U6643"/>
    </row>
    <row r="6644" spans="1:21">
      <c r="A6644"/>
      <c r="C6644"/>
      <c r="D6644"/>
      <c r="L6644"/>
      <c r="R6644"/>
      <c r="S6644"/>
      <c r="T6644"/>
      <c r="U6644"/>
    </row>
    <row r="6645" spans="1:21">
      <c r="A6645"/>
      <c r="C6645"/>
      <c r="D6645"/>
      <c r="L6645"/>
      <c r="R6645"/>
      <c r="S6645"/>
      <c r="T6645"/>
      <c r="U6645"/>
    </row>
    <row r="6646" spans="1:21">
      <c r="A6646"/>
      <c r="C6646"/>
      <c r="D6646"/>
      <c r="L6646"/>
      <c r="R6646"/>
      <c r="S6646"/>
      <c r="T6646"/>
      <c r="U6646"/>
    </row>
    <row r="6647" spans="1:21">
      <c r="A6647"/>
      <c r="C6647"/>
      <c r="D6647"/>
      <c r="L6647"/>
      <c r="R6647"/>
      <c r="S6647"/>
      <c r="T6647"/>
      <c r="U6647"/>
    </row>
    <row r="6648" spans="1:21">
      <c r="A6648"/>
      <c r="C6648"/>
      <c r="D6648"/>
      <c r="L6648"/>
      <c r="R6648"/>
      <c r="S6648"/>
      <c r="T6648"/>
      <c r="U6648"/>
    </row>
    <row r="6649" spans="1:21">
      <c r="A6649"/>
      <c r="C6649"/>
      <c r="D6649"/>
      <c r="L6649"/>
      <c r="R6649"/>
      <c r="S6649"/>
      <c r="T6649"/>
      <c r="U6649"/>
    </row>
    <row r="6650" spans="1:21">
      <c r="A6650"/>
      <c r="C6650"/>
      <c r="D6650"/>
      <c r="L6650"/>
      <c r="R6650"/>
      <c r="S6650"/>
      <c r="T6650"/>
      <c r="U6650"/>
    </row>
    <row r="6651" spans="1:21">
      <c r="A6651"/>
      <c r="C6651"/>
      <c r="D6651"/>
      <c r="L6651"/>
      <c r="R6651"/>
      <c r="S6651"/>
      <c r="T6651"/>
      <c r="U6651"/>
    </row>
    <row r="6652" spans="1:21">
      <c r="A6652"/>
      <c r="C6652"/>
      <c r="D6652"/>
      <c r="L6652"/>
      <c r="R6652"/>
      <c r="S6652"/>
      <c r="T6652"/>
      <c r="U6652"/>
    </row>
    <row r="6653" spans="1:21">
      <c r="A6653"/>
      <c r="C6653"/>
      <c r="D6653"/>
      <c r="L6653"/>
      <c r="R6653"/>
      <c r="S6653"/>
      <c r="T6653"/>
      <c r="U6653"/>
    </row>
    <row r="6654" spans="1:21">
      <c r="A6654"/>
      <c r="C6654"/>
      <c r="D6654"/>
      <c r="L6654"/>
      <c r="R6654"/>
      <c r="S6654"/>
      <c r="T6654"/>
      <c r="U6654"/>
    </row>
    <row r="6655" spans="1:21">
      <c r="A6655"/>
      <c r="C6655"/>
      <c r="D6655"/>
      <c r="L6655"/>
      <c r="R6655"/>
      <c r="S6655"/>
      <c r="T6655"/>
      <c r="U6655"/>
    </row>
    <row r="6656" spans="1:21">
      <c r="A6656"/>
      <c r="C6656"/>
      <c r="D6656"/>
      <c r="L6656"/>
      <c r="R6656"/>
      <c r="S6656"/>
      <c r="T6656"/>
      <c r="U6656"/>
    </row>
    <row r="6657" spans="1:21">
      <c r="A6657"/>
      <c r="C6657"/>
      <c r="D6657"/>
      <c r="L6657"/>
      <c r="R6657"/>
      <c r="S6657"/>
      <c r="T6657"/>
      <c r="U6657"/>
    </row>
    <row r="6658" spans="1:21">
      <c r="A6658"/>
      <c r="C6658"/>
      <c r="D6658"/>
      <c r="L6658"/>
      <c r="R6658"/>
      <c r="S6658"/>
      <c r="T6658"/>
      <c r="U6658"/>
    </row>
    <row r="6659" spans="1:21">
      <c r="A6659"/>
      <c r="C6659"/>
      <c r="D6659"/>
      <c r="L6659"/>
      <c r="R6659"/>
      <c r="S6659"/>
      <c r="T6659"/>
      <c r="U6659"/>
    </row>
    <row r="6660" spans="1:21">
      <c r="A6660"/>
      <c r="C6660"/>
      <c r="D6660"/>
      <c r="L6660"/>
      <c r="R6660"/>
      <c r="S6660"/>
      <c r="T6660"/>
      <c r="U6660"/>
    </row>
    <row r="6661" spans="1:21">
      <c r="A6661"/>
      <c r="C6661"/>
      <c r="D6661"/>
      <c r="L6661"/>
      <c r="R6661"/>
      <c r="S6661"/>
      <c r="T6661"/>
      <c r="U6661"/>
    </row>
    <row r="6662" spans="1:21">
      <c r="A6662"/>
      <c r="C6662"/>
      <c r="D6662"/>
      <c r="L6662"/>
      <c r="R6662"/>
      <c r="S6662"/>
      <c r="T6662"/>
      <c r="U6662"/>
    </row>
    <row r="6663" spans="1:21">
      <c r="A6663"/>
      <c r="C6663"/>
      <c r="D6663"/>
      <c r="L6663"/>
      <c r="R6663"/>
      <c r="S6663"/>
      <c r="T6663"/>
      <c r="U6663"/>
    </row>
    <row r="6664" spans="1:21">
      <c r="A6664"/>
      <c r="C6664"/>
      <c r="D6664"/>
      <c r="L6664"/>
      <c r="R6664"/>
      <c r="S6664"/>
      <c r="T6664"/>
      <c r="U6664"/>
    </row>
    <row r="6665" spans="1:21">
      <c r="A6665"/>
      <c r="C6665"/>
      <c r="D6665"/>
      <c r="L6665"/>
      <c r="R6665"/>
      <c r="S6665"/>
      <c r="T6665"/>
      <c r="U6665"/>
    </row>
    <row r="6666" spans="1:21">
      <c r="A6666"/>
      <c r="C6666"/>
      <c r="D6666"/>
      <c r="L6666"/>
      <c r="R6666"/>
      <c r="S6666"/>
      <c r="T6666"/>
      <c r="U6666"/>
    </row>
    <row r="6667" spans="1:21">
      <c r="A6667"/>
      <c r="C6667"/>
      <c r="D6667"/>
      <c r="L6667"/>
      <c r="R6667"/>
      <c r="S6667"/>
      <c r="T6667"/>
      <c r="U6667"/>
    </row>
    <row r="6668" spans="1:21">
      <c r="A6668"/>
      <c r="C6668"/>
      <c r="D6668"/>
      <c r="L6668"/>
      <c r="R6668"/>
      <c r="S6668"/>
      <c r="T6668"/>
      <c r="U6668"/>
    </row>
    <row r="6669" spans="1:21">
      <c r="A6669"/>
      <c r="C6669"/>
      <c r="D6669"/>
      <c r="L6669"/>
      <c r="R6669"/>
      <c r="S6669"/>
      <c r="T6669"/>
      <c r="U6669"/>
    </row>
    <row r="6670" spans="1:21">
      <c r="A6670"/>
      <c r="C6670"/>
      <c r="D6670"/>
      <c r="L6670"/>
      <c r="R6670"/>
      <c r="S6670"/>
      <c r="T6670"/>
      <c r="U6670"/>
    </row>
    <row r="6671" spans="1:21">
      <c r="A6671"/>
      <c r="C6671"/>
      <c r="D6671"/>
      <c r="L6671"/>
      <c r="R6671"/>
      <c r="S6671"/>
      <c r="T6671"/>
      <c r="U6671"/>
    </row>
    <row r="6672" spans="1:21">
      <c r="A6672"/>
      <c r="C6672"/>
      <c r="D6672"/>
      <c r="L6672"/>
      <c r="R6672"/>
      <c r="S6672"/>
      <c r="T6672"/>
      <c r="U6672"/>
    </row>
    <row r="6673" spans="1:21">
      <c r="A6673"/>
      <c r="C6673"/>
      <c r="D6673"/>
      <c r="L6673"/>
      <c r="R6673"/>
      <c r="S6673"/>
      <c r="T6673"/>
      <c r="U6673"/>
    </row>
    <row r="6674" spans="1:21">
      <c r="A6674"/>
      <c r="C6674"/>
      <c r="D6674"/>
      <c r="L6674"/>
      <c r="R6674"/>
      <c r="S6674"/>
      <c r="T6674"/>
      <c r="U6674"/>
    </row>
    <row r="6675" spans="1:21">
      <c r="A6675"/>
      <c r="C6675"/>
      <c r="D6675"/>
      <c r="L6675"/>
      <c r="R6675"/>
      <c r="S6675"/>
      <c r="T6675"/>
      <c r="U6675"/>
    </row>
    <row r="6676" spans="1:21">
      <c r="A6676"/>
      <c r="C6676"/>
      <c r="D6676"/>
      <c r="L6676"/>
      <c r="R6676"/>
      <c r="S6676"/>
      <c r="T6676"/>
      <c r="U6676"/>
    </row>
    <row r="6677" spans="1:21">
      <c r="A6677"/>
      <c r="C6677"/>
      <c r="D6677"/>
      <c r="L6677"/>
      <c r="R6677"/>
      <c r="S6677"/>
      <c r="T6677"/>
      <c r="U6677"/>
    </row>
    <row r="6678" spans="1:21">
      <c r="A6678"/>
      <c r="C6678"/>
      <c r="D6678"/>
      <c r="L6678"/>
      <c r="R6678"/>
      <c r="S6678"/>
      <c r="T6678"/>
      <c r="U6678"/>
    </row>
    <row r="6679" spans="1:21">
      <c r="A6679"/>
      <c r="C6679"/>
      <c r="D6679"/>
      <c r="L6679"/>
      <c r="R6679"/>
      <c r="S6679"/>
      <c r="T6679"/>
      <c r="U6679"/>
    </row>
    <row r="6680" spans="1:21">
      <c r="A6680"/>
      <c r="C6680"/>
      <c r="D6680"/>
      <c r="L6680"/>
      <c r="R6680"/>
      <c r="S6680"/>
      <c r="T6680"/>
      <c r="U6680"/>
    </row>
    <row r="6681" spans="1:21">
      <c r="A6681"/>
      <c r="C6681"/>
      <c r="D6681"/>
      <c r="L6681"/>
      <c r="R6681"/>
      <c r="S6681"/>
      <c r="T6681"/>
      <c r="U6681"/>
    </row>
    <row r="6682" spans="1:21">
      <c r="A6682"/>
      <c r="C6682"/>
      <c r="D6682"/>
      <c r="L6682"/>
      <c r="R6682"/>
      <c r="S6682"/>
      <c r="T6682"/>
      <c r="U6682"/>
    </row>
    <row r="6683" spans="1:21">
      <c r="A6683"/>
      <c r="C6683"/>
      <c r="D6683"/>
      <c r="L6683"/>
      <c r="R6683"/>
      <c r="S6683"/>
      <c r="T6683"/>
      <c r="U6683"/>
    </row>
    <row r="6684" spans="1:21">
      <c r="A6684"/>
      <c r="C6684"/>
      <c r="D6684"/>
      <c r="L6684"/>
      <c r="R6684"/>
      <c r="S6684"/>
      <c r="T6684"/>
      <c r="U6684"/>
    </row>
    <row r="6685" spans="1:21">
      <c r="A6685"/>
      <c r="C6685"/>
      <c r="D6685"/>
      <c r="L6685"/>
      <c r="R6685"/>
      <c r="S6685"/>
      <c r="T6685"/>
      <c r="U6685"/>
    </row>
    <row r="6686" spans="1:21">
      <c r="A6686"/>
      <c r="C6686"/>
      <c r="D6686"/>
      <c r="L6686"/>
      <c r="R6686"/>
      <c r="S6686"/>
      <c r="T6686"/>
      <c r="U6686"/>
    </row>
    <row r="6687" spans="1:21">
      <c r="A6687"/>
      <c r="C6687"/>
      <c r="D6687"/>
      <c r="L6687"/>
      <c r="R6687"/>
      <c r="S6687"/>
      <c r="T6687"/>
      <c r="U6687"/>
    </row>
    <row r="6688" spans="1:21">
      <c r="A6688"/>
      <c r="C6688"/>
      <c r="D6688"/>
      <c r="L6688"/>
      <c r="R6688"/>
      <c r="S6688"/>
      <c r="T6688"/>
      <c r="U6688"/>
    </row>
    <row r="6689" spans="1:21">
      <c r="A6689"/>
      <c r="C6689"/>
      <c r="D6689"/>
      <c r="L6689"/>
      <c r="R6689"/>
      <c r="S6689"/>
      <c r="T6689"/>
      <c r="U6689"/>
    </row>
    <row r="6690" spans="1:21">
      <c r="A6690"/>
      <c r="C6690"/>
      <c r="D6690"/>
      <c r="L6690"/>
      <c r="R6690"/>
      <c r="S6690"/>
      <c r="T6690"/>
      <c r="U6690"/>
    </row>
    <row r="6691" spans="1:21">
      <c r="A6691"/>
      <c r="C6691"/>
      <c r="D6691"/>
      <c r="L6691"/>
      <c r="R6691"/>
      <c r="S6691"/>
      <c r="T6691"/>
      <c r="U6691"/>
    </row>
    <row r="6692" spans="1:21">
      <c r="A6692"/>
      <c r="C6692"/>
      <c r="D6692"/>
      <c r="L6692"/>
      <c r="R6692"/>
      <c r="S6692"/>
      <c r="T6692"/>
      <c r="U6692"/>
    </row>
    <row r="6693" spans="1:21">
      <c r="A6693"/>
      <c r="C6693"/>
      <c r="D6693"/>
      <c r="L6693"/>
      <c r="R6693"/>
      <c r="S6693"/>
      <c r="T6693"/>
      <c r="U6693"/>
    </row>
    <row r="6694" spans="1:21">
      <c r="A6694"/>
      <c r="C6694"/>
      <c r="D6694"/>
      <c r="L6694"/>
      <c r="R6694"/>
      <c r="S6694"/>
      <c r="T6694"/>
      <c r="U6694"/>
    </row>
    <row r="6695" spans="1:21">
      <c r="A6695"/>
      <c r="C6695"/>
      <c r="D6695"/>
      <c r="L6695"/>
      <c r="R6695"/>
      <c r="S6695"/>
      <c r="T6695"/>
      <c r="U6695"/>
    </row>
    <row r="6696" spans="1:21">
      <c r="A6696"/>
      <c r="C6696"/>
      <c r="D6696"/>
      <c r="L6696"/>
      <c r="R6696"/>
      <c r="S6696"/>
      <c r="T6696"/>
      <c r="U6696"/>
    </row>
    <row r="6697" spans="1:21">
      <c r="A6697"/>
      <c r="C6697"/>
      <c r="D6697"/>
      <c r="L6697"/>
      <c r="R6697"/>
      <c r="S6697"/>
      <c r="T6697"/>
      <c r="U6697"/>
    </row>
    <row r="6698" spans="1:21">
      <c r="A6698"/>
      <c r="C6698"/>
      <c r="D6698"/>
      <c r="L6698"/>
      <c r="R6698"/>
      <c r="S6698"/>
      <c r="T6698"/>
      <c r="U6698"/>
    </row>
    <row r="6699" spans="1:21">
      <c r="A6699"/>
      <c r="C6699"/>
      <c r="D6699"/>
      <c r="L6699"/>
      <c r="R6699"/>
      <c r="S6699"/>
      <c r="T6699"/>
      <c r="U6699"/>
    </row>
    <row r="6700" spans="1:21">
      <c r="A6700"/>
      <c r="C6700"/>
      <c r="D6700"/>
      <c r="L6700"/>
      <c r="R6700"/>
      <c r="S6700"/>
      <c r="T6700"/>
      <c r="U6700"/>
    </row>
    <row r="6701" spans="1:21">
      <c r="A6701"/>
      <c r="C6701"/>
      <c r="D6701"/>
      <c r="L6701"/>
      <c r="R6701"/>
      <c r="S6701"/>
      <c r="T6701"/>
      <c r="U6701"/>
    </row>
    <row r="6702" spans="1:21">
      <c r="A6702"/>
      <c r="C6702"/>
      <c r="D6702"/>
      <c r="L6702"/>
      <c r="R6702"/>
      <c r="S6702"/>
      <c r="T6702"/>
      <c r="U6702"/>
    </row>
    <row r="6703" spans="1:21">
      <c r="A6703"/>
      <c r="C6703"/>
      <c r="D6703"/>
      <c r="L6703"/>
      <c r="R6703"/>
      <c r="S6703"/>
      <c r="T6703"/>
      <c r="U6703"/>
    </row>
    <row r="6704" spans="1:21">
      <c r="A6704"/>
      <c r="C6704"/>
      <c r="D6704"/>
      <c r="L6704"/>
      <c r="R6704"/>
      <c r="S6704"/>
      <c r="T6704"/>
      <c r="U6704"/>
    </row>
    <row r="6705" spans="1:21">
      <c r="A6705"/>
      <c r="C6705"/>
      <c r="D6705"/>
      <c r="L6705"/>
      <c r="R6705"/>
      <c r="S6705"/>
      <c r="T6705"/>
      <c r="U6705"/>
    </row>
    <row r="6706" spans="1:21">
      <c r="A6706"/>
      <c r="C6706"/>
      <c r="D6706"/>
      <c r="L6706"/>
      <c r="R6706"/>
      <c r="S6706"/>
      <c r="T6706"/>
      <c r="U6706"/>
    </row>
    <row r="6707" spans="1:21">
      <c r="A6707"/>
      <c r="C6707"/>
      <c r="D6707"/>
      <c r="L6707"/>
      <c r="R6707"/>
      <c r="S6707"/>
      <c r="T6707"/>
      <c r="U6707"/>
    </row>
    <row r="6708" spans="1:21">
      <c r="A6708"/>
      <c r="C6708"/>
      <c r="D6708"/>
      <c r="L6708"/>
      <c r="R6708"/>
      <c r="S6708"/>
      <c r="T6708"/>
      <c r="U6708"/>
    </row>
    <row r="6709" spans="1:21">
      <c r="A6709"/>
      <c r="C6709"/>
      <c r="D6709"/>
      <c r="L6709"/>
      <c r="R6709"/>
      <c r="S6709"/>
      <c r="T6709"/>
      <c r="U6709"/>
    </row>
    <row r="6710" spans="1:21">
      <c r="A6710"/>
      <c r="C6710"/>
      <c r="D6710"/>
      <c r="L6710"/>
      <c r="R6710"/>
      <c r="S6710"/>
      <c r="T6710"/>
      <c r="U6710"/>
    </row>
    <row r="6711" spans="1:21">
      <c r="A6711"/>
      <c r="C6711"/>
      <c r="D6711"/>
      <c r="L6711"/>
      <c r="R6711"/>
      <c r="S6711"/>
      <c r="T6711"/>
      <c r="U6711"/>
    </row>
    <row r="6712" spans="1:21">
      <c r="A6712"/>
      <c r="C6712"/>
      <c r="D6712"/>
      <c r="L6712"/>
      <c r="R6712"/>
      <c r="S6712"/>
      <c r="T6712"/>
      <c r="U6712"/>
    </row>
    <row r="6713" spans="1:21">
      <c r="A6713"/>
      <c r="C6713"/>
      <c r="D6713"/>
      <c r="L6713"/>
      <c r="R6713"/>
      <c r="S6713"/>
      <c r="T6713"/>
      <c r="U6713"/>
    </row>
    <row r="6714" spans="1:21">
      <c r="A6714"/>
      <c r="C6714"/>
      <c r="D6714"/>
      <c r="L6714"/>
      <c r="R6714"/>
      <c r="S6714"/>
      <c r="T6714"/>
      <c r="U6714"/>
    </row>
    <row r="6715" spans="1:21">
      <c r="A6715"/>
      <c r="C6715"/>
      <c r="D6715"/>
      <c r="L6715"/>
      <c r="R6715"/>
      <c r="S6715"/>
      <c r="T6715"/>
      <c r="U6715"/>
    </row>
    <row r="6716" spans="1:21">
      <c r="A6716"/>
      <c r="C6716"/>
      <c r="D6716"/>
      <c r="L6716"/>
      <c r="R6716"/>
      <c r="S6716"/>
      <c r="T6716"/>
      <c r="U6716"/>
    </row>
    <row r="6717" spans="1:21">
      <c r="A6717"/>
      <c r="C6717"/>
      <c r="D6717"/>
      <c r="L6717"/>
      <c r="R6717"/>
      <c r="S6717"/>
      <c r="T6717"/>
      <c r="U6717"/>
    </row>
    <row r="6718" spans="1:21">
      <c r="A6718"/>
      <c r="C6718"/>
      <c r="D6718"/>
      <c r="L6718"/>
      <c r="R6718"/>
      <c r="S6718"/>
      <c r="T6718"/>
      <c r="U6718"/>
    </row>
    <row r="6719" spans="1:21">
      <c r="A6719"/>
      <c r="C6719"/>
      <c r="D6719"/>
      <c r="L6719"/>
      <c r="R6719"/>
      <c r="S6719"/>
      <c r="T6719"/>
      <c r="U6719"/>
    </row>
    <row r="6720" spans="1:21">
      <c r="A6720"/>
      <c r="C6720"/>
      <c r="D6720"/>
      <c r="L6720"/>
      <c r="R6720"/>
      <c r="S6720"/>
      <c r="T6720"/>
      <c r="U6720"/>
    </row>
    <row r="6721" spans="1:21">
      <c r="A6721"/>
      <c r="C6721"/>
      <c r="D6721"/>
      <c r="L6721"/>
      <c r="R6721"/>
      <c r="S6721"/>
      <c r="T6721"/>
      <c r="U6721"/>
    </row>
    <row r="6722" spans="1:21">
      <c r="A6722"/>
      <c r="C6722"/>
      <c r="D6722"/>
      <c r="L6722"/>
      <c r="R6722"/>
      <c r="S6722"/>
      <c r="T6722"/>
      <c r="U6722"/>
    </row>
    <row r="6723" spans="1:21">
      <c r="A6723"/>
      <c r="C6723"/>
      <c r="D6723"/>
      <c r="L6723"/>
      <c r="R6723"/>
      <c r="S6723"/>
      <c r="T6723"/>
      <c r="U6723"/>
    </row>
    <row r="6724" spans="1:21">
      <c r="A6724"/>
      <c r="C6724"/>
      <c r="D6724"/>
      <c r="L6724"/>
      <c r="R6724"/>
      <c r="S6724"/>
      <c r="T6724"/>
      <c r="U6724"/>
    </row>
    <row r="6725" spans="1:21">
      <c r="A6725"/>
      <c r="C6725"/>
      <c r="D6725"/>
      <c r="L6725"/>
      <c r="R6725"/>
      <c r="S6725"/>
      <c r="T6725"/>
      <c r="U6725"/>
    </row>
    <row r="6726" spans="1:21">
      <c r="A6726"/>
      <c r="C6726"/>
      <c r="D6726"/>
      <c r="L6726"/>
      <c r="R6726"/>
      <c r="S6726"/>
      <c r="T6726"/>
      <c r="U6726"/>
    </row>
    <row r="6727" spans="1:21">
      <c r="A6727"/>
      <c r="C6727"/>
      <c r="D6727"/>
      <c r="L6727"/>
      <c r="R6727"/>
      <c r="S6727"/>
      <c r="T6727"/>
      <c r="U6727"/>
    </row>
    <row r="6728" spans="1:21">
      <c r="A6728"/>
      <c r="C6728"/>
      <c r="D6728"/>
      <c r="L6728"/>
      <c r="R6728"/>
      <c r="S6728"/>
      <c r="T6728"/>
      <c r="U6728"/>
    </row>
    <row r="6729" spans="1:21">
      <c r="A6729"/>
      <c r="C6729"/>
      <c r="D6729"/>
      <c r="L6729"/>
      <c r="R6729"/>
      <c r="S6729"/>
      <c r="T6729"/>
      <c r="U6729"/>
    </row>
    <row r="6730" spans="1:21">
      <c r="A6730"/>
      <c r="C6730"/>
      <c r="D6730"/>
      <c r="L6730"/>
      <c r="R6730"/>
      <c r="S6730"/>
      <c r="T6730"/>
      <c r="U6730"/>
    </row>
    <row r="6731" spans="1:21">
      <c r="A6731"/>
      <c r="C6731"/>
      <c r="D6731"/>
      <c r="L6731"/>
      <c r="R6731"/>
      <c r="S6731"/>
      <c r="T6731"/>
      <c r="U6731"/>
    </row>
    <row r="6732" spans="1:21">
      <c r="A6732"/>
      <c r="C6732"/>
      <c r="D6732"/>
      <c r="L6732"/>
      <c r="R6732"/>
      <c r="S6732"/>
      <c r="T6732"/>
      <c r="U6732"/>
    </row>
    <row r="6733" spans="1:21">
      <c r="A6733"/>
      <c r="C6733"/>
      <c r="D6733"/>
      <c r="L6733"/>
      <c r="R6733"/>
      <c r="S6733"/>
      <c r="T6733"/>
      <c r="U6733"/>
    </row>
    <row r="6734" spans="1:21">
      <c r="A6734"/>
      <c r="C6734"/>
      <c r="D6734"/>
      <c r="L6734"/>
      <c r="R6734"/>
      <c r="S6734"/>
      <c r="T6734"/>
      <c r="U6734"/>
    </row>
    <row r="6735" spans="1:21">
      <c r="A6735"/>
      <c r="C6735"/>
      <c r="D6735"/>
      <c r="L6735"/>
      <c r="R6735"/>
      <c r="S6735"/>
      <c r="T6735"/>
      <c r="U6735"/>
    </row>
    <row r="6736" spans="1:21">
      <c r="A6736"/>
      <c r="C6736"/>
      <c r="D6736"/>
      <c r="L6736"/>
      <c r="R6736"/>
      <c r="S6736"/>
      <c r="T6736"/>
      <c r="U6736"/>
    </row>
    <row r="6737" spans="1:21">
      <c r="A6737"/>
      <c r="C6737"/>
      <c r="D6737"/>
      <c r="L6737"/>
      <c r="R6737"/>
      <c r="S6737"/>
      <c r="T6737"/>
      <c r="U6737"/>
    </row>
    <row r="6738" spans="1:21">
      <c r="A6738"/>
      <c r="C6738"/>
      <c r="D6738"/>
      <c r="L6738"/>
      <c r="R6738"/>
      <c r="S6738"/>
      <c r="T6738"/>
      <c r="U6738"/>
    </row>
    <row r="6739" spans="1:21">
      <c r="A6739"/>
      <c r="C6739"/>
      <c r="D6739"/>
      <c r="L6739"/>
      <c r="R6739"/>
      <c r="S6739"/>
      <c r="T6739"/>
      <c r="U6739"/>
    </row>
    <row r="6740" spans="1:21">
      <c r="A6740"/>
      <c r="C6740"/>
      <c r="D6740"/>
      <c r="L6740"/>
      <c r="R6740"/>
      <c r="S6740"/>
      <c r="T6740"/>
      <c r="U6740"/>
    </row>
    <row r="6741" spans="1:21">
      <c r="A6741"/>
      <c r="C6741"/>
      <c r="D6741"/>
      <c r="L6741"/>
      <c r="R6741"/>
      <c r="S6741"/>
      <c r="T6741"/>
      <c r="U6741"/>
    </row>
    <row r="6742" spans="1:21">
      <c r="A6742"/>
      <c r="C6742"/>
      <c r="D6742"/>
      <c r="L6742"/>
      <c r="R6742"/>
      <c r="S6742"/>
      <c r="T6742"/>
      <c r="U6742"/>
    </row>
    <row r="6743" spans="1:21">
      <c r="A6743"/>
      <c r="C6743"/>
      <c r="D6743"/>
      <c r="L6743"/>
      <c r="R6743"/>
      <c r="S6743"/>
      <c r="T6743"/>
      <c r="U6743"/>
    </row>
    <row r="6744" spans="1:21">
      <c r="A6744"/>
      <c r="C6744"/>
      <c r="D6744"/>
      <c r="L6744"/>
      <c r="R6744"/>
      <c r="S6744"/>
      <c r="T6744"/>
      <c r="U6744"/>
    </row>
    <row r="6745" spans="1:21">
      <c r="A6745"/>
      <c r="C6745"/>
      <c r="D6745"/>
      <c r="L6745"/>
      <c r="R6745"/>
      <c r="S6745"/>
      <c r="T6745"/>
      <c r="U6745"/>
    </row>
    <row r="6746" spans="1:21">
      <c r="A6746"/>
      <c r="C6746"/>
      <c r="D6746"/>
      <c r="L6746"/>
      <c r="R6746"/>
      <c r="S6746"/>
      <c r="T6746"/>
      <c r="U6746"/>
    </row>
    <row r="6747" spans="1:21">
      <c r="A6747"/>
      <c r="C6747"/>
      <c r="D6747"/>
      <c r="L6747"/>
      <c r="R6747"/>
      <c r="S6747"/>
      <c r="T6747"/>
      <c r="U6747"/>
    </row>
    <row r="6748" spans="1:21">
      <c r="A6748"/>
      <c r="C6748"/>
      <c r="D6748"/>
      <c r="L6748"/>
      <c r="R6748"/>
      <c r="S6748"/>
      <c r="T6748"/>
      <c r="U6748"/>
    </row>
    <row r="6749" spans="1:21">
      <c r="A6749"/>
      <c r="C6749"/>
      <c r="D6749"/>
      <c r="L6749"/>
      <c r="R6749"/>
      <c r="S6749"/>
      <c r="T6749"/>
      <c r="U6749"/>
    </row>
    <row r="6750" spans="1:21">
      <c r="A6750"/>
      <c r="C6750"/>
      <c r="D6750"/>
      <c r="L6750"/>
      <c r="R6750"/>
      <c r="S6750"/>
      <c r="T6750"/>
      <c r="U6750"/>
    </row>
    <row r="6751" spans="1:21">
      <c r="A6751"/>
      <c r="C6751"/>
      <c r="D6751"/>
      <c r="L6751"/>
      <c r="R6751"/>
      <c r="S6751"/>
      <c r="T6751"/>
      <c r="U6751"/>
    </row>
    <row r="6752" spans="1:21">
      <c r="A6752"/>
      <c r="C6752"/>
      <c r="D6752"/>
      <c r="L6752"/>
      <c r="R6752"/>
      <c r="S6752"/>
      <c r="T6752"/>
      <c r="U6752"/>
    </row>
    <row r="6753" spans="1:21">
      <c r="A6753"/>
      <c r="C6753"/>
      <c r="D6753"/>
      <c r="L6753"/>
      <c r="R6753"/>
      <c r="S6753"/>
      <c r="T6753"/>
      <c r="U6753"/>
    </row>
    <row r="6754" spans="1:21">
      <c r="A6754"/>
      <c r="C6754"/>
      <c r="D6754"/>
      <c r="L6754"/>
      <c r="R6754"/>
      <c r="S6754"/>
      <c r="T6754"/>
      <c r="U6754"/>
    </row>
    <row r="6755" spans="1:21">
      <c r="A6755"/>
      <c r="C6755"/>
      <c r="D6755"/>
      <c r="L6755"/>
      <c r="R6755"/>
      <c r="S6755"/>
      <c r="T6755"/>
      <c r="U6755"/>
    </row>
    <row r="6756" spans="1:21">
      <c r="A6756"/>
      <c r="C6756"/>
      <c r="D6756"/>
      <c r="L6756"/>
      <c r="R6756"/>
      <c r="S6756"/>
      <c r="T6756"/>
      <c r="U6756"/>
    </row>
    <row r="6757" spans="1:21">
      <c r="A6757"/>
      <c r="C6757"/>
      <c r="D6757"/>
      <c r="L6757"/>
      <c r="R6757"/>
      <c r="S6757"/>
      <c r="T6757"/>
      <c r="U6757"/>
    </row>
    <row r="6758" spans="1:21">
      <c r="A6758"/>
      <c r="C6758"/>
      <c r="D6758"/>
      <c r="L6758"/>
      <c r="R6758"/>
      <c r="S6758"/>
      <c r="T6758"/>
      <c r="U6758"/>
    </row>
    <row r="6759" spans="1:21">
      <c r="A6759"/>
      <c r="C6759"/>
      <c r="D6759"/>
      <c r="L6759"/>
      <c r="R6759"/>
      <c r="S6759"/>
      <c r="T6759"/>
      <c r="U6759"/>
    </row>
    <row r="6760" spans="1:21">
      <c r="A6760"/>
      <c r="C6760"/>
      <c r="D6760"/>
      <c r="L6760"/>
      <c r="R6760"/>
      <c r="S6760"/>
      <c r="T6760"/>
      <c r="U6760"/>
    </row>
    <row r="6761" spans="1:21">
      <c r="A6761"/>
      <c r="C6761"/>
      <c r="D6761"/>
      <c r="L6761"/>
      <c r="R6761"/>
      <c r="S6761"/>
      <c r="T6761"/>
      <c r="U6761"/>
    </row>
    <row r="6762" spans="1:21">
      <c r="A6762"/>
      <c r="C6762"/>
      <c r="D6762"/>
      <c r="L6762"/>
      <c r="R6762"/>
      <c r="S6762"/>
      <c r="T6762"/>
      <c r="U6762"/>
    </row>
    <row r="6763" spans="1:21">
      <c r="A6763"/>
      <c r="C6763"/>
      <c r="D6763"/>
      <c r="L6763"/>
      <c r="R6763"/>
      <c r="S6763"/>
      <c r="T6763"/>
      <c r="U6763"/>
    </row>
    <row r="6764" spans="1:21">
      <c r="A6764"/>
      <c r="C6764"/>
      <c r="D6764"/>
      <c r="L6764"/>
      <c r="R6764"/>
      <c r="S6764"/>
      <c r="T6764"/>
      <c r="U6764"/>
    </row>
    <row r="6765" spans="1:21">
      <c r="A6765"/>
      <c r="C6765"/>
      <c r="D6765"/>
      <c r="L6765"/>
      <c r="R6765"/>
      <c r="S6765"/>
      <c r="T6765"/>
      <c r="U6765"/>
    </row>
    <row r="6766" spans="1:21">
      <c r="A6766"/>
      <c r="C6766"/>
      <c r="D6766"/>
      <c r="L6766"/>
      <c r="R6766"/>
      <c r="S6766"/>
      <c r="T6766"/>
      <c r="U6766"/>
    </row>
    <row r="6767" spans="1:21">
      <c r="A6767"/>
      <c r="C6767"/>
      <c r="D6767"/>
      <c r="L6767"/>
      <c r="R6767"/>
      <c r="S6767"/>
      <c r="T6767"/>
      <c r="U6767"/>
    </row>
    <row r="6768" spans="1:21">
      <c r="A6768"/>
      <c r="C6768"/>
      <c r="D6768"/>
      <c r="L6768"/>
      <c r="R6768"/>
      <c r="S6768"/>
      <c r="T6768"/>
      <c r="U6768"/>
    </row>
    <row r="6769" spans="1:21">
      <c r="A6769"/>
      <c r="C6769"/>
      <c r="D6769"/>
      <c r="L6769"/>
      <c r="R6769"/>
      <c r="S6769"/>
      <c r="T6769"/>
      <c r="U6769"/>
    </row>
    <row r="6770" spans="1:21">
      <c r="A6770"/>
      <c r="C6770"/>
      <c r="D6770"/>
      <c r="L6770"/>
      <c r="R6770"/>
      <c r="S6770"/>
      <c r="T6770"/>
      <c r="U6770"/>
    </row>
    <row r="6771" spans="1:21">
      <c r="A6771"/>
      <c r="C6771"/>
      <c r="D6771"/>
      <c r="L6771"/>
      <c r="R6771"/>
      <c r="S6771"/>
      <c r="T6771"/>
      <c r="U6771"/>
    </row>
    <row r="6772" spans="1:21">
      <c r="A6772"/>
      <c r="C6772"/>
      <c r="D6772"/>
      <c r="L6772"/>
      <c r="R6772"/>
      <c r="S6772"/>
      <c r="T6772"/>
      <c r="U6772"/>
    </row>
    <row r="6773" spans="1:21">
      <c r="A6773"/>
      <c r="C6773"/>
      <c r="D6773"/>
      <c r="L6773"/>
      <c r="R6773"/>
      <c r="S6773"/>
      <c r="T6773"/>
      <c r="U6773"/>
    </row>
    <row r="6774" spans="1:21">
      <c r="A6774"/>
      <c r="C6774"/>
      <c r="D6774"/>
      <c r="L6774"/>
      <c r="R6774"/>
      <c r="S6774"/>
      <c r="T6774"/>
      <c r="U6774"/>
    </row>
    <row r="6775" spans="1:21">
      <c r="A6775"/>
      <c r="C6775"/>
      <c r="D6775"/>
      <c r="L6775"/>
      <c r="R6775"/>
      <c r="S6775"/>
      <c r="T6775"/>
      <c r="U6775"/>
    </row>
    <row r="6776" spans="1:21">
      <c r="A6776"/>
      <c r="C6776"/>
      <c r="D6776"/>
      <c r="L6776"/>
      <c r="R6776"/>
      <c r="S6776"/>
      <c r="T6776"/>
      <c r="U6776"/>
    </row>
    <row r="6777" spans="1:21">
      <c r="A6777"/>
      <c r="C6777"/>
      <c r="D6777"/>
      <c r="L6777"/>
      <c r="R6777"/>
      <c r="S6777"/>
      <c r="T6777"/>
      <c r="U6777"/>
    </row>
    <row r="6778" spans="1:21">
      <c r="A6778"/>
      <c r="C6778"/>
      <c r="D6778"/>
      <c r="L6778"/>
      <c r="R6778"/>
      <c r="S6778"/>
      <c r="T6778"/>
      <c r="U6778"/>
    </row>
    <row r="6779" spans="1:21">
      <c r="A6779"/>
      <c r="C6779"/>
      <c r="D6779"/>
      <c r="L6779"/>
      <c r="R6779"/>
      <c r="S6779"/>
      <c r="T6779"/>
      <c r="U6779"/>
    </row>
    <row r="6780" spans="1:21">
      <c r="A6780"/>
      <c r="C6780"/>
      <c r="D6780"/>
      <c r="L6780"/>
      <c r="R6780"/>
      <c r="S6780"/>
      <c r="T6780"/>
      <c r="U6780"/>
    </row>
    <row r="6781" spans="1:21">
      <c r="A6781"/>
      <c r="C6781"/>
      <c r="D6781"/>
      <c r="L6781"/>
      <c r="R6781"/>
      <c r="S6781"/>
      <c r="T6781"/>
      <c r="U6781"/>
    </row>
    <row r="6782" spans="1:21">
      <c r="A6782"/>
      <c r="C6782"/>
      <c r="D6782"/>
      <c r="L6782"/>
      <c r="R6782"/>
      <c r="S6782"/>
      <c r="T6782"/>
      <c r="U6782"/>
    </row>
    <row r="6783" spans="1:21">
      <c r="A6783"/>
      <c r="C6783"/>
      <c r="D6783"/>
      <c r="L6783"/>
      <c r="R6783"/>
      <c r="S6783"/>
      <c r="T6783"/>
      <c r="U6783"/>
    </row>
    <row r="6784" spans="1:21">
      <c r="A6784"/>
      <c r="C6784"/>
      <c r="D6784"/>
      <c r="L6784"/>
      <c r="R6784"/>
      <c r="S6784"/>
      <c r="T6784"/>
      <c r="U6784"/>
    </row>
    <row r="6785" spans="1:21">
      <c r="A6785"/>
      <c r="C6785"/>
      <c r="D6785"/>
      <c r="L6785"/>
      <c r="R6785"/>
      <c r="S6785"/>
      <c r="T6785"/>
      <c r="U6785"/>
    </row>
    <row r="6786" spans="1:21">
      <c r="A6786"/>
      <c r="C6786"/>
      <c r="D6786"/>
      <c r="L6786"/>
      <c r="R6786"/>
      <c r="S6786"/>
      <c r="T6786"/>
      <c r="U6786"/>
    </row>
    <row r="6787" spans="1:21">
      <c r="A6787"/>
      <c r="C6787"/>
      <c r="D6787"/>
      <c r="L6787"/>
      <c r="R6787"/>
      <c r="S6787"/>
      <c r="T6787"/>
      <c r="U6787"/>
    </row>
    <row r="6788" spans="1:21">
      <c r="A6788"/>
      <c r="C6788"/>
      <c r="D6788"/>
      <c r="L6788"/>
      <c r="R6788"/>
      <c r="S6788"/>
      <c r="T6788"/>
      <c r="U6788"/>
    </row>
    <row r="6789" spans="1:21">
      <c r="A6789"/>
      <c r="C6789"/>
      <c r="D6789"/>
      <c r="L6789"/>
      <c r="R6789"/>
      <c r="S6789"/>
      <c r="T6789"/>
      <c r="U6789"/>
    </row>
    <row r="6790" spans="1:21">
      <c r="A6790"/>
      <c r="C6790"/>
      <c r="D6790"/>
      <c r="L6790"/>
      <c r="R6790"/>
      <c r="S6790"/>
      <c r="T6790"/>
      <c r="U6790"/>
    </row>
    <row r="6791" spans="1:21">
      <c r="A6791"/>
      <c r="C6791"/>
      <c r="D6791"/>
      <c r="L6791"/>
      <c r="R6791"/>
      <c r="S6791"/>
      <c r="T6791"/>
      <c r="U6791"/>
    </row>
    <row r="6792" spans="1:21">
      <c r="A6792"/>
      <c r="C6792"/>
      <c r="D6792"/>
      <c r="L6792"/>
      <c r="R6792"/>
      <c r="S6792"/>
      <c r="T6792"/>
      <c r="U6792"/>
    </row>
    <row r="6793" spans="1:21">
      <c r="A6793"/>
      <c r="C6793"/>
      <c r="D6793"/>
      <c r="L6793"/>
      <c r="R6793"/>
      <c r="S6793"/>
      <c r="T6793"/>
      <c r="U6793"/>
    </row>
    <row r="6794" spans="1:21">
      <c r="A6794"/>
      <c r="C6794"/>
      <c r="D6794"/>
      <c r="L6794"/>
      <c r="R6794"/>
      <c r="S6794"/>
      <c r="T6794"/>
      <c r="U6794"/>
    </row>
    <row r="6795" spans="1:21">
      <c r="A6795"/>
      <c r="C6795"/>
      <c r="D6795"/>
      <c r="L6795"/>
      <c r="R6795"/>
      <c r="S6795"/>
      <c r="T6795"/>
      <c r="U6795"/>
    </row>
    <row r="6796" spans="1:21">
      <c r="A6796"/>
      <c r="C6796"/>
      <c r="D6796"/>
      <c r="L6796"/>
      <c r="R6796"/>
      <c r="S6796"/>
      <c r="T6796"/>
      <c r="U6796"/>
    </row>
    <row r="6797" spans="1:21">
      <c r="A6797"/>
      <c r="C6797"/>
      <c r="D6797"/>
      <c r="L6797"/>
      <c r="R6797"/>
      <c r="S6797"/>
      <c r="T6797"/>
      <c r="U6797"/>
    </row>
    <row r="6798" spans="1:21">
      <c r="A6798"/>
      <c r="C6798"/>
      <c r="D6798"/>
      <c r="L6798"/>
      <c r="R6798"/>
      <c r="S6798"/>
      <c r="T6798"/>
      <c r="U6798"/>
    </row>
    <row r="6799" spans="1:21">
      <c r="A6799"/>
      <c r="C6799"/>
      <c r="D6799"/>
      <c r="L6799"/>
      <c r="R6799"/>
      <c r="S6799"/>
      <c r="T6799"/>
      <c r="U6799"/>
    </row>
    <row r="6800" spans="1:21">
      <c r="A6800"/>
      <c r="C6800"/>
      <c r="D6800"/>
      <c r="L6800"/>
      <c r="R6800"/>
      <c r="S6800"/>
      <c r="T6800"/>
      <c r="U6800"/>
    </row>
    <row r="6801" spans="1:21">
      <c r="A6801"/>
      <c r="C6801"/>
      <c r="D6801"/>
      <c r="L6801"/>
      <c r="R6801"/>
      <c r="S6801"/>
      <c r="T6801"/>
      <c r="U6801"/>
    </row>
    <row r="6802" spans="1:21">
      <c r="A6802"/>
      <c r="C6802"/>
      <c r="D6802"/>
      <c r="L6802"/>
      <c r="R6802"/>
      <c r="S6802"/>
      <c r="T6802"/>
      <c r="U6802"/>
    </row>
    <row r="6803" spans="1:21">
      <c r="A6803"/>
      <c r="C6803"/>
      <c r="D6803"/>
      <c r="L6803"/>
      <c r="R6803"/>
      <c r="S6803"/>
      <c r="T6803"/>
      <c r="U6803"/>
    </row>
    <row r="6804" spans="1:21">
      <c r="A6804"/>
      <c r="C6804"/>
      <c r="D6804"/>
      <c r="L6804"/>
      <c r="R6804"/>
      <c r="S6804"/>
      <c r="T6804"/>
      <c r="U6804"/>
    </row>
    <row r="6805" spans="1:21">
      <c r="A6805"/>
      <c r="C6805"/>
      <c r="D6805"/>
      <c r="L6805"/>
      <c r="R6805"/>
      <c r="S6805"/>
      <c r="T6805"/>
      <c r="U6805"/>
    </row>
    <row r="6806" spans="1:21">
      <c r="A6806"/>
      <c r="C6806"/>
      <c r="D6806"/>
      <c r="L6806"/>
      <c r="R6806"/>
      <c r="S6806"/>
      <c r="T6806"/>
      <c r="U6806"/>
    </row>
    <row r="6807" spans="1:21">
      <c r="A6807"/>
      <c r="C6807"/>
      <c r="D6807"/>
      <c r="L6807"/>
      <c r="R6807"/>
      <c r="S6807"/>
      <c r="T6807"/>
      <c r="U6807"/>
    </row>
    <row r="6808" spans="1:21">
      <c r="A6808"/>
      <c r="C6808"/>
      <c r="D6808"/>
      <c r="L6808"/>
      <c r="R6808"/>
      <c r="S6808"/>
      <c r="T6808"/>
      <c r="U6808"/>
    </row>
    <row r="6809" spans="1:21">
      <c r="A6809"/>
      <c r="C6809"/>
      <c r="D6809"/>
      <c r="L6809"/>
      <c r="R6809"/>
      <c r="S6809"/>
      <c r="T6809"/>
      <c r="U6809"/>
    </row>
    <row r="6810" spans="1:21">
      <c r="A6810"/>
      <c r="C6810"/>
      <c r="D6810"/>
      <c r="L6810"/>
      <c r="R6810"/>
      <c r="S6810"/>
      <c r="T6810"/>
      <c r="U6810"/>
    </row>
    <row r="6811" spans="1:21">
      <c r="A6811"/>
      <c r="C6811"/>
      <c r="D6811"/>
      <c r="L6811"/>
      <c r="R6811"/>
      <c r="S6811"/>
      <c r="T6811"/>
      <c r="U6811"/>
    </row>
    <row r="6812" spans="1:21">
      <c r="A6812"/>
      <c r="C6812"/>
      <c r="D6812"/>
      <c r="L6812"/>
      <c r="R6812"/>
      <c r="S6812"/>
      <c r="T6812"/>
      <c r="U6812"/>
    </row>
    <row r="6813" spans="1:21">
      <c r="A6813"/>
      <c r="C6813"/>
      <c r="D6813"/>
      <c r="L6813"/>
      <c r="R6813"/>
      <c r="S6813"/>
      <c r="T6813"/>
      <c r="U6813"/>
    </row>
    <row r="6814" spans="1:21">
      <c r="A6814"/>
      <c r="C6814"/>
      <c r="D6814"/>
      <c r="L6814"/>
      <c r="R6814"/>
      <c r="S6814"/>
      <c r="T6814"/>
      <c r="U6814"/>
    </row>
    <row r="6815" spans="1:21">
      <c r="A6815"/>
      <c r="C6815"/>
      <c r="D6815"/>
      <c r="L6815"/>
      <c r="R6815"/>
      <c r="S6815"/>
      <c r="T6815"/>
      <c r="U6815"/>
    </row>
    <row r="6816" spans="1:21">
      <c r="A6816"/>
      <c r="C6816"/>
      <c r="D6816"/>
      <c r="L6816"/>
      <c r="R6816"/>
      <c r="S6816"/>
      <c r="T6816"/>
      <c r="U6816"/>
    </row>
    <row r="6817" spans="1:21">
      <c r="A6817"/>
      <c r="C6817"/>
      <c r="D6817"/>
      <c r="L6817"/>
      <c r="R6817"/>
      <c r="S6817"/>
      <c r="T6817"/>
      <c r="U6817"/>
    </row>
    <row r="6818" spans="1:21">
      <c r="A6818"/>
      <c r="C6818"/>
      <c r="D6818"/>
      <c r="L6818"/>
      <c r="R6818"/>
      <c r="S6818"/>
      <c r="T6818"/>
      <c r="U6818"/>
    </row>
    <row r="6819" spans="1:21">
      <c r="A6819"/>
      <c r="C6819"/>
      <c r="D6819"/>
      <c r="L6819"/>
      <c r="R6819"/>
      <c r="S6819"/>
      <c r="T6819"/>
      <c r="U6819"/>
    </row>
    <row r="6820" spans="1:21">
      <c r="A6820"/>
      <c r="C6820"/>
      <c r="D6820"/>
      <c r="L6820"/>
      <c r="R6820"/>
      <c r="S6820"/>
      <c r="T6820"/>
      <c r="U6820"/>
    </row>
    <row r="6821" spans="1:21">
      <c r="A6821"/>
      <c r="C6821"/>
      <c r="D6821"/>
      <c r="L6821"/>
      <c r="R6821"/>
      <c r="S6821"/>
      <c r="T6821"/>
      <c r="U6821"/>
    </row>
    <row r="6822" spans="1:21">
      <c r="A6822"/>
      <c r="C6822"/>
      <c r="D6822"/>
      <c r="L6822"/>
      <c r="R6822"/>
      <c r="S6822"/>
      <c r="T6822"/>
      <c r="U6822"/>
    </row>
    <row r="6823" spans="1:21">
      <c r="A6823"/>
      <c r="C6823"/>
      <c r="D6823"/>
      <c r="L6823"/>
      <c r="R6823"/>
      <c r="S6823"/>
      <c r="T6823"/>
      <c r="U6823"/>
    </row>
    <row r="6824" spans="1:21">
      <c r="A6824"/>
      <c r="C6824"/>
      <c r="D6824"/>
      <c r="L6824"/>
      <c r="R6824"/>
      <c r="S6824"/>
      <c r="T6824"/>
      <c r="U6824"/>
    </row>
    <row r="6825" spans="1:21">
      <c r="A6825"/>
      <c r="C6825"/>
      <c r="D6825"/>
      <c r="L6825"/>
      <c r="R6825"/>
      <c r="S6825"/>
      <c r="T6825"/>
      <c r="U6825"/>
    </row>
    <row r="6826" spans="1:21">
      <c r="A6826"/>
      <c r="C6826"/>
      <c r="D6826"/>
      <c r="L6826"/>
      <c r="R6826"/>
      <c r="S6826"/>
      <c r="T6826"/>
      <c r="U6826"/>
    </row>
    <row r="6827" spans="1:21">
      <c r="A6827"/>
      <c r="C6827"/>
      <c r="D6827"/>
      <c r="L6827"/>
      <c r="R6827"/>
      <c r="S6827"/>
      <c r="T6827"/>
      <c r="U6827"/>
    </row>
    <row r="6828" spans="1:21">
      <c r="A6828"/>
      <c r="C6828"/>
      <c r="D6828"/>
      <c r="L6828"/>
      <c r="R6828"/>
      <c r="S6828"/>
      <c r="T6828"/>
      <c r="U6828"/>
    </row>
    <row r="6829" spans="1:21">
      <c r="A6829"/>
      <c r="C6829"/>
      <c r="D6829"/>
      <c r="L6829"/>
      <c r="R6829"/>
      <c r="S6829"/>
      <c r="T6829"/>
      <c r="U6829"/>
    </row>
    <row r="6830" spans="1:21">
      <c r="A6830"/>
      <c r="C6830"/>
      <c r="D6830"/>
      <c r="L6830"/>
      <c r="R6830"/>
      <c r="S6830"/>
      <c r="T6830"/>
      <c r="U6830"/>
    </row>
    <row r="6831" spans="1:21">
      <c r="A6831"/>
      <c r="C6831"/>
      <c r="D6831"/>
      <c r="L6831"/>
      <c r="R6831"/>
      <c r="S6831"/>
      <c r="T6831"/>
      <c r="U6831"/>
    </row>
    <row r="6832" spans="1:21">
      <c r="A6832"/>
      <c r="C6832"/>
      <c r="D6832"/>
      <c r="L6832"/>
      <c r="R6832"/>
      <c r="S6832"/>
      <c r="T6832"/>
      <c r="U6832"/>
    </row>
    <row r="6833" spans="1:21">
      <c r="A6833"/>
      <c r="C6833"/>
      <c r="D6833"/>
      <c r="L6833"/>
      <c r="R6833"/>
      <c r="S6833"/>
      <c r="T6833"/>
      <c r="U6833"/>
    </row>
    <row r="6834" spans="1:21">
      <c r="A6834"/>
      <c r="C6834"/>
      <c r="D6834"/>
      <c r="L6834"/>
      <c r="R6834"/>
      <c r="S6834"/>
      <c r="T6834"/>
      <c r="U6834"/>
    </row>
    <row r="6835" spans="1:21">
      <c r="A6835"/>
      <c r="C6835"/>
      <c r="D6835"/>
      <c r="L6835"/>
      <c r="R6835"/>
      <c r="S6835"/>
      <c r="T6835"/>
      <c r="U6835"/>
    </row>
    <row r="6836" spans="1:21">
      <c r="A6836"/>
      <c r="C6836"/>
      <c r="D6836"/>
      <c r="L6836"/>
      <c r="R6836"/>
      <c r="S6836"/>
      <c r="T6836"/>
      <c r="U6836"/>
    </row>
    <row r="6837" spans="1:21">
      <c r="A6837"/>
      <c r="C6837"/>
      <c r="D6837"/>
      <c r="L6837"/>
      <c r="R6837"/>
      <c r="S6837"/>
      <c r="T6837"/>
      <c r="U6837"/>
    </row>
    <row r="6838" spans="1:21">
      <c r="A6838"/>
      <c r="C6838"/>
      <c r="D6838"/>
      <c r="L6838"/>
      <c r="R6838"/>
      <c r="S6838"/>
      <c r="T6838"/>
      <c r="U6838"/>
    </row>
    <row r="6839" spans="1:21">
      <c r="A6839"/>
      <c r="C6839"/>
      <c r="D6839"/>
      <c r="L6839"/>
      <c r="R6839"/>
      <c r="S6839"/>
      <c r="T6839"/>
      <c r="U6839"/>
    </row>
    <row r="6840" spans="1:21">
      <c r="A6840"/>
      <c r="C6840"/>
      <c r="D6840"/>
      <c r="L6840"/>
      <c r="R6840"/>
      <c r="S6840"/>
      <c r="T6840"/>
      <c r="U6840"/>
    </row>
    <row r="6841" spans="1:21">
      <c r="A6841"/>
      <c r="C6841"/>
      <c r="D6841"/>
      <c r="L6841"/>
      <c r="R6841"/>
      <c r="S6841"/>
      <c r="T6841"/>
      <c r="U6841"/>
    </row>
    <row r="6842" spans="1:21">
      <c r="A6842"/>
      <c r="C6842"/>
      <c r="D6842"/>
      <c r="L6842"/>
      <c r="R6842"/>
      <c r="S6842"/>
      <c r="T6842"/>
      <c r="U6842"/>
    </row>
    <row r="6843" spans="1:21">
      <c r="A6843"/>
      <c r="C6843"/>
      <c r="D6843"/>
      <c r="L6843"/>
      <c r="R6843"/>
      <c r="S6843"/>
      <c r="T6843"/>
      <c r="U6843"/>
    </row>
    <row r="6844" spans="1:21">
      <c r="A6844"/>
      <c r="C6844"/>
      <c r="D6844"/>
      <c r="L6844"/>
      <c r="R6844"/>
      <c r="S6844"/>
      <c r="T6844"/>
      <c r="U6844"/>
    </row>
    <row r="6845" spans="1:21">
      <c r="A6845"/>
      <c r="C6845"/>
      <c r="D6845"/>
      <c r="L6845"/>
      <c r="R6845"/>
      <c r="S6845"/>
      <c r="T6845"/>
      <c r="U6845"/>
    </row>
    <row r="6846" spans="1:21">
      <c r="A6846"/>
      <c r="C6846"/>
      <c r="D6846"/>
      <c r="L6846"/>
      <c r="R6846"/>
      <c r="S6846"/>
      <c r="T6846"/>
      <c r="U6846"/>
    </row>
    <row r="6847" spans="1:21">
      <c r="A6847"/>
      <c r="C6847"/>
      <c r="D6847"/>
      <c r="L6847"/>
      <c r="R6847"/>
      <c r="S6847"/>
      <c r="T6847"/>
      <c r="U6847"/>
    </row>
    <row r="6848" spans="1:21">
      <c r="A6848"/>
      <c r="C6848"/>
      <c r="D6848"/>
      <c r="L6848"/>
      <c r="R6848"/>
      <c r="S6848"/>
      <c r="T6848"/>
      <c r="U6848"/>
    </row>
    <row r="6849" spans="1:21">
      <c r="A6849"/>
      <c r="C6849"/>
      <c r="D6849"/>
      <c r="L6849"/>
      <c r="R6849"/>
      <c r="S6849"/>
      <c r="T6849"/>
      <c r="U6849"/>
    </row>
    <row r="6850" spans="1:21">
      <c r="A6850"/>
      <c r="C6850"/>
      <c r="D6850"/>
      <c r="L6850"/>
      <c r="R6850"/>
      <c r="S6850"/>
      <c r="T6850"/>
      <c r="U6850"/>
    </row>
    <row r="6851" spans="1:21">
      <c r="A6851"/>
      <c r="C6851"/>
      <c r="D6851"/>
      <c r="L6851"/>
      <c r="R6851"/>
      <c r="S6851"/>
      <c r="T6851"/>
      <c r="U6851"/>
    </row>
    <row r="6852" spans="1:21">
      <c r="A6852"/>
      <c r="C6852"/>
      <c r="D6852"/>
      <c r="L6852"/>
      <c r="R6852"/>
      <c r="S6852"/>
      <c r="T6852"/>
      <c r="U6852"/>
    </row>
    <row r="6853" spans="1:21">
      <c r="A6853"/>
      <c r="C6853"/>
      <c r="D6853"/>
      <c r="L6853"/>
      <c r="R6853"/>
      <c r="S6853"/>
      <c r="T6853"/>
      <c r="U6853"/>
    </row>
    <row r="6854" spans="1:21">
      <c r="A6854"/>
      <c r="C6854"/>
      <c r="D6854"/>
      <c r="L6854"/>
      <c r="R6854"/>
      <c r="S6854"/>
      <c r="T6854"/>
      <c r="U6854"/>
    </row>
    <row r="6855" spans="1:21">
      <c r="A6855"/>
      <c r="C6855"/>
      <c r="D6855"/>
      <c r="L6855"/>
      <c r="R6855"/>
      <c r="S6855"/>
      <c r="T6855"/>
      <c r="U6855"/>
    </row>
    <row r="6856" spans="1:21">
      <c r="A6856"/>
      <c r="C6856"/>
      <c r="D6856"/>
      <c r="L6856"/>
      <c r="R6856"/>
      <c r="S6856"/>
      <c r="T6856"/>
      <c r="U6856"/>
    </row>
    <row r="6857" spans="1:21">
      <c r="A6857"/>
      <c r="C6857"/>
      <c r="D6857"/>
      <c r="L6857"/>
      <c r="R6857"/>
      <c r="S6857"/>
      <c r="T6857"/>
      <c r="U6857"/>
    </row>
    <row r="6858" spans="1:21">
      <c r="A6858"/>
      <c r="C6858"/>
      <c r="D6858"/>
      <c r="L6858"/>
      <c r="R6858"/>
      <c r="S6858"/>
      <c r="T6858"/>
      <c r="U6858"/>
    </row>
    <row r="6859" spans="1:21">
      <c r="A6859"/>
      <c r="C6859"/>
      <c r="D6859"/>
      <c r="L6859"/>
      <c r="R6859"/>
      <c r="S6859"/>
      <c r="T6859"/>
      <c r="U6859"/>
    </row>
    <row r="6860" spans="1:21">
      <c r="A6860"/>
      <c r="C6860"/>
      <c r="D6860"/>
      <c r="L6860"/>
      <c r="R6860"/>
      <c r="S6860"/>
      <c r="T6860"/>
      <c r="U6860"/>
    </row>
    <row r="6861" spans="1:21">
      <c r="A6861"/>
      <c r="C6861"/>
      <c r="D6861"/>
      <c r="L6861"/>
      <c r="R6861"/>
      <c r="S6861"/>
      <c r="T6861"/>
      <c r="U6861"/>
    </row>
    <row r="6862" spans="1:21">
      <c r="A6862"/>
      <c r="C6862"/>
      <c r="D6862"/>
      <c r="L6862"/>
      <c r="R6862"/>
      <c r="S6862"/>
      <c r="T6862"/>
      <c r="U6862"/>
    </row>
    <row r="6863" spans="1:21">
      <c r="A6863"/>
      <c r="C6863"/>
      <c r="D6863"/>
      <c r="L6863"/>
      <c r="R6863"/>
      <c r="S6863"/>
      <c r="T6863"/>
      <c r="U6863"/>
    </row>
    <row r="6864" spans="1:21">
      <c r="A6864"/>
      <c r="C6864"/>
      <c r="D6864"/>
      <c r="L6864"/>
      <c r="R6864"/>
      <c r="S6864"/>
      <c r="T6864"/>
      <c r="U6864"/>
    </row>
    <row r="6865" spans="1:21">
      <c r="A6865"/>
      <c r="C6865"/>
      <c r="D6865"/>
      <c r="L6865"/>
      <c r="R6865"/>
      <c r="S6865"/>
      <c r="T6865"/>
      <c r="U6865"/>
    </row>
    <row r="6866" spans="1:21">
      <c r="A6866"/>
      <c r="C6866"/>
      <c r="D6866"/>
      <c r="L6866"/>
      <c r="R6866"/>
      <c r="S6866"/>
      <c r="T6866"/>
      <c r="U6866"/>
    </row>
    <row r="6867" spans="1:21">
      <c r="A6867"/>
      <c r="C6867"/>
      <c r="D6867"/>
      <c r="L6867"/>
      <c r="R6867"/>
      <c r="S6867"/>
      <c r="T6867"/>
      <c r="U6867"/>
    </row>
    <row r="6868" spans="1:21">
      <c r="A6868"/>
      <c r="C6868"/>
      <c r="D6868"/>
      <c r="L6868"/>
      <c r="R6868"/>
      <c r="S6868"/>
      <c r="T6868"/>
      <c r="U6868"/>
    </row>
    <row r="6869" spans="1:21">
      <c r="A6869"/>
      <c r="C6869"/>
      <c r="D6869"/>
      <c r="L6869"/>
      <c r="R6869"/>
      <c r="S6869"/>
      <c r="T6869"/>
      <c r="U6869"/>
    </row>
    <row r="6870" spans="1:21">
      <c r="A6870"/>
      <c r="C6870"/>
      <c r="D6870"/>
      <c r="L6870"/>
      <c r="R6870"/>
      <c r="S6870"/>
      <c r="T6870"/>
      <c r="U6870"/>
    </row>
    <row r="6871" spans="1:21">
      <c r="A6871"/>
      <c r="C6871"/>
      <c r="D6871"/>
      <c r="L6871"/>
      <c r="R6871"/>
      <c r="S6871"/>
      <c r="T6871"/>
      <c r="U6871"/>
    </row>
    <row r="6872" spans="1:21">
      <c r="A6872"/>
      <c r="C6872"/>
      <c r="D6872"/>
      <c r="L6872"/>
      <c r="R6872"/>
      <c r="S6872"/>
      <c r="T6872"/>
      <c r="U6872"/>
    </row>
    <row r="6873" spans="1:21">
      <c r="A6873"/>
      <c r="C6873"/>
      <c r="D6873"/>
      <c r="L6873"/>
      <c r="R6873"/>
      <c r="S6873"/>
      <c r="T6873"/>
      <c r="U6873"/>
    </row>
    <row r="6874" spans="1:21">
      <c r="A6874"/>
      <c r="C6874"/>
      <c r="D6874"/>
      <c r="L6874"/>
      <c r="R6874"/>
      <c r="S6874"/>
      <c r="T6874"/>
      <c r="U6874"/>
    </row>
    <row r="6875" spans="1:21">
      <c r="A6875"/>
      <c r="C6875"/>
      <c r="D6875"/>
      <c r="L6875"/>
      <c r="R6875"/>
      <c r="S6875"/>
      <c r="T6875"/>
      <c r="U6875"/>
    </row>
    <row r="6876" spans="1:21">
      <c r="A6876"/>
      <c r="C6876"/>
      <c r="D6876"/>
      <c r="L6876"/>
      <c r="R6876"/>
      <c r="S6876"/>
      <c r="T6876"/>
      <c r="U6876"/>
    </row>
    <row r="6877" spans="1:21">
      <c r="A6877"/>
      <c r="C6877"/>
      <c r="D6877"/>
      <c r="L6877"/>
      <c r="R6877"/>
      <c r="S6877"/>
      <c r="T6877"/>
      <c r="U6877"/>
    </row>
    <row r="6878" spans="1:21">
      <c r="A6878"/>
      <c r="C6878"/>
      <c r="D6878"/>
      <c r="L6878"/>
      <c r="R6878"/>
      <c r="S6878"/>
      <c r="T6878"/>
      <c r="U6878"/>
    </row>
    <row r="6879" spans="1:21">
      <c r="A6879"/>
      <c r="C6879"/>
      <c r="D6879"/>
      <c r="L6879"/>
      <c r="R6879"/>
      <c r="S6879"/>
      <c r="T6879"/>
      <c r="U6879"/>
    </row>
    <row r="6880" spans="1:21">
      <c r="A6880"/>
      <c r="C6880"/>
      <c r="D6880"/>
      <c r="L6880"/>
      <c r="R6880"/>
      <c r="S6880"/>
      <c r="T6880"/>
      <c r="U6880"/>
    </row>
    <row r="6881" spans="1:21">
      <c r="A6881"/>
      <c r="C6881"/>
      <c r="D6881"/>
      <c r="L6881"/>
      <c r="R6881"/>
      <c r="S6881"/>
      <c r="T6881"/>
      <c r="U6881"/>
    </row>
    <row r="6882" spans="1:21">
      <c r="A6882"/>
      <c r="C6882"/>
      <c r="D6882"/>
      <c r="L6882"/>
      <c r="R6882"/>
      <c r="S6882"/>
      <c r="T6882"/>
      <c r="U6882"/>
    </row>
    <row r="6883" spans="1:21">
      <c r="A6883"/>
      <c r="C6883"/>
      <c r="D6883"/>
      <c r="L6883"/>
      <c r="R6883"/>
      <c r="S6883"/>
      <c r="T6883"/>
      <c r="U6883"/>
    </row>
    <row r="6884" spans="1:21">
      <c r="A6884"/>
      <c r="C6884"/>
      <c r="D6884"/>
      <c r="L6884"/>
      <c r="R6884"/>
      <c r="S6884"/>
      <c r="T6884"/>
      <c r="U6884"/>
    </row>
    <row r="6885" spans="1:21">
      <c r="A6885"/>
      <c r="C6885"/>
      <c r="D6885"/>
      <c r="L6885"/>
      <c r="R6885"/>
      <c r="S6885"/>
      <c r="T6885"/>
      <c r="U6885"/>
    </row>
    <row r="6886" spans="1:21">
      <c r="A6886"/>
      <c r="C6886"/>
      <c r="D6886"/>
      <c r="L6886"/>
      <c r="R6886"/>
      <c r="S6886"/>
      <c r="T6886"/>
      <c r="U6886"/>
    </row>
    <row r="6887" spans="1:21">
      <c r="A6887"/>
      <c r="C6887"/>
      <c r="D6887"/>
      <c r="L6887"/>
      <c r="R6887"/>
      <c r="S6887"/>
      <c r="T6887"/>
      <c r="U6887"/>
    </row>
    <row r="6888" spans="1:21">
      <c r="A6888"/>
      <c r="C6888"/>
      <c r="D6888"/>
      <c r="L6888"/>
      <c r="R6888"/>
      <c r="S6888"/>
      <c r="T6888"/>
      <c r="U6888"/>
    </row>
    <row r="6889" spans="1:21">
      <c r="A6889"/>
      <c r="C6889"/>
      <c r="D6889"/>
      <c r="L6889"/>
      <c r="R6889"/>
      <c r="S6889"/>
      <c r="T6889"/>
      <c r="U6889"/>
    </row>
    <row r="6890" spans="1:21">
      <c r="A6890"/>
      <c r="C6890"/>
      <c r="D6890"/>
      <c r="L6890"/>
      <c r="R6890"/>
      <c r="S6890"/>
      <c r="T6890"/>
      <c r="U6890"/>
    </row>
    <row r="6891" spans="1:21">
      <c r="A6891"/>
      <c r="C6891"/>
      <c r="D6891"/>
      <c r="L6891"/>
      <c r="R6891"/>
      <c r="S6891"/>
      <c r="T6891"/>
      <c r="U6891"/>
    </row>
    <row r="6892" spans="1:21">
      <c r="A6892"/>
      <c r="C6892"/>
      <c r="D6892"/>
      <c r="L6892"/>
      <c r="R6892"/>
      <c r="S6892"/>
      <c r="T6892"/>
      <c r="U6892"/>
    </row>
    <row r="6893" spans="1:21">
      <c r="A6893"/>
      <c r="C6893"/>
      <c r="D6893"/>
      <c r="L6893"/>
      <c r="R6893"/>
      <c r="S6893"/>
      <c r="T6893"/>
      <c r="U6893"/>
    </row>
    <row r="6894" spans="1:21">
      <c r="A6894"/>
      <c r="C6894"/>
      <c r="D6894"/>
      <c r="L6894"/>
      <c r="R6894"/>
      <c r="S6894"/>
      <c r="T6894"/>
      <c r="U6894"/>
    </row>
    <row r="6895" spans="1:21">
      <c r="A6895"/>
      <c r="C6895"/>
      <c r="D6895"/>
      <c r="L6895"/>
      <c r="R6895"/>
      <c r="S6895"/>
      <c r="T6895"/>
      <c r="U6895"/>
    </row>
    <row r="6896" spans="1:21">
      <c r="A6896"/>
      <c r="C6896"/>
      <c r="D6896"/>
      <c r="L6896"/>
      <c r="R6896"/>
      <c r="S6896"/>
      <c r="T6896"/>
      <c r="U6896"/>
    </row>
    <row r="6897" spans="1:21">
      <c r="A6897"/>
      <c r="C6897"/>
      <c r="D6897"/>
      <c r="L6897"/>
      <c r="R6897"/>
      <c r="S6897"/>
      <c r="T6897"/>
      <c r="U6897"/>
    </row>
    <row r="6898" spans="1:21">
      <c r="A6898"/>
      <c r="C6898"/>
      <c r="D6898"/>
      <c r="L6898"/>
      <c r="R6898"/>
      <c r="S6898"/>
      <c r="T6898"/>
      <c r="U6898"/>
    </row>
    <row r="6899" spans="1:21">
      <c r="A6899"/>
      <c r="C6899"/>
      <c r="D6899"/>
      <c r="L6899"/>
      <c r="R6899"/>
      <c r="S6899"/>
      <c r="T6899"/>
      <c r="U6899"/>
    </row>
    <row r="6900" spans="1:21">
      <c r="A6900"/>
      <c r="C6900"/>
      <c r="D6900"/>
      <c r="L6900"/>
      <c r="R6900"/>
      <c r="S6900"/>
      <c r="T6900"/>
      <c r="U6900"/>
    </row>
    <row r="6901" spans="1:21">
      <c r="A6901"/>
      <c r="C6901"/>
      <c r="D6901"/>
      <c r="L6901"/>
      <c r="R6901"/>
      <c r="S6901"/>
      <c r="T6901"/>
      <c r="U6901"/>
    </row>
    <row r="6902" spans="1:21">
      <c r="A6902"/>
      <c r="C6902"/>
      <c r="D6902"/>
      <c r="L6902"/>
      <c r="R6902"/>
      <c r="S6902"/>
      <c r="T6902"/>
      <c r="U6902"/>
    </row>
    <row r="6903" spans="1:21">
      <c r="A6903"/>
      <c r="C6903"/>
      <c r="D6903"/>
      <c r="L6903"/>
      <c r="R6903"/>
      <c r="S6903"/>
      <c r="T6903"/>
      <c r="U6903"/>
    </row>
    <row r="6904" spans="1:21">
      <c r="A6904"/>
      <c r="C6904"/>
      <c r="D6904"/>
      <c r="L6904"/>
      <c r="R6904"/>
      <c r="S6904"/>
      <c r="T6904"/>
      <c r="U6904"/>
    </row>
    <row r="6905" spans="1:21">
      <c r="A6905"/>
      <c r="C6905"/>
      <c r="D6905"/>
      <c r="L6905"/>
      <c r="R6905"/>
      <c r="S6905"/>
      <c r="T6905"/>
      <c r="U6905"/>
    </row>
    <row r="6906" spans="1:21">
      <c r="A6906"/>
      <c r="C6906"/>
      <c r="D6906"/>
      <c r="L6906"/>
      <c r="R6906"/>
      <c r="S6906"/>
      <c r="T6906"/>
      <c r="U6906"/>
    </row>
    <row r="6907" spans="1:21">
      <c r="A6907"/>
      <c r="C6907"/>
      <c r="D6907"/>
      <c r="L6907"/>
      <c r="R6907"/>
      <c r="S6907"/>
      <c r="T6907"/>
      <c r="U6907"/>
    </row>
    <row r="6908" spans="1:21">
      <c r="A6908"/>
      <c r="C6908"/>
      <c r="D6908"/>
      <c r="L6908"/>
      <c r="R6908"/>
      <c r="S6908"/>
      <c r="T6908"/>
      <c r="U6908"/>
    </row>
    <row r="6909" spans="1:21">
      <c r="A6909"/>
      <c r="C6909"/>
      <c r="D6909"/>
      <c r="L6909"/>
      <c r="R6909"/>
      <c r="S6909"/>
      <c r="T6909"/>
      <c r="U6909"/>
    </row>
    <row r="6910" spans="1:21">
      <c r="A6910"/>
      <c r="C6910"/>
      <c r="D6910"/>
      <c r="L6910"/>
      <c r="R6910"/>
      <c r="S6910"/>
      <c r="T6910"/>
      <c r="U6910"/>
    </row>
    <row r="6911" spans="1:21">
      <c r="A6911"/>
      <c r="C6911"/>
      <c r="D6911"/>
      <c r="L6911"/>
      <c r="R6911"/>
      <c r="S6911"/>
      <c r="T6911"/>
      <c r="U6911"/>
    </row>
    <row r="6912" spans="1:21">
      <c r="A6912"/>
      <c r="C6912"/>
      <c r="D6912"/>
      <c r="L6912"/>
      <c r="R6912"/>
      <c r="S6912"/>
      <c r="T6912"/>
      <c r="U6912"/>
    </row>
    <row r="6913" spans="1:21">
      <c r="A6913"/>
      <c r="C6913"/>
      <c r="D6913"/>
      <c r="L6913"/>
      <c r="R6913"/>
      <c r="S6913"/>
      <c r="T6913"/>
      <c r="U6913"/>
    </row>
    <row r="6914" spans="1:21">
      <c r="A6914"/>
      <c r="C6914"/>
      <c r="D6914"/>
      <c r="L6914"/>
      <c r="R6914"/>
      <c r="S6914"/>
      <c r="T6914"/>
      <c r="U6914"/>
    </row>
    <row r="6915" spans="1:21">
      <c r="A6915"/>
      <c r="C6915"/>
      <c r="D6915"/>
      <c r="L6915"/>
      <c r="R6915"/>
      <c r="S6915"/>
      <c r="T6915"/>
      <c r="U6915"/>
    </row>
    <row r="6916" spans="1:21">
      <c r="A6916"/>
      <c r="C6916"/>
      <c r="D6916"/>
      <c r="L6916"/>
      <c r="R6916"/>
      <c r="S6916"/>
      <c r="T6916"/>
      <c r="U6916"/>
    </row>
    <row r="6917" spans="1:21">
      <c r="A6917"/>
      <c r="C6917"/>
      <c r="D6917"/>
      <c r="L6917"/>
      <c r="R6917"/>
      <c r="S6917"/>
      <c r="T6917"/>
      <c r="U6917"/>
    </row>
    <row r="6918" spans="1:21">
      <c r="A6918"/>
      <c r="C6918"/>
      <c r="D6918"/>
      <c r="L6918"/>
      <c r="R6918"/>
      <c r="S6918"/>
      <c r="T6918"/>
      <c r="U6918"/>
    </row>
    <row r="6919" spans="1:21">
      <c r="A6919"/>
      <c r="C6919"/>
      <c r="D6919"/>
      <c r="L6919"/>
      <c r="R6919"/>
      <c r="S6919"/>
      <c r="T6919"/>
      <c r="U6919"/>
    </row>
    <row r="6920" spans="1:21">
      <c r="A6920"/>
      <c r="C6920"/>
      <c r="D6920"/>
      <c r="L6920"/>
      <c r="R6920"/>
      <c r="S6920"/>
      <c r="T6920"/>
      <c r="U6920"/>
    </row>
    <row r="6921" spans="1:21">
      <c r="A6921"/>
      <c r="C6921"/>
      <c r="D6921"/>
      <c r="L6921"/>
      <c r="R6921"/>
      <c r="S6921"/>
      <c r="T6921"/>
      <c r="U6921"/>
    </row>
    <row r="6922" spans="1:21">
      <c r="A6922"/>
      <c r="C6922"/>
      <c r="D6922"/>
      <c r="L6922"/>
      <c r="R6922"/>
      <c r="S6922"/>
      <c r="T6922"/>
      <c r="U6922"/>
    </row>
    <row r="6923" spans="1:21">
      <c r="A6923"/>
      <c r="C6923"/>
      <c r="D6923"/>
      <c r="L6923"/>
      <c r="R6923"/>
      <c r="S6923"/>
      <c r="T6923"/>
      <c r="U6923"/>
    </row>
    <row r="6924" spans="1:21">
      <c r="A6924"/>
      <c r="C6924"/>
      <c r="D6924"/>
      <c r="L6924"/>
      <c r="R6924"/>
      <c r="S6924"/>
      <c r="T6924"/>
      <c r="U6924"/>
    </row>
    <row r="6925" spans="1:21">
      <c r="A6925"/>
      <c r="C6925"/>
      <c r="D6925"/>
      <c r="L6925"/>
      <c r="R6925"/>
      <c r="S6925"/>
      <c r="T6925"/>
      <c r="U6925"/>
    </row>
    <row r="6926" spans="1:21">
      <c r="A6926"/>
      <c r="C6926"/>
      <c r="D6926"/>
      <c r="L6926"/>
      <c r="R6926"/>
      <c r="S6926"/>
      <c r="T6926"/>
      <c r="U6926"/>
    </row>
    <row r="6927" spans="1:21">
      <c r="A6927"/>
      <c r="C6927"/>
      <c r="D6927"/>
      <c r="L6927"/>
      <c r="R6927"/>
      <c r="S6927"/>
      <c r="T6927"/>
      <c r="U6927"/>
    </row>
    <row r="6928" spans="1:21">
      <c r="A6928"/>
      <c r="C6928"/>
      <c r="D6928"/>
      <c r="L6928"/>
      <c r="R6928"/>
      <c r="S6928"/>
      <c r="T6928"/>
      <c r="U6928"/>
    </row>
    <row r="6929" spans="1:21">
      <c r="A6929"/>
      <c r="C6929"/>
      <c r="D6929"/>
      <c r="L6929"/>
      <c r="R6929"/>
      <c r="S6929"/>
      <c r="T6929"/>
      <c r="U6929"/>
    </row>
    <row r="6930" spans="1:21">
      <c r="A6930"/>
      <c r="C6930"/>
      <c r="D6930"/>
      <c r="L6930"/>
      <c r="R6930"/>
      <c r="S6930"/>
      <c r="T6930"/>
      <c r="U6930"/>
    </row>
    <row r="6931" spans="1:21">
      <c r="A6931"/>
      <c r="C6931"/>
      <c r="D6931"/>
      <c r="L6931"/>
      <c r="R6931"/>
      <c r="S6931"/>
      <c r="T6931"/>
      <c r="U6931"/>
    </row>
    <row r="6932" spans="1:21">
      <c r="A6932"/>
      <c r="C6932"/>
      <c r="D6932"/>
      <c r="L6932"/>
      <c r="R6932"/>
      <c r="S6932"/>
      <c r="T6932"/>
      <c r="U6932"/>
    </row>
    <row r="6933" spans="1:21">
      <c r="A6933"/>
      <c r="C6933"/>
      <c r="D6933"/>
      <c r="L6933"/>
      <c r="R6933"/>
      <c r="S6933"/>
      <c r="T6933"/>
      <c r="U6933"/>
    </row>
    <row r="6934" spans="1:21">
      <c r="A6934"/>
      <c r="C6934"/>
      <c r="D6934"/>
      <c r="L6934"/>
      <c r="R6934"/>
      <c r="S6934"/>
      <c r="T6934"/>
      <c r="U6934"/>
    </row>
    <row r="6935" spans="1:21">
      <c r="A6935"/>
      <c r="C6935"/>
      <c r="D6935"/>
      <c r="L6935"/>
      <c r="R6935"/>
      <c r="S6935"/>
      <c r="T6935"/>
      <c r="U6935"/>
    </row>
    <row r="6936" spans="1:21">
      <c r="A6936"/>
      <c r="C6936"/>
      <c r="D6936"/>
      <c r="L6936"/>
      <c r="R6936"/>
      <c r="S6936"/>
      <c r="T6936"/>
      <c r="U6936"/>
    </row>
    <row r="6937" spans="1:21">
      <c r="A6937"/>
      <c r="C6937"/>
      <c r="D6937"/>
      <c r="L6937"/>
      <c r="R6937"/>
      <c r="S6937"/>
      <c r="T6937"/>
      <c r="U6937"/>
    </row>
    <row r="6938" spans="1:21">
      <c r="A6938"/>
      <c r="C6938"/>
      <c r="D6938"/>
      <c r="L6938"/>
      <c r="R6938"/>
      <c r="S6938"/>
      <c r="T6938"/>
      <c r="U6938"/>
    </row>
    <row r="6939" spans="1:21">
      <c r="A6939"/>
      <c r="C6939"/>
      <c r="D6939"/>
      <c r="L6939"/>
      <c r="R6939"/>
      <c r="S6939"/>
      <c r="T6939"/>
      <c r="U6939"/>
    </row>
    <row r="6940" spans="1:21">
      <c r="A6940"/>
      <c r="C6940"/>
      <c r="D6940"/>
      <c r="L6940"/>
      <c r="R6940"/>
      <c r="S6940"/>
      <c r="T6940"/>
      <c r="U6940"/>
    </row>
    <row r="6941" spans="1:21">
      <c r="A6941"/>
      <c r="C6941"/>
      <c r="D6941"/>
      <c r="L6941"/>
      <c r="R6941"/>
      <c r="S6941"/>
      <c r="T6941"/>
      <c r="U6941"/>
    </row>
    <row r="6942" spans="1:21">
      <c r="A6942"/>
      <c r="C6942"/>
      <c r="D6942"/>
      <c r="L6942"/>
      <c r="R6942"/>
      <c r="S6942"/>
      <c r="T6942"/>
      <c r="U6942"/>
    </row>
    <row r="6943" spans="1:21">
      <c r="A6943"/>
      <c r="C6943"/>
      <c r="D6943"/>
      <c r="L6943"/>
      <c r="R6943"/>
      <c r="S6943"/>
      <c r="T6943"/>
      <c r="U6943"/>
    </row>
    <row r="6944" spans="1:21">
      <c r="A6944"/>
      <c r="C6944"/>
      <c r="D6944"/>
      <c r="L6944"/>
      <c r="R6944"/>
      <c r="S6944"/>
      <c r="T6944"/>
      <c r="U6944"/>
    </row>
    <row r="6945" spans="1:21">
      <c r="A6945"/>
      <c r="C6945"/>
      <c r="D6945"/>
      <c r="L6945"/>
      <c r="R6945"/>
      <c r="S6945"/>
      <c r="T6945"/>
      <c r="U6945"/>
    </row>
    <row r="6946" spans="1:21">
      <c r="A6946"/>
      <c r="C6946"/>
      <c r="D6946"/>
      <c r="L6946"/>
      <c r="R6946"/>
      <c r="S6946"/>
      <c r="T6946"/>
      <c r="U6946"/>
    </row>
    <row r="6947" spans="1:21">
      <c r="A6947"/>
      <c r="C6947"/>
      <c r="D6947"/>
      <c r="L6947"/>
      <c r="R6947"/>
      <c r="S6947"/>
      <c r="T6947"/>
      <c r="U6947"/>
    </row>
    <row r="6948" spans="1:21">
      <c r="A6948"/>
      <c r="C6948"/>
      <c r="D6948"/>
      <c r="L6948"/>
      <c r="R6948"/>
      <c r="S6948"/>
      <c r="T6948"/>
      <c r="U6948"/>
    </row>
    <row r="6949" spans="1:21">
      <c r="A6949"/>
      <c r="C6949"/>
      <c r="D6949"/>
      <c r="L6949"/>
      <c r="R6949"/>
      <c r="S6949"/>
      <c r="T6949"/>
      <c r="U6949"/>
    </row>
    <row r="6950" spans="1:21">
      <c r="A6950"/>
      <c r="C6950"/>
      <c r="D6950"/>
      <c r="L6950"/>
      <c r="R6950"/>
      <c r="S6950"/>
      <c r="T6950"/>
      <c r="U6950"/>
    </row>
    <row r="6951" spans="1:21">
      <c r="A6951"/>
      <c r="C6951"/>
      <c r="D6951"/>
      <c r="L6951"/>
      <c r="R6951"/>
      <c r="S6951"/>
      <c r="T6951"/>
      <c r="U6951"/>
    </row>
    <row r="6952" spans="1:21">
      <c r="A6952"/>
      <c r="C6952"/>
      <c r="D6952"/>
      <c r="L6952"/>
      <c r="R6952"/>
      <c r="S6952"/>
      <c r="T6952"/>
      <c r="U6952"/>
    </row>
    <row r="6953" spans="1:21">
      <c r="A6953"/>
      <c r="C6953"/>
      <c r="D6953"/>
      <c r="L6953"/>
      <c r="R6953"/>
      <c r="S6953"/>
      <c r="T6953"/>
      <c r="U6953"/>
    </row>
    <row r="6954" spans="1:21">
      <c r="A6954"/>
      <c r="C6954"/>
      <c r="D6954"/>
      <c r="L6954"/>
      <c r="R6954"/>
      <c r="S6954"/>
      <c r="T6954"/>
      <c r="U6954"/>
    </row>
    <row r="6955" spans="1:21">
      <c r="A6955"/>
      <c r="C6955"/>
      <c r="D6955"/>
      <c r="L6955"/>
      <c r="R6955"/>
      <c r="S6955"/>
      <c r="T6955"/>
      <c r="U6955"/>
    </row>
    <row r="6956" spans="1:21">
      <c r="A6956"/>
      <c r="C6956"/>
      <c r="D6956"/>
      <c r="L6956"/>
      <c r="R6956"/>
      <c r="S6956"/>
      <c r="T6956"/>
      <c r="U6956"/>
    </row>
    <row r="6957" spans="1:21">
      <c r="A6957"/>
      <c r="C6957"/>
      <c r="D6957"/>
      <c r="L6957"/>
      <c r="R6957"/>
      <c r="S6957"/>
      <c r="T6957"/>
      <c r="U6957"/>
    </row>
    <row r="6958" spans="1:21">
      <c r="A6958"/>
      <c r="C6958"/>
      <c r="D6958"/>
      <c r="L6958"/>
      <c r="R6958"/>
      <c r="S6958"/>
      <c r="T6958"/>
      <c r="U6958"/>
    </row>
    <row r="6959" spans="1:21">
      <c r="A6959"/>
      <c r="C6959"/>
      <c r="D6959"/>
      <c r="L6959"/>
      <c r="R6959"/>
      <c r="S6959"/>
      <c r="T6959"/>
      <c r="U6959"/>
    </row>
    <row r="6960" spans="1:21">
      <c r="A6960"/>
      <c r="C6960"/>
      <c r="D6960"/>
      <c r="L6960"/>
      <c r="R6960"/>
      <c r="S6960"/>
      <c r="T6960"/>
      <c r="U6960"/>
    </row>
    <row r="6961" spans="1:21">
      <c r="A6961"/>
      <c r="C6961"/>
      <c r="D6961"/>
      <c r="L6961"/>
      <c r="R6961"/>
      <c r="S6961"/>
      <c r="T6961"/>
      <c r="U6961"/>
    </row>
    <row r="6962" spans="1:21">
      <c r="A6962"/>
      <c r="C6962"/>
      <c r="D6962"/>
      <c r="L6962"/>
      <c r="R6962"/>
      <c r="S6962"/>
      <c r="T6962"/>
      <c r="U6962"/>
    </row>
    <row r="6963" spans="1:21">
      <c r="A6963"/>
      <c r="C6963"/>
      <c r="D6963"/>
      <c r="L6963"/>
      <c r="R6963"/>
      <c r="S6963"/>
      <c r="T6963"/>
      <c r="U6963"/>
    </row>
    <row r="6964" spans="1:21">
      <c r="A6964"/>
      <c r="C6964"/>
      <c r="D6964"/>
      <c r="L6964"/>
      <c r="R6964"/>
      <c r="S6964"/>
      <c r="T6964"/>
      <c r="U6964"/>
    </row>
    <row r="6965" spans="1:21">
      <c r="A6965"/>
      <c r="C6965"/>
      <c r="D6965"/>
      <c r="L6965"/>
      <c r="R6965"/>
      <c r="S6965"/>
      <c r="T6965"/>
      <c r="U6965"/>
    </row>
    <row r="6966" spans="1:21">
      <c r="A6966"/>
      <c r="C6966"/>
      <c r="D6966"/>
      <c r="L6966"/>
      <c r="R6966"/>
      <c r="S6966"/>
      <c r="T6966"/>
      <c r="U6966"/>
    </row>
    <row r="6967" spans="1:21">
      <c r="A6967"/>
      <c r="C6967"/>
      <c r="D6967"/>
      <c r="L6967"/>
      <c r="R6967"/>
      <c r="S6967"/>
      <c r="T6967"/>
      <c r="U6967"/>
    </row>
    <row r="6968" spans="1:21">
      <c r="A6968"/>
      <c r="C6968"/>
      <c r="D6968"/>
      <c r="L6968"/>
      <c r="R6968"/>
      <c r="S6968"/>
      <c r="T6968"/>
      <c r="U6968"/>
    </row>
    <row r="6969" spans="1:21">
      <c r="A6969"/>
      <c r="C6969"/>
      <c r="D6969"/>
      <c r="L6969"/>
      <c r="R6969"/>
      <c r="S6969"/>
      <c r="T6969"/>
      <c r="U6969"/>
    </row>
    <row r="6970" spans="1:21">
      <c r="A6970"/>
      <c r="C6970"/>
      <c r="D6970"/>
      <c r="L6970"/>
      <c r="R6970"/>
      <c r="S6970"/>
      <c r="T6970"/>
      <c r="U6970"/>
    </row>
    <row r="6971" spans="1:21">
      <c r="A6971"/>
      <c r="C6971"/>
      <c r="D6971"/>
      <c r="L6971"/>
      <c r="R6971"/>
      <c r="S6971"/>
      <c r="T6971"/>
      <c r="U6971"/>
    </row>
    <row r="6972" spans="1:21">
      <c r="A6972"/>
      <c r="C6972"/>
      <c r="D6972"/>
      <c r="L6972"/>
      <c r="R6972"/>
      <c r="S6972"/>
      <c r="T6972"/>
      <c r="U6972"/>
    </row>
    <row r="6973" spans="1:21">
      <c r="A6973"/>
      <c r="C6973"/>
      <c r="D6973"/>
      <c r="L6973"/>
      <c r="R6973"/>
      <c r="S6973"/>
      <c r="T6973"/>
      <c r="U6973"/>
    </row>
    <row r="6974" spans="1:21">
      <c r="A6974"/>
      <c r="C6974"/>
      <c r="D6974"/>
      <c r="L6974"/>
      <c r="R6974"/>
      <c r="S6974"/>
      <c r="T6974"/>
      <c r="U6974"/>
    </row>
    <row r="6975" spans="1:21">
      <c r="A6975"/>
      <c r="C6975"/>
      <c r="D6975"/>
      <c r="L6975"/>
      <c r="R6975"/>
      <c r="S6975"/>
      <c r="T6975"/>
      <c r="U6975"/>
    </row>
    <row r="6976" spans="1:21">
      <c r="A6976"/>
      <c r="C6976"/>
      <c r="D6976"/>
      <c r="L6976"/>
      <c r="R6976"/>
      <c r="S6976"/>
      <c r="T6976"/>
      <c r="U6976"/>
    </row>
    <row r="6977" spans="1:21">
      <c r="A6977"/>
      <c r="C6977"/>
      <c r="D6977"/>
      <c r="L6977"/>
      <c r="R6977"/>
      <c r="S6977"/>
      <c r="T6977"/>
      <c r="U6977"/>
    </row>
    <row r="6978" spans="1:21">
      <c r="A6978"/>
      <c r="C6978"/>
      <c r="D6978"/>
      <c r="L6978"/>
      <c r="R6978"/>
      <c r="S6978"/>
      <c r="T6978"/>
      <c r="U6978"/>
    </row>
    <row r="6979" spans="1:21">
      <c r="A6979"/>
      <c r="C6979"/>
      <c r="D6979"/>
      <c r="L6979"/>
      <c r="R6979"/>
      <c r="S6979"/>
      <c r="T6979"/>
      <c r="U6979"/>
    </row>
    <row r="6980" spans="1:21">
      <c r="A6980"/>
      <c r="C6980"/>
      <c r="D6980"/>
      <c r="L6980"/>
      <c r="R6980"/>
      <c r="S6980"/>
      <c r="T6980"/>
      <c r="U6980"/>
    </row>
    <row r="6981" spans="1:21">
      <c r="A6981"/>
      <c r="C6981"/>
      <c r="D6981"/>
      <c r="L6981"/>
      <c r="R6981"/>
      <c r="S6981"/>
      <c r="T6981"/>
      <c r="U6981"/>
    </row>
    <row r="6982" spans="1:21">
      <c r="A6982"/>
      <c r="C6982"/>
      <c r="D6982"/>
      <c r="L6982"/>
      <c r="R6982"/>
      <c r="S6982"/>
      <c r="T6982"/>
      <c r="U6982"/>
    </row>
    <row r="6983" spans="1:21">
      <c r="A6983"/>
      <c r="C6983"/>
      <c r="D6983"/>
      <c r="L6983"/>
      <c r="R6983"/>
      <c r="S6983"/>
      <c r="T6983"/>
      <c r="U6983"/>
    </row>
    <row r="6984" spans="1:21">
      <c r="A6984"/>
      <c r="C6984"/>
      <c r="D6984"/>
      <c r="L6984"/>
      <c r="R6984"/>
      <c r="S6984"/>
      <c r="T6984"/>
      <c r="U6984"/>
    </row>
    <row r="6985" spans="1:21">
      <c r="A6985"/>
      <c r="C6985"/>
      <c r="D6985"/>
      <c r="L6985"/>
      <c r="R6985"/>
      <c r="S6985"/>
      <c r="T6985"/>
      <c r="U6985"/>
    </row>
    <row r="6986" spans="1:21">
      <c r="A6986"/>
      <c r="C6986"/>
      <c r="D6986"/>
      <c r="L6986"/>
      <c r="R6986"/>
      <c r="S6986"/>
      <c r="T6986"/>
      <c r="U6986"/>
    </row>
    <row r="6987" spans="1:21">
      <c r="A6987"/>
      <c r="C6987"/>
      <c r="D6987"/>
      <c r="L6987"/>
      <c r="R6987"/>
      <c r="S6987"/>
      <c r="T6987"/>
      <c r="U6987"/>
    </row>
    <row r="6988" spans="1:21">
      <c r="A6988"/>
      <c r="C6988"/>
      <c r="D6988"/>
      <c r="L6988"/>
      <c r="R6988"/>
      <c r="S6988"/>
      <c r="T6988"/>
      <c r="U6988"/>
    </row>
    <row r="6989" spans="1:21">
      <c r="A6989"/>
      <c r="C6989"/>
      <c r="D6989"/>
      <c r="L6989"/>
      <c r="R6989"/>
      <c r="S6989"/>
      <c r="T6989"/>
      <c r="U6989"/>
    </row>
    <row r="6990" spans="1:21">
      <c r="A6990"/>
      <c r="C6990"/>
      <c r="D6990"/>
      <c r="L6990"/>
      <c r="R6990"/>
      <c r="S6990"/>
      <c r="T6990"/>
      <c r="U6990"/>
    </row>
    <row r="6991" spans="1:21">
      <c r="A6991"/>
      <c r="C6991"/>
      <c r="D6991"/>
      <c r="L6991"/>
      <c r="R6991"/>
      <c r="S6991"/>
      <c r="T6991"/>
      <c r="U6991"/>
    </row>
    <row r="6992" spans="1:21">
      <c r="A6992"/>
      <c r="C6992"/>
      <c r="D6992"/>
      <c r="L6992"/>
      <c r="R6992"/>
      <c r="S6992"/>
      <c r="T6992"/>
      <c r="U6992"/>
    </row>
    <row r="6993" spans="1:21">
      <c r="A6993"/>
      <c r="C6993"/>
      <c r="D6993"/>
      <c r="L6993"/>
      <c r="R6993"/>
      <c r="S6993"/>
      <c r="T6993"/>
      <c r="U6993"/>
    </row>
    <row r="6994" spans="1:21">
      <c r="A6994"/>
      <c r="C6994"/>
      <c r="D6994"/>
      <c r="L6994"/>
      <c r="R6994"/>
      <c r="S6994"/>
      <c r="T6994"/>
      <c r="U6994"/>
    </row>
    <row r="6995" spans="1:21">
      <c r="A6995"/>
      <c r="C6995"/>
      <c r="D6995"/>
      <c r="L6995"/>
      <c r="R6995"/>
      <c r="S6995"/>
      <c r="T6995"/>
      <c r="U6995"/>
    </row>
    <row r="6996" spans="1:21">
      <c r="A6996"/>
      <c r="C6996"/>
      <c r="D6996"/>
      <c r="L6996"/>
      <c r="R6996"/>
      <c r="S6996"/>
      <c r="T6996"/>
      <c r="U6996"/>
    </row>
    <row r="6997" spans="1:21">
      <c r="A6997"/>
      <c r="C6997"/>
      <c r="D6997"/>
      <c r="L6997"/>
      <c r="R6997"/>
      <c r="S6997"/>
      <c r="T6997"/>
      <c r="U6997"/>
    </row>
    <row r="6998" spans="1:21">
      <c r="A6998"/>
      <c r="C6998"/>
      <c r="D6998"/>
      <c r="L6998"/>
      <c r="R6998"/>
      <c r="S6998"/>
      <c r="T6998"/>
      <c r="U6998"/>
    </row>
    <row r="6999" spans="1:21">
      <c r="A6999"/>
      <c r="C6999"/>
      <c r="D6999"/>
      <c r="L6999"/>
      <c r="R6999"/>
      <c r="S6999"/>
      <c r="T6999"/>
      <c r="U6999"/>
    </row>
    <row r="7000" spans="1:21">
      <c r="A7000"/>
      <c r="C7000"/>
      <c r="D7000"/>
      <c r="L7000"/>
      <c r="R7000"/>
      <c r="S7000"/>
      <c r="T7000"/>
      <c r="U7000"/>
    </row>
    <row r="7001" spans="1:21">
      <c r="A7001"/>
      <c r="C7001"/>
      <c r="D7001"/>
      <c r="L7001"/>
      <c r="R7001"/>
      <c r="S7001"/>
      <c r="T7001"/>
      <c r="U7001"/>
    </row>
    <row r="7002" spans="1:21">
      <c r="A7002"/>
      <c r="C7002"/>
      <c r="D7002"/>
      <c r="L7002"/>
      <c r="R7002"/>
      <c r="S7002"/>
      <c r="T7002"/>
      <c r="U7002"/>
    </row>
    <row r="7003" spans="1:21">
      <c r="A7003"/>
      <c r="C7003"/>
      <c r="D7003"/>
      <c r="L7003"/>
      <c r="R7003"/>
      <c r="S7003"/>
      <c r="T7003"/>
      <c r="U7003"/>
    </row>
    <row r="7004" spans="1:21">
      <c r="A7004"/>
      <c r="C7004"/>
      <c r="D7004"/>
      <c r="L7004"/>
      <c r="R7004"/>
      <c r="S7004"/>
      <c r="T7004"/>
      <c r="U7004"/>
    </row>
    <row r="7005" spans="1:21">
      <c r="A7005"/>
      <c r="C7005"/>
      <c r="D7005"/>
      <c r="L7005"/>
      <c r="R7005"/>
      <c r="S7005"/>
      <c r="T7005"/>
      <c r="U7005"/>
    </row>
    <row r="7006" spans="1:21">
      <c r="A7006"/>
      <c r="C7006"/>
      <c r="D7006"/>
      <c r="L7006"/>
      <c r="R7006"/>
      <c r="S7006"/>
      <c r="T7006"/>
      <c r="U7006"/>
    </row>
    <row r="7007" spans="1:21">
      <c r="A7007"/>
      <c r="C7007"/>
      <c r="D7007"/>
      <c r="L7007"/>
      <c r="R7007"/>
      <c r="S7007"/>
      <c r="T7007"/>
      <c r="U7007"/>
    </row>
    <row r="7008" spans="1:21">
      <c r="A7008"/>
      <c r="C7008"/>
      <c r="D7008"/>
      <c r="L7008"/>
      <c r="R7008"/>
      <c r="S7008"/>
      <c r="T7008"/>
      <c r="U7008"/>
    </row>
    <row r="7009" spans="1:21">
      <c r="A7009"/>
      <c r="C7009"/>
      <c r="D7009"/>
      <c r="L7009"/>
      <c r="R7009"/>
      <c r="S7009"/>
      <c r="T7009"/>
      <c r="U7009"/>
    </row>
    <row r="7010" spans="1:21">
      <c r="A7010"/>
      <c r="C7010"/>
      <c r="D7010"/>
      <c r="L7010"/>
      <c r="R7010"/>
      <c r="S7010"/>
      <c r="T7010"/>
      <c r="U7010"/>
    </row>
    <row r="7011" spans="1:21">
      <c r="A7011"/>
      <c r="C7011"/>
      <c r="D7011"/>
      <c r="L7011"/>
      <c r="R7011"/>
      <c r="S7011"/>
      <c r="T7011"/>
      <c r="U7011"/>
    </row>
    <row r="7012" spans="1:21">
      <c r="A7012"/>
      <c r="C7012"/>
      <c r="D7012"/>
      <c r="L7012"/>
      <c r="R7012"/>
      <c r="S7012"/>
      <c r="T7012"/>
      <c r="U7012"/>
    </row>
    <row r="7013" spans="1:21">
      <c r="A7013"/>
      <c r="C7013"/>
      <c r="D7013"/>
      <c r="L7013"/>
      <c r="R7013"/>
      <c r="S7013"/>
      <c r="T7013"/>
      <c r="U7013"/>
    </row>
    <row r="7014" spans="1:21">
      <c r="A7014"/>
      <c r="C7014"/>
      <c r="D7014"/>
      <c r="L7014"/>
      <c r="R7014"/>
      <c r="S7014"/>
      <c r="T7014"/>
      <c r="U7014"/>
    </row>
    <row r="7015" spans="1:21">
      <c r="A7015"/>
      <c r="C7015"/>
      <c r="D7015"/>
      <c r="L7015"/>
      <c r="R7015"/>
      <c r="S7015"/>
      <c r="T7015"/>
      <c r="U7015"/>
    </row>
    <row r="7016" spans="1:21">
      <c r="A7016"/>
      <c r="C7016"/>
      <c r="D7016"/>
      <c r="L7016"/>
      <c r="R7016"/>
      <c r="S7016"/>
      <c r="T7016"/>
      <c r="U7016"/>
    </row>
    <row r="7017" spans="1:21">
      <c r="A7017"/>
      <c r="C7017"/>
      <c r="D7017"/>
      <c r="L7017"/>
      <c r="R7017"/>
      <c r="S7017"/>
      <c r="T7017"/>
      <c r="U7017"/>
    </row>
    <row r="7018" spans="1:21">
      <c r="A7018"/>
      <c r="C7018"/>
      <c r="D7018"/>
      <c r="L7018"/>
      <c r="R7018"/>
      <c r="S7018"/>
      <c r="T7018"/>
      <c r="U7018"/>
    </row>
    <row r="7019" spans="1:21">
      <c r="A7019"/>
      <c r="C7019"/>
      <c r="D7019"/>
      <c r="L7019"/>
      <c r="R7019"/>
      <c r="S7019"/>
      <c r="T7019"/>
      <c r="U7019"/>
    </row>
    <row r="7020" spans="1:21">
      <c r="A7020"/>
      <c r="C7020"/>
      <c r="D7020"/>
      <c r="L7020"/>
      <c r="R7020"/>
      <c r="S7020"/>
      <c r="T7020"/>
      <c r="U7020"/>
    </row>
    <row r="7021" spans="1:21">
      <c r="A7021"/>
      <c r="C7021"/>
      <c r="D7021"/>
      <c r="L7021"/>
      <c r="R7021"/>
      <c r="S7021"/>
      <c r="T7021"/>
      <c r="U7021"/>
    </row>
    <row r="7022" spans="1:21">
      <c r="A7022"/>
      <c r="C7022"/>
      <c r="D7022"/>
      <c r="L7022"/>
      <c r="R7022"/>
      <c r="S7022"/>
      <c r="T7022"/>
      <c r="U7022"/>
    </row>
    <row r="7023" spans="1:21">
      <c r="A7023"/>
      <c r="C7023"/>
      <c r="D7023"/>
      <c r="L7023"/>
      <c r="R7023"/>
      <c r="S7023"/>
      <c r="T7023"/>
      <c r="U7023"/>
    </row>
    <row r="7024" spans="1:21">
      <c r="A7024"/>
      <c r="C7024"/>
      <c r="D7024"/>
      <c r="L7024"/>
      <c r="R7024"/>
      <c r="S7024"/>
      <c r="T7024"/>
      <c r="U7024"/>
    </row>
    <row r="7025" spans="1:21">
      <c r="A7025"/>
      <c r="C7025"/>
      <c r="D7025"/>
      <c r="L7025"/>
      <c r="R7025"/>
      <c r="S7025"/>
      <c r="T7025"/>
      <c r="U7025"/>
    </row>
    <row r="7026" spans="1:21">
      <c r="A7026"/>
      <c r="C7026"/>
      <c r="D7026"/>
      <c r="L7026"/>
      <c r="R7026"/>
      <c r="S7026"/>
      <c r="T7026"/>
      <c r="U7026"/>
    </row>
    <row r="7027" spans="1:21">
      <c r="A7027"/>
      <c r="C7027"/>
      <c r="D7027"/>
      <c r="L7027"/>
      <c r="R7027"/>
      <c r="S7027"/>
      <c r="T7027"/>
      <c r="U7027"/>
    </row>
    <row r="7028" spans="1:21">
      <c r="A7028"/>
      <c r="C7028"/>
      <c r="D7028"/>
      <c r="L7028"/>
      <c r="R7028"/>
      <c r="S7028"/>
      <c r="T7028"/>
      <c r="U7028"/>
    </row>
    <row r="7029" spans="1:21">
      <c r="A7029"/>
      <c r="C7029"/>
      <c r="D7029"/>
      <c r="L7029"/>
      <c r="R7029"/>
      <c r="S7029"/>
      <c r="T7029"/>
      <c r="U7029"/>
    </row>
    <row r="7030" spans="1:21">
      <c r="A7030"/>
      <c r="C7030"/>
      <c r="D7030"/>
      <c r="L7030"/>
      <c r="R7030"/>
      <c r="S7030"/>
      <c r="T7030"/>
      <c r="U7030"/>
    </row>
    <row r="7031" spans="1:21">
      <c r="A7031"/>
      <c r="C7031"/>
      <c r="D7031"/>
      <c r="L7031"/>
      <c r="R7031"/>
      <c r="S7031"/>
      <c r="T7031"/>
      <c r="U7031"/>
    </row>
    <row r="7032" spans="1:21">
      <c r="A7032"/>
      <c r="C7032"/>
      <c r="D7032"/>
      <c r="L7032"/>
      <c r="R7032"/>
      <c r="S7032"/>
      <c r="T7032"/>
      <c r="U7032"/>
    </row>
    <row r="7033" spans="1:21">
      <c r="A7033"/>
      <c r="C7033"/>
      <c r="D7033"/>
      <c r="L7033"/>
      <c r="R7033"/>
      <c r="S7033"/>
      <c r="T7033"/>
      <c r="U7033"/>
    </row>
    <row r="7034" spans="1:21">
      <c r="A7034"/>
      <c r="C7034"/>
      <c r="D7034"/>
      <c r="L7034"/>
      <c r="R7034"/>
      <c r="S7034"/>
      <c r="T7034"/>
      <c r="U7034"/>
    </row>
    <row r="7035" spans="1:21">
      <c r="A7035"/>
      <c r="C7035"/>
      <c r="D7035"/>
      <c r="L7035"/>
      <c r="R7035"/>
      <c r="S7035"/>
      <c r="T7035"/>
      <c r="U7035"/>
    </row>
    <row r="7036" spans="1:21">
      <c r="A7036"/>
      <c r="C7036"/>
      <c r="D7036"/>
      <c r="L7036"/>
      <c r="R7036"/>
      <c r="S7036"/>
      <c r="T7036"/>
      <c r="U7036"/>
    </row>
    <row r="7037" spans="1:21">
      <c r="A7037"/>
      <c r="C7037"/>
      <c r="D7037"/>
      <c r="L7037"/>
      <c r="R7037"/>
      <c r="S7037"/>
      <c r="T7037"/>
      <c r="U7037"/>
    </row>
    <row r="7038" spans="1:21">
      <c r="A7038"/>
      <c r="C7038"/>
      <c r="D7038"/>
      <c r="L7038"/>
      <c r="R7038"/>
      <c r="S7038"/>
      <c r="T7038"/>
      <c r="U7038"/>
    </row>
    <row r="7039" spans="1:21">
      <c r="A7039"/>
      <c r="C7039"/>
      <c r="D7039"/>
      <c r="L7039"/>
      <c r="R7039"/>
      <c r="S7039"/>
      <c r="T7039"/>
      <c r="U7039"/>
    </row>
    <row r="7040" spans="1:21">
      <c r="A7040"/>
      <c r="C7040"/>
      <c r="D7040"/>
      <c r="L7040"/>
      <c r="R7040"/>
      <c r="S7040"/>
      <c r="T7040"/>
      <c r="U7040"/>
    </row>
    <row r="7041" spans="1:21">
      <c r="A7041"/>
      <c r="C7041"/>
      <c r="D7041"/>
      <c r="L7041"/>
      <c r="R7041"/>
      <c r="S7041"/>
      <c r="T7041"/>
      <c r="U7041"/>
    </row>
    <row r="7042" spans="1:21">
      <c r="A7042"/>
      <c r="C7042"/>
      <c r="D7042"/>
      <c r="L7042"/>
      <c r="R7042"/>
      <c r="S7042"/>
      <c r="T7042"/>
      <c r="U7042"/>
    </row>
    <row r="7043" spans="1:21">
      <c r="A7043"/>
      <c r="C7043"/>
      <c r="D7043"/>
      <c r="L7043"/>
      <c r="R7043"/>
      <c r="S7043"/>
      <c r="T7043"/>
      <c r="U7043"/>
    </row>
    <row r="7044" spans="1:21">
      <c r="A7044"/>
      <c r="C7044"/>
      <c r="D7044"/>
      <c r="L7044"/>
      <c r="R7044"/>
      <c r="S7044"/>
      <c r="T7044"/>
      <c r="U7044"/>
    </row>
    <row r="7045" spans="1:21">
      <c r="A7045"/>
      <c r="C7045"/>
      <c r="D7045"/>
      <c r="L7045"/>
      <c r="R7045"/>
      <c r="S7045"/>
      <c r="T7045"/>
      <c r="U7045"/>
    </row>
    <row r="7046" spans="1:21">
      <c r="A7046"/>
      <c r="C7046"/>
      <c r="D7046"/>
      <c r="L7046"/>
      <c r="R7046"/>
      <c r="S7046"/>
      <c r="T7046"/>
      <c r="U7046"/>
    </row>
    <row r="7047" spans="1:21">
      <c r="A7047"/>
      <c r="C7047"/>
      <c r="D7047"/>
      <c r="L7047"/>
      <c r="R7047"/>
      <c r="S7047"/>
      <c r="T7047"/>
      <c r="U7047"/>
    </row>
    <row r="7048" spans="1:21">
      <c r="A7048"/>
      <c r="C7048"/>
      <c r="D7048"/>
      <c r="L7048"/>
      <c r="R7048"/>
      <c r="S7048"/>
      <c r="T7048"/>
      <c r="U7048"/>
    </row>
    <row r="7049" spans="1:21">
      <c r="A7049"/>
      <c r="C7049"/>
      <c r="D7049"/>
      <c r="L7049"/>
      <c r="R7049"/>
      <c r="S7049"/>
      <c r="T7049"/>
      <c r="U7049"/>
    </row>
    <row r="7050" spans="1:21">
      <c r="A7050"/>
      <c r="C7050"/>
      <c r="D7050"/>
      <c r="L7050"/>
      <c r="R7050"/>
      <c r="S7050"/>
      <c r="T7050"/>
      <c r="U7050"/>
    </row>
    <row r="7051" spans="1:21">
      <c r="A7051"/>
      <c r="C7051"/>
      <c r="D7051"/>
      <c r="L7051"/>
      <c r="R7051"/>
      <c r="S7051"/>
      <c r="T7051"/>
      <c r="U7051"/>
    </row>
    <row r="7052" spans="1:21">
      <c r="A7052"/>
      <c r="C7052"/>
      <c r="D7052"/>
      <c r="L7052"/>
      <c r="R7052"/>
      <c r="S7052"/>
      <c r="T7052"/>
      <c r="U7052"/>
    </row>
    <row r="7053" spans="1:21">
      <c r="A7053"/>
      <c r="C7053"/>
      <c r="D7053"/>
      <c r="L7053"/>
      <c r="R7053"/>
      <c r="S7053"/>
      <c r="T7053"/>
      <c r="U7053"/>
    </row>
    <row r="7054" spans="1:21">
      <c r="A7054"/>
      <c r="C7054"/>
      <c r="D7054"/>
      <c r="L7054"/>
      <c r="R7054"/>
      <c r="S7054"/>
      <c r="T7054"/>
      <c r="U7054"/>
    </row>
    <row r="7055" spans="1:21">
      <c r="A7055"/>
      <c r="C7055"/>
      <c r="D7055"/>
      <c r="L7055"/>
      <c r="R7055"/>
      <c r="S7055"/>
      <c r="T7055"/>
      <c r="U7055"/>
    </row>
    <row r="7056" spans="1:21">
      <c r="A7056"/>
      <c r="C7056"/>
      <c r="D7056"/>
      <c r="L7056"/>
      <c r="R7056"/>
      <c r="S7056"/>
      <c r="T7056"/>
      <c r="U7056"/>
    </row>
    <row r="7057" spans="1:21">
      <c r="A7057"/>
      <c r="C7057"/>
      <c r="D7057"/>
      <c r="L7057"/>
      <c r="R7057"/>
      <c r="S7057"/>
      <c r="T7057"/>
      <c r="U7057"/>
    </row>
    <row r="7058" spans="1:21">
      <c r="A7058"/>
      <c r="C7058"/>
      <c r="D7058"/>
      <c r="L7058"/>
      <c r="R7058"/>
      <c r="S7058"/>
      <c r="T7058"/>
      <c r="U7058"/>
    </row>
    <row r="7059" spans="1:21">
      <c r="A7059"/>
      <c r="C7059"/>
      <c r="D7059"/>
      <c r="L7059"/>
      <c r="R7059"/>
      <c r="S7059"/>
      <c r="T7059"/>
      <c r="U7059"/>
    </row>
    <row r="7060" spans="1:21">
      <c r="A7060"/>
      <c r="C7060"/>
      <c r="D7060"/>
      <c r="L7060"/>
      <c r="R7060"/>
      <c r="S7060"/>
      <c r="T7060"/>
      <c r="U7060"/>
    </row>
    <row r="7061" spans="1:21">
      <c r="A7061"/>
      <c r="C7061"/>
      <c r="D7061"/>
      <c r="L7061"/>
      <c r="R7061"/>
      <c r="S7061"/>
      <c r="T7061"/>
      <c r="U7061"/>
    </row>
    <row r="7062" spans="1:21">
      <c r="A7062"/>
      <c r="C7062"/>
      <c r="D7062"/>
      <c r="L7062"/>
      <c r="R7062"/>
      <c r="S7062"/>
      <c r="T7062"/>
      <c r="U7062"/>
    </row>
    <row r="7063" spans="1:21">
      <c r="A7063"/>
      <c r="C7063"/>
      <c r="D7063"/>
      <c r="L7063"/>
      <c r="R7063"/>
      <c r="S7063"/>
      <c r="T7063"/>
      <c r="U7063"/>
    </row>
    <row r="7064" spans="1:21">
      <c r="A7064"/>
      <c r="C7064"/>
      <c r="D7064"/>
      <c r="L7064"/>
      <c r="R7064"/>
      <c r="S7064"/>
      <c r="T7064"/>
      <c r="U7064"/>
    </row>
    <row r="7065" spans="1:21">
      <c r="A7065"/>
      <c r="C7065"/>
      <c r="D7065"/>
      <c r="L7065"/>
      <c r="R7065"/>
      <c r="S7065"/>
      <c r="T7065"/>
      <c r="U7065"/>
    </row>
    <row r="7066" spans="1:21">
      <c r="A7066"/>
      <c r="C7066"/>
      <c r="D7066"/>
      <c r="L7066"/>
      <c r="R7066"/>
      <c r="S7066"/>
      <c r="T7066"/>
      <c r="U7066"/>
    </row>
    <row r="7067" spans="1:21">
      <c r="A7067"/>
      <c r="C7067"/>
      <c r="D7067"/>
      <c r="L7067"/>
      <c r="R7067"/>
      <c r="S7067"/>
      <c r="T7067"/>
      <c r="U7067"/>
    </row>
    <row r="7068" spans="1:21">
      <c r="A7068"/>
      <c r="C7068"/>
      <c r="D7068"/>
      <c r="L7068"/>
      <c r="R7068"/>
      <c r="S7068"/>
      <c r="T7068"/>
      <c r="U7068"/>
    </row>
    <row r="7069" spans="1:21">
      <c r="A7069"/>
      <c r="C7069"/>
      <c r="D7069"/>
      <c r="L7069"/>
      <c r="R7069"/>
      <c r="S7069"/>
      <c r="T7069"/>
      <c r="U7069"/>
    </row>
    <row r="7070" spans="1:21">
      <c r="A7070"/>
      <c r="C7070"/>
      <c r="D7070"/>
      <c r="L7070"/>
      <c r="R7070"/>
      <c r="S7070"/>
      <c r="T7070"/>
      <c r="U7070"/>
    </row>
    <row r="7071" spans="1:21">
      <c r="A7071"/>
      <c r="C7071"/>
      <c r="D7071"/>
      <c r="L7071"/>
      <c r="R7071"/>
      <c r="S7071"/>
      <c r="T7071"/>
      <c r="U7071"/>
    </row>
    <row r="7072" spans="1:21">
      <c r="A7072"/>
      <c r="C7072"/>
      <c r="D7072"/>
      <c r="L7072"/>
      <c r="R7072"/>
      <c r="S7072"/>
      <c r="T7072"/>
      <c r="U7072"/>
    </row>
    <row r="7073" spans="1:21">
      <c r="A7073"/>
      <c r="C7073"/>
      <c r="D7073"/>
      <c r="L7073"/>
      <c r="R7073"/>
      <c r="S7073"/>
      <c r="T7073"/>
      <c r="U7073"/>
    </row>
    <row r="7074" spans="1:21">
      <c r="A7074"/>
      <c r="C7074"/>
      <c r="D7074"/>
      <c r="L7074"/>
      <c r="R7074"/>
      <c r="S7074"/>
      <c r="T7074"/>
      <c r="U7074"/>
    </row>
    <row r="7075" spans="1:21">
      <c r="A7075"/>
      <c r="C7075"/>
      <c r="D7075"/>
      <c r="L7075"/>
      <c r="R7075"/>
      <c r="S7075"/>
      <c r="T7075"/>
      <c r="U7075"/>
    </row>
    <row r="7076" spans="1:21">
      <c r="A7076"/>
      <c r="C7076"/>
      <c r="D7076"/>
      <c r="L7076"/>
      <c r="R7076"/>
      <c r="S7076"/>
      <c r="T7076"/>
      <c r="U7076"/>
    </row>
    <row r="7077" spans="1:21">
      <c r="A7077"/>
      <c r="C7077"/>
      <c r="D7077"/>
      <c r="L7077"/>
      <c r="R7077"/>
      <c r="S7077"/>
      <c r="T7077"/>
      <c r="U7077"/>
    </row>
    <row r="7078" spans="1:21">
      <c r="A7078"/>
      <c r="C7078"/>
      <c r="D7078"/>
      <c r="L7078"/>
      <c r="R7078"/>
      <c r="S7078"/>
      <c r="T7078"/>
      <c r="U7078"/>
    </row>
    <row r="7079" spans="1:21">
      <c r="A7079"/>
      <c r="C7079"/>
      <c r="D7079"/>
      <c r="L7079"/>
      <c r="R7079"/>
      <c r="S7079"/>
      <c r="T7079"/>
      <c r="U7079"/>
    </row>
    <row r="7080" spans="1:21">
      <c r="A7080"/>
      <c r="C7080"/>
      <c r="D7080"/>
      <c r="L7080"/>
      <c r="R7080"/>
      <c r="S7080"/>
      <c r="T7080"/>
      <c r="U7080"/>
    </row>
    <row r="7081" spans="1:21">
      <c r="A7081"/>
      <c r="C7081"/>
      <c r="D7081"/>
      <c r="L7081"/>
      <c r="R7081"/>
      <c r="S7081"/>
      <c r="T7081"/>
      <c r="U7081"/>
    </row>
    <row r="7082" spans="1:21">
      <c r="A7082"/>
      <c r="C7082"/>
      <c r="D7082"/>
      <c r="L7082"/>
      <c r="R7082"/>
      <c r="S7082"/>
      <c r="T7082"/>
      <c r="U7082"/>
    </row>
    <row r="7083" spans="1:21">
      <c r="A7083"/>
      <c r="C7083"/>
      <c r="D7083"/>
      <c r="L7083"/>
      <c r="R7083"/>
      <c r="S7083"/>
      <c r="T7083"/>
      <c r="U7083"/>
    </row>
    <row r="7084" spans="1:21">
      <c r="A7084"/>
      <c r="C7084"/>
      <c r="D7084"/>
      <c r="L7084"/>
      <c r="R7084"/>
      <c r="S7084"/>
      <c r="T7084"/>
      <c r="U7084"/>
    </row>
    <row r="7085" spans="1:21">
      <c r="A7085"/>
      <c r="C7085"/>
      <c r="D7085"/>
      <c r="L7085"/>
      <c r="R7085"/>
      <c r="S7085"/>
      <c r="T7085"/>
      <c r="U7085"/>
    </row>
    <row r="7086" spans="1:21">
      <c r="A7086"/>
      <c r="C7086"/>
      <c r="D7086"/>
      <c r="L7086"/>
      <c r="R7086"/>
      <c r="S7086"/>
      <c r="T7086"/>
      <c r="U7086"/>
    </row>
    <row r="7087" spans="1:21">
      <c r="A7087"/>
      <c r="C7087"/>
      <c r="D7087"/>
      <c r="L7087"/>
      <c r="R7087"/>
      <c r="S7087"/>
      <c r="T7087"/>
      <c r="U7087"/>
    </row>
    <row r="7088" spans="1:21">
      <c r="A7088"/>
      <c r="C7088"/>
      <c r="D7088"/>
      <c r="L7088"/>
      <c r="R7088"/>
      <c r="S7088"/>
      <c r="T7088"/>
      <c r="U7088"/>
    </row>
    <row r="7089" spans="1:21">
      <c r="A7089"/>
      <c r="C7089"/>
      <c r="D7089"/>
      <c r="L7089"/>
      <c r="R7089"/>
      <c r="S7089"/>
      <c r="T7089"/>
      <c r="U7089"/>
    </row>
    <row r="7090" spans="1:21">
      <c r="A7090"/>
      <c r="C7090"/>
      <c r="D7090"/>
      <c r="L7090"/>
      <c r="R7090"/>
      <c r="S7090"/>
      <c r="T7090"/>
      <c r="U7090"/>
    </row>
    <row r="7091" spans="1:21">
      <c r="A7091"/>
      <c r="C7091"/>
      <c r="D7091"/>
      <c r="L7091"/>
      <c r="R7091"/>
      <c r="S7091"/>
      <c r="T7091"/>
      <c r="U7091"/>
    </row>
    <row r="7092" spans="1:21">
      <c r="A7092"/>
      <c r="C7092"/>
      <c r="D7092"/>
      <c r="L7092"/>
      <c r="R7092"/>
      <c r="S7092"/>
      <c r="T7092"/>
      <c r="U7092"/>
    </row>
    <row r="7093" spans="1:21">
      <c r="A7093"/>
      <c r="C7093"/>
      <c r="D7093"/>
      <c r="L7093"/>
      <c r="R7093"/>
      <c r="S7093"/>
      <c r="T7093"/>
      <c r="U7093"/>
    </row>
    <row r="7094" spans="1:21">
      <c r="A7094"/>
      <c r="C7094"/>
      <c r="D7094"/>
      <c r="L7094"/>
      <c r="R7094"/>
      <c r="S7094"/>
      <c r="T7094"/>
      <c r="U7094"/>
    </row>
    <row r="7095" spans="1:21">
      <c r="A7095"/>
      <c r="C7095"/>
      <c r="D7095"/>
      <c r="L7095"/>
      <c r="R7095"/>
      <c r="S7095"/>
      <c r="T7095"/>
      <c r="U7095"/>
    </row>
    <row r="7096" spans="1:21">
      <c r="A7096"/>
      <c r="C7096"/>
      <c r="D7096"/>
      <c r="L7096"/>
      <c r="R7096"/>
      <c r="S7096"/>
      <c r="T7096"/>
      <c r="U7096"/>
    </row>
    <row r="7097" spans="1:21">
      <c r="A7097"/>
      <c r="C7097"/>
      <c r="D7097"/>
      <c r="L7097"/>
      <c r="R7097"/>
      <c r="S7097"/>
      <c r="T7097"/>
      <c r="U7097"/>
    </row>
    <row r="7098" spans="1:21">
      <c r="A7098"/>
      <c r="C7098"/>
      <c r="D7098"/>
      <c r="L7098"/>
      <c r="R7098"/>
      <c r="S7098"/>
      <c r="T7098"/>
      <c r="U7098"/>
    </row>
    <row r="7099" spans="1:21">
      <c r="A7099"/>
      <c r="C7099"/>
      <c r="D7099"/>
      <c r="L7099"/>
      <c r="R7099"/>
      <c r="S7099"/>
      <c r="T7099"/>
      <c r="U7099"/>
    </row>
    <row r="7100" spans="1:21">
      <c r="A7100"/>
      <c r="C7100"/>
      <c r="D7100"/>
      <c r="L7100"/>
      <c r="R7100"/>
      <c r="S7100"/>
      <c r="T7100"/>
      <c r="U7100"/>
    </row>
    <row r="7101" spans="1:21">
      <c r="A7101"/>
      <c r="C7101"/>
      <c r="D7101"/>
      <c r="L7101"/>
      <c r="R7101"/>
      <c r="S7101"/>
      <c r="T7101"/>
      <c r="U7101"/>
    </row>
    <row r="7102" spans="1:21">
      <c r="A7102"/>
      <c r="C7102"/>
      <c r="D7102"/>
      <c r="L7102"/>
      <c r="R7102"/>
      <c r="S7102"/>
      <c r="T7102"/>
      <c r="U7102"/>
    </row>
    <row r="7103" spans="1:21">
      <c r="A7103"/>
      <c r="C7103"/>
      <c r="D7103"/>
      <c r="L7103"/>
      <c r="R7103"/>
      <c r="S7103"/>
      <c r="T7103"/>
      <c r="U7103"/>
    </row>
    <row r="7104" spans="1:21">
      <c r="A7104"/>
      <c r="C7104"/>
      <c r="D7104"/>
      <c r="L7104"/>
      <c r="R7104"/>
      <c r="S7104"/>
      <c r="T7104"/>
      <c r="U7104"/>
    </row>
    <row r="7105" spans="1:21">
      <c r="A7105"/>
      <c r="C7105"/>
      <c r="D7105"/>
      <c r="L7105"/>
      <c r="R7105"/>
      <c r="S7105"/>
      <c r="T7105"/>
      <c r="U7105"/>
    </row>
    <row r="7106" spans="1:21">
      <c r="A7106"/>
      <c r="C7106"/>
      <c r="D7106"/>
      <c r="L7106"/>
      <c r="R7106"/>
      <c r="S7106"/>
      <c r="T7106"/>
      <c r="U7106"/>
    </row>
    <row r="7107" spans="1:21">
      <c r="A7107"/>
      <c r="C7107"/>
      <c r="D7107"/>
      <c r="L7107"/>
      <c r="R7107"/>
      <c r="S7107"/>
      <c r="T7107"/>
      <c r="U7107"/>
    </row>
    <row r="7108" spans="1:21">
      <c r="A7108"/>
      <c r="C7108"/>
      <c r="D7108"/>
      <c r="L7108"/>
      <c r="R7108"/>
      <c r="S7108"/>
      <c r="T7108"/>
      <c r="U7108"/>
    </row>
    <row r="7109" spans="1:21">
      <c r="A7109"/>
      <c r="C7109"/>
      <c r="D7109"/>
      <c r="L7109"/>
      <c r="R7109"/>
      <c r="S7109"/>
      <c r="T7109"/>
      <c r="U7109"/>
    </row>
    <row r="7110" spans="1:21">
      <c r="A7110"/>
      <c r="C7110"/>
      <c r="D7110"/>
      <c r="L7110"/>
      <c r="R7110"/>
      <c r="S7110"/>
      <c r="T7110"/>
      <c r="U7110"/>
    </row>
    <row r="7111" spans="1:21">
      <c r="A7111"/>
      <c r="C7111"/>
      <c r="D7111"/>
      <c r="L7111"/>
      <c r="R7111"/>
      <c r="S7111"/>
      <c r="T7111"/>
      <c r="U7111"/>
    </row>
    <row r="7112" spans="1:21">
      <c r="A7112"/>
      <c r="C7112"/>
      <c r="D7112"/>
      <c r="L7112"/>
      <c r="R7112"/>
      <c r="S7112"/>
      <c r="T7112"/>
      <c r="U7112"/>
    </row>
    <row r="7113" spans="1:21">
      <c r="A7113"/>
      <c r="C7113"/>
      <c r="D7113"/>
      <c r="L7113"/>
      <c r="R7113"/>
      <c r="S7113"/>
      <c r="T7113"/>
      <c r="U7113"/>
    </row>
    <row r="7114" spans="1:21">
      <c r="A7114"/>
      <c r="C7114"/>
      <c r="D7114"/>
      <c r="L7114"/>
      <c r="R7114"/>
      <c r="S7114"/>
      <c r="T7114"/>
      <c r="U7114"/>
    </row>
    <row r="7115" spans="1:21">
      <c r="A7115"/>
      <c r="C7115"/>
      <c r="D7115"/>
      <c r="L7115"/>
      <c r="R7115"/>
      <c r="S7115"/>
      <c r="T7115"/>
      <c r="U7115"/>
    </row>
    <row r="7116" spans="1:21">
      <c r="A7116"/>
      <c r="C7116"/>
      <c r="D7116"/>
      <c r="L7116"/>
      <c r="R7116"/>
      <c r="S7116"/>
      <c r="T7116"/>
      <c r="U7116"/>
    </row>
    <row r="7117" spans="1:21">
      <c r="A7117"/>
      <c r="C7117"/>
      <c r="D7117"/>
      <c r="L7117"/>
      <c r="R7117"/>
      <c r="S7117"/>
      <c r="T7117"/>
      <c r="U7117"/>
    </row>
    <row r="7118" spans="1:21">
      <c r="A7118"/>
      <c r="C7118"/>
      <c r="D7118"/>
      <c r="L7118"/>
      <c r="R7118"/>
      <c r="S7118"/>
      <c r="T7118"/>
      <c r="U7118"/>
    </row>
    <row r="7119" spans="1:21">
      <c r="A7119"/>
      <c r="C7119"/>
      <c r="D7119"/>
      <c r="L7119"/>
      <c r="R7119"/>
      <c r="S7119"/>
      <c r="T7119"/>
      <c r="U7119"/>
    </row>
    <row r="7120" spans="1:21">
      <c r="A7120"/>
      <c r="C7120"/>
      <c r="D7120"/>
      <c r="L7120"/>
      <c r="R7120"/>
      <c r="S7120"/>
      <c r="T7120"/>
      <c r="U7120"/>
    </row>
    <row r="7121" spans="1:21">
      <c r="A7121"/>
      <c r="C7121"/>
      <c r="D7121"/>
      <c r="L7121"/>
      <c r="R7121"/>
      <c r="S7121"/>
      <c r="T7121"/>
      <c r="U7121"/>
    </row>
    <row r="7122" spans="1:21">
      <c r="A7122"/>
      <c r="C7122"/>
      <c r="D7122"/>
      <c r="L7122"/>
      <c r="R7122"/>
      <c r="S7122"/>
      <c r="T7122"/>
      <c r="U7122"/>
    </row>
    <row r="7123" spans="1:21">
      <c r="A7123"/>
      <c r="C7123"/>
      <c r="D7123"/>
      <c r="L7123"/>
      <c r="R7123"/>
      <c r="S7123"/>
      <c r="T7123"/>
      <c r="U7123"/>
    </row>
    <row r="7124" spans="1:21">
      <c r="A7124"/>
      <c r="C7124"/>
      <c r="D7124"/>
      <c r="L7124"/>
      <c r="R7124"/>
      <c r="S7124"/>
      <c r="T7124"/>
      <c r="U7124"/>
    </row>
    <row r="7125" spans="1:21">
      <c r="A7125"/>
      <c r="C7125"/>
      <c r="D7125"/>
      <c r="L7125"/>
      <c r="R7125"/>
      <c r="S7125"/>
      <c r="T7125"/>
      <c r="U7125"/>
    </row>
    <row r="7126" spans="1:21">
      <c r="A7126"/>
      <c r="C7126"/>
      <c r="D7126"/>
      <c r="L7126"/>
      <c r="R7126"/>
      <c r="S7126"/>
      <c r="T7126"/>
      <c r="U7126"/>
    </row>
    <row r="7127" spans="1:21">
      <c r="A7127"/>
      <c r="C7127"/>
      <c r="D7127"/>
      <c r="L7127"/>
      <c r="R7127"/>
      <c r="S7127"/>
      <c r="T7127"/>
      <c r="U7127"/>
    </row>
    <row r="7128" spans="1:21">
      <c r="A7128"/>
      <c r="C7128"/>
      <c r="D7128"/>
      <c r="L7128"/>
      <c r="R7128"/>
      <c r="S7128"/>
      <c r="T7128"/>
      <c r="U7128"/>
    </row>
    <row r="7129" spans="1:21">
      <c r="A7129"/>
      <c r="C7129"/>
      <c r="D7129"/>
      <c r="L7129"/>
      <c r="R7129"/>
      <c r="S7129"/>
      <c r="T7129"/>
      <c r="U7129"/>
    </row>
    <row r="7130" spans="1:21">
      <c r="A7130"/>
      <c r="C7130"/>
      <c r="D7130"/>
      <c r="L7130"/>
      <c r="R7130"/>
      <c r="S7130"/>
      <c r="T7130"/>
      <c r="U7130"/>
    </row>
    <row r="7131" spans="1:21">
      <c r="A7131"/>
      <c r="C7131"/>
      <c r="D7131"/>
      <c r="L7131"/>
      <c r="R7131"/>
      <c r="S7131"/>
      <c r="T7131"/>
      <c r="U7131"/>
    </row>
    <row r="7132" spans="1:21">
      <c r="A7132"/>
      <c r="C7132"/>
      <c r="D7132"/>
      <c r="L7132"/>
      <c r="R7132"/>
      <c r="S7132"/>
      <c r="T7132"/>
      <c r="U7132"/>
    </row>
    <row r="7133" spans="1:21">
      <c r="A7133"/>
      <c r="C7133"/>
      <c r="D7133"/>
      <c r="L7133"/>
      <c r="R7133"/>
      <c r="S7133"/>
      <c r="T7133"/>
      <c r="U7133"/>
    </row>
    <row r="7134" spans="1:21">
      <c r="A7134"/>
      <c r="C7134"/>
      <c r="D7134"/>
      <c r="L7134"/>
      <c r="R7134"/>
      <c r="S7134"/>
      <c r="T7134"/>
      <c r="U7134"/>
    </row>
    <row r="7135" spans="1:21">
      <c r="A7135"/>
      <c r="C7135"/>
      <c r="D7135"/>
      <c r="L7135"/>
      <c r="R7135"/>
      <c r="S7135"/>
      <c r="T7135"/>
      <c r="U7135"/>
    </row>
    <row r="7136" spans="1:21">
      <c r="A7136"/>
      <c r="C7136"/>
      <c r="D7136"/>
      <c r="L7136"/>
      <c r="R7136"/>
      <c r="S7136"/>
      <c r="T7136"/>
      <c r="U7136"/>
    </row>
    <row r="7137" spans="1:21">
      <c r="A7137"/>
      <c r="C7137"/>
      <c r="D7137"/>
      <c r="L7137"/>
      <c r="R7137"/>
      <c r="S7137"/>
      <c r="T7137"/>
      <c r="U7137"/>
    </row>
    <row r="7138" spans="1:21">
      <c r="A7138"/>
      <c r="C7138"/>
      <c r="D7138"/>
      <c r="L7138"/>
      <c r="R7138"/>
      <c r="S7138"/>
      <c r="T7138"/>
      <c r="U7138"/>
    </row>
    <row r="7139" spans="1:21">
      <c r="A7139"/>
      <c r="C7139"/>
      <c r="D7139"/>
      <c r="L7139"/>
      <c r="R7139"/>
      <c r="S7139"/>
      <c r="T7139"/>
      <c r="U7139"/>
    </row>
    <row r="7140" spans="1:21">
      <c r="A7140"/>
      <c r="C7140"/>
      <c r="D7140"/>
      <c r="L7140"/>
      <c r="R7140"/>
      <c r="S7140"/>
      <c r="T7140"/>
      <c r="U7140"/>
    </row>
    <row r="7141" spans="1:21">
      <c r="A7141"/>
      <c r="C7141"/>
      <c r="D7141"/>
      <c r="L7141"/>
      <c r="R7141"/>
      <c r="S7141"/>
      <c r="T7141"/>
      <c r="U7141"/>
    </row>
    <row r="7142" spans="1:21">
      <c r="A7142"/>
      <c r="C7142"/>
      <c r="D7142"/>
      <c r="L7142"/>
      <c r="R7142"/>
      <c r="S7142"/>
      <c r="T7142"/>
      <c r="U7142"/>
    </row>
    <row r="7143" spans="1:21">
      <c r="A7143"/>
      <c r="C7143"/>
      <c r="D7143"/>
      <c r="L7143"/>
      <c r="R7143"/>
      <c r="S7143"/>
      <c r="T7143"/>
      <c r="U7143"/>
    </row>
    <row r="7144" spans="1:21">
      <c r="A7144"/>
      <c r="C7144"/>
      <c r="D7144"/>
      <c r="L7144"/>
      <c r="R7144"/>
      <c r="S7144"/>
      <c r="T7144"/>
      <c r="U7144"/>
    </row>
    <row r="7145" spans="1:21">
      <c r="A7145"/>
      <c r="C7145"/>
      <c r="D7145"/>
      <c r="L7145"/>
      <c r="R7145"/>
      <c r="S7145"/>
      <c r="T7145"/>
      <c r="U7145"/>
    </row>
    <row r="7146" spans="1:21">
      <c r="A7146"/>
      <c r="C7146"/>
      <c r="D7146"/>
      <c r="L7146"/>
      <c r="R7146"/>
      <c r="S7146"/>
      <c r="T7146"/>
      <c r="U7146"/>
    </row>
    <row r="7147" spans="1:21">
      <c r="A7147"/>
      <c r="C7147"/>
      <c r="D7147"/>
      <c r="L7147"/>
      <c r="R7147"/>
      <c r="S7147"/>
      <c r="T7147"/>
      <c r="U7147"/>
    </row>
    <row r="7148" spans="1:21">
      <c r="A7148"/>
      <c r="C7148"/>
      <c r="D7148"/>
      <c r="L7148"/>
      <c r="R7148"/>
      <c r="S7148"/>
      <c r="T7148"/>
      <c r="U7148"/>
    </row>
    <row r="7149" spans="1:21">
      <c r="A7149"/>
      <c r="C7149"/>
      <c r="D7149"/>
      <c r="L7149"/>
      <c r="R7149"/>
      <c r="S7149"/>
      <c r="T7149"/>
      <c r="U7149"/>
    </row>
    <row r="7150" spans="1:21">
      <c r="A7150"/>
      <c r="C7150"/>
      <c r="D7150"/>
      <c r="L7150"/>
      <c r="R7150"/>
      <c r="S7150"/>
      <c r="T7150"/>
      <c r="U7150"/>
    </row>
    <row r="7151" spans="1:21">
      <c r="A7151"/>
      <c r="C7151"/>
      <c r="D7151"/>
      <c r="L7151"/>
      <c r="R7151"/>
      <c r="S7151"/>
      <c r="T7151"/>
      <c r="U7151"/>
    </row>
    <row r="7152" spans="1:21">
      <c r="A7152"/>
      <c r="C7152"/>
      <c r="D7152"/>
      <c r="L7152"/>
      <c r="R7152"/>
      <c r="S7152"/>
      <c r="T7152"/>
      <c r="U7152"/>
    </row>
    <row r="7153" spans="1:21">
      <c r="A7153"/>
      <c r="C7153"/>
      <c r="D7153"/>
      <c r="L7153"/>
      <c r="R7153"/>
      <c r="S7153"/>
      <c r="T7153"/>
      <c r="U7153"/>
    </row>
    <row r="7154" spans="1:21">
      <c r="A7154"/>
      <c r="C7154"/>
      <c r="D7154"/>
      <c r="L7154"/>
      <c r="R7154"/>
      <c r="S7154"/>
      <c r="T7154"/>
      <c r="U7154"/>
    </row>
    <row r="7155" spans="1:21">
      <c r="A7155"/>
      <c r="C7155"/>
      <c r="D7155"/>
      <c r="L7155"/>
      <c r="R7155"/>
      <c r="S7155"/>
      <c r="T7155"/>
      <c r="U7155"/>
    </row>
    <row r="7156" spans="1:21">
      <c r="A7156"/>
      <c r="C7156"/>
      <c r="D7156"/>
      <c r="L7156"/>
      <c r="R7156"/>
      <c r="S7156"/>
      <c r="T7156"/>
      <c r="U7156"/>
    </row>
    <row r="7157" spans="1:21">
      <c r="A7157"/>
      <c r="C7157"/>
      <c r="D7157"/>
      <c r="L7157"/>
      <c r="R7157"/>
      <c r="S7157"/>
      <c r="T7157"/>
      <c r="U7157"/>
    </row>
    <row r="7158" spans="1:21">
      <c r="A7158"/>
      <c r="C7158"/>
      <c r="D7158"/>
      <c r="L7158"/>
      <c r="R7158"/>
      <c r="S7158"/>
      <c r="T7158"/>
      <c r="U7158"/>
    </row>
    <row r="7159" spans="1:21">
      <c r="A7159"/>
      <c r="C7159"/>
      <c r="D7159"/>
      <c r="L7159"/>
      <c r="R7159"/>
      <c r="S7159"/>
      <c r="T7159"/>
      <c r="U7159"/>
    </row>
    <row r="7160" spans="1:21">
      <c r="A7160"/>
      <c r="C7160"/>
      <c r="D7160"/>
      <c r="L7160"/>
      <c r="R7160"/>
      <c r="S7160"/>
      <c r="T7160"/>
      <c r="U7160"/>
    </row>
    <row r="7161" spans="1:21">
      <c r="A7161"/>
      <c r="C7161"/>
      <c r="D7161"/>
      <c r="L7161"/>
      <c r="R7161"/>
      <c r="S7161"/>
      <c r="T7161"/>
      <c r="U7161"/>
    </row>
    <row r="7162" spans="1:21">
      <c r="A7162"/>
      <c r="C7162"/>
      <c r="D7162"/>
      <c r="L7162"/>
      <c r="R7162"/>
      <c r="S7162"/>
      <c r="T7162"/>
      <c r="U7162"/>
    </row>
    <row r="7163" spans="1:21">
      <c r="A7163"/>
      <c r="C7163"/>
      <c r="D7163"/>
      <c r="L7163"/>
      <c r="R7163"/>
      <c r="S7163"/>
      <c r="T7163"/>
      <c r="U7163"/>
    </row>
    <row r="7164" spans="1:21">
      <c r="A7164"/>
      <c r="C7164"/>
      <c r="D7164"/>
      <c r="L7164"/>
      <c r="R7164"/>
      <c r="S7164"/>
      <c r="T7164"/>
      <c r="U7164"/>
    </row>
    <row r="7165" spans="1:21">
      <c r="A7165"/>
      <c r="C7165"/>
      <c r="D7165"/>
      <c r="L7165"/>
      <c r="R7165"/>
      <c r="S7165"/>
      <c r="T7165"/>
      <c r="U7165"/>
    </row>
    <row r="7166" spans="1:21">
      <c r="A7166"/>
      <c r="C7166"/>
      <c r="D7166"/>
      <c r="L7166"/>
      <c r="R7166"/>
      <c r="S7166"/>
      <c r="T7166"/>
      <c r="U7166"/>
    </row>
    <row r="7167" spans="1:21">
      <c r="A7167"/>
      <c r="C7167"/>
      <c r="D7167"/>
      <c r="L7167"/>
      <c r="R7167"/>
      <c r="S7167"/>
      <c r="T7167"/>
      <c r="U7167"/>
    </row>
    <row r="7168" spans="1:21">
      <c r="A7168"/>
      <c r="C7168"/>
      <c r="D7168"/>
      <c r="L7168"/>
      <c r="R7168"/>
      <c r="S7168"/>
      <c r="T7168"/>
      <c r="U7168"/>
    </row>
    <row r="7169" spans="1:21">
      <c r="A7169"/>
      <c r="C7169"/>
      <c r="D7169"/>
      <c r="L7169"/>
      <c r="R7169"/>
      <c r="S7169"/>
      <c r="T7169"/>
      <c r="U7169"/>
    </row>
    <row r="7170" spans="1:21">
      <c r="A7170"/>
      <c r="C7170"/>
      <c r="D7170"/>
      <c r="L7170"/>
      <c r="R7170"/>
      <c r="S7170"/>
      <c r="T7170"/>
      <c r="U7170"/>
    </row>
    <row r="7171" spans="1:21">
      <c r="A7171"/>
      <c r="C7171"/>
      <c r="D7171"/>
      <c r="L7171"/>
      <c r="R7171"/>
      <c r="S7171"/>
      <c r="T7171"/>
      <c r="U7171"/>
    </row>
    <row r="7172" spans="1:21">
      <c r="A7172"/>
      <c r="C7172"/>
      <c r="D7172"/>
      <c r="L7172"/>
      <c r="R7172"/>
      <c r="S7172"/>
      <c r="T7172"/>
      <c r="U7172"/>
    </row>
    <row r="7173" spans="1:21">
      <c r="A7173"/>
      <c r="C7173"/>
      <c r="D7173"/>
      <c r="L7173"/>
      <c r="R7173"/>
      <c r="S7173"/>
      <c r="T7173"/>
      <c r="U7173"/>
    </row>
    <row r="7174" spans="1:21">
      <c r="A7174"/>
      <c r="C7174"/>
      <c r="D7174"/>
      <c r="L7174"/>
      <c r="R7174"/>
      <c r="S7174"/>
      <c r="T7174"/>
      <c r="U7174"/>
    </row>
    <row r="7175" spans="1:21">
      <c r="A7175"/>
      <c r="C7175"/>
      <c r="D7175"/>
      <c r="L7175"/>
      <c r="R7175"/>
      <c r="S7175"/>
      <c r="T7175"/>
      <c r="U7175"/>
    </row>
    <row r="7176" spans="1:21">
      <c r="A7176"/>
      <c r="C7176"/>
      <c r="D7176"/>
      <c r="L7176"/>
      <c r="R7176"/>
      <c r="S7176"/>
      <c r="T7176"/>
      <c r="U7176"/>
    </row>
    <row r="7177" spans="1:21">
      <c r="A7177"/>
      <c r="C7177"/>
      <c r="D7177"/>
      <c r="L7177"/>
      <c r="R7177"/>
      <c r="S7177"/>
      <c r="T7177"/>
      <c r="U7177"/>
    </row>
    <row r="7178" spans="1:21">
      <c r="A7178"/>
      <c r="C7178"/>
      <c r="D7178"/>
      <c r="L7178"/>
      <c r="R7178"/>
      <c r="S7178"/>
      <c r="T7178"/>
      <c r="U7178"/>
    </row>
    <row r="7179" spans="1:21">
      <c r="A7179"/>
      <c r="C7179"/>
      <c r="D7179"/>
      <c r="L7179"/>
      <c r="R7179"/>
      <c r="S7179"/>
      <c r="T7179"/>
      <c r="U7179"/>
    </row>
    <row r="7180" spans="1:21">
      <c r="A7180"/>
      <c r="C7180"/>
      <c r="D7180"/>
      <c r="L7180"/>
      <c r="R7180"/>
      <c r="S7180"/>
      <c r="T7180"/>
      <c r="U7180"/>
    </row>
    <row r="7181" spans="1:21">
      <c r="A7181"/>
      <c r="C7181"/>
      <c r="D7181"/>
      <c r="L7181"/>
      <c r="R7181"/>
      <c r="S7181"/>
      <c r="T7181"/>
      <c r="U7181"/>
    </row>
    <row r="7182" spans="1:21">
      <c r="A7182"/>
      <c r="C7182"/>
      <c r="D7182"/>
      <c r="L7182"/>
      <c r="R7182"/>
      <c r="S7182"/>
      <c r="T7182"/>
      <c r="U7182"/>
    </row>
    <row r="7183" spans="1:21">
      <c r="A7183"/>
      <c r="C7183"/>
      <c r="D7183"/>
      <c r="L7183"/>
      <c r="R7183"/>
      <c r="S7183"/>
      <c r="T7183"/>
      <c r="U7183"/>
    </row>
    <row r="7184" spans="1:21">
      <c r="A7184"/>
      <c r="C7184"/>
      <c r="D7184"/>
      <c r="L7184"/>
      <c r="R7184"/>
      <c r="S7184"/>
      <c r="T7184"/>
      <c r="U7184"/>
    </row>
    <row r="7185" spans="1:21">
      <c r="A7185"/>
      <c r="C7185"/>
      <c r="D7185"/>
      <c r="L7185"/>
      <c r="R7185"/>
      <c r="S7185"/>
      <c r="T7185"/>
      <c r="U7185"/>
    </row>
    <row r="7186" spans="1:21">
      <c r="A7186"/>
      <c r="C7186"/>
      <c r="D7186"/>
      <c r="L7186"/>
      <c r="R7186"/>
      <c r="S7186"/>
      <c r="T7186"/>
      <c r="U7186"/>
    </row>
    <row r="7187" spans="1:21">
      <c r="A7187"/>
      <c r="C7187"/>
      <c r="D7187"/>
      <c r="L7187"/>
      <c r="R7187"/>
      <c r="S7187"/>
      <c r="T7187"/>
      <c r="U7187"/>
    </row>
    <row r="7188" spans="1:21">
      <c r="A7188"/>
      <c r="C7188"/>
      <c r="D7188"/>
      <c r="L7188"/>
      <c r="R7188"/>
      <c r="S7188"/>
      <c r="T7188"/>
      <c r="U7188"/>
    </row>
    <row r="7189" spans="1:21">
      <c r="A7189"/>
      <c r="C7189"/>
      <c r="D7189"/>
      <c r="L7189"/>
      <c r="R7189"/>
      <c r="S7189"/>
      <c r="T7189"/>
      <c r="U7189"/>
    </row>
    <row r="7190" spans="1:21">
      <c r="A7190"/>
      <c r="C7190"/>
      <c r="D7190"/>
      <c r="L7190"/>
      <c r="R7190"/>
      <c r="S7190"/>
      <c r="T7190"/>
      <c r="U7190"/>
    </row>
    <row r="7191" spans="1:21">
      <c r="A7191"/>
      <c r="C7191"/>
      <c r="D7191"/>
      <c r="L7191"/>
      <c r="R7191"/>
      <c r="S7191"/>
      <c r="T7191"/>
      <c r="U7191"/>
    </row>
    <row r="7192" spans="1:21">
      <c r="A7192"/>
      <c r="C7192"/>
      <c r="D7192"/>
      <c r="L7192"/>
      <c r="R7192"/>
      <c r="S7192"/>
      <c r="T7192"/>
      <c r="U7192"/>
    </row>
    <row r="7193" spans="1:21">
      <c r="A7193"/>
      <c r="C7193"/>
      <c r="D7193"/>
      <c r="L7193"/>
      <c r="R7193"/>
      <c r="S7193"/>
      <c r="T7193"/>
      <c r="U7193"/>
    </row>
    <row r="7194" spans="1:21">
      <c r="A7194"/>
      <c r="C7194"/>
      <c r="D7194"/>
      <c r="L7194"/>
      <c r="R7194"/>
      <c r="S7194"/>
      <c r="T7194"/>
      <c r="U7194"/>
    </row>
    <row r="7195" spans="1:21">
      <c r="A7195"/>
      <c r="C7195"/>
      <c r="D7195"/>
      <c r="L7195"/>
      <c r="R7195"/>
      <c r="S7195"/>
      <c r="T7195"/>
      <c r="U7195"/>
    </row>
    <row r="7196" spans="1:21">
      <c r="A7196"/>
      <c r="C7196"/>
      <c r="D7196"/>
      <c r="L7196"/>
      <c r="R7196"/>
      <c r="S7196"/>
      <c r="T7196"/>
      <c r="U7196"/>
    </row>
    <row r="7197" spans="1:21">
      <c r="A7197"/>
      <c r="C7197"/>
      <c r="D7197"/>
      <c r="L7197"/>
      <c r="R7197"/>
      <c r="S7197"/>
      <c r="T7197"/>
      <c r="U7197"/>
    </row>
    <row r="7198" spans="1:21">
      <c r="A7198"/>
      <c r="C7198"/>
      <c r="D7198"/>
      <c r="L7198"/>
      <c r="R7198"/>
      <c r="S7198"/>
      <c r="T7198"/>
      <c r="U7198"/>
    </row>
    <row r="7199" spans="1:21">
      <c r="A7199"/>
      <c r="C7199"/>
      <c r="D7199"/>
      <c r="L7199"/>
      <c r="R7199"/>
      <c r="S7199"/>
      <c r="T7199"/>
      <c r="U7199"/>
    </row>
    <row r="7200" spans="1:21">
      <c r="A7200"/>
      <c r="C7200"/>
      <c r="D7200"/>
      <c r="L7200"/>
      <c r="R7200"/>
      <c r="S7200"/>
      <c r="T7200"/>
      <c r="U7200"/>
    </row>
    <row r="7201" spans="1:21">
      <c r="A7201"/>
      <c r="C7201"/>
      <c r="D7201"/>
      <c r="L7201"/>
      <c r="R7201"/>
      <c r="S7201"/>
      <c r="T7201"/>
      <c r="U7201"/>
    </row>
    <row r="7202" spans="1:21">
      <c r="A7202"/>
      <c r="C7202"/>
      <c r="D7202"/>
      <c r="L7202"/>
      <c r="R7202"/>
      <c r="S7202"/>
      <c r="T7202"/>
      <c r="U7202"/>
    </row>
    <row r="7203" spans="1:21">
      <c r="A7203"/>
      <c r="C7203"/>
      <c r="D7203"/>
      <c r="L7203"/>
      <c r="R7203"/>
      <c r="S7203"/>
      <c r="T7203"/>
      <c r="U7203"/>
    </row>
    <row r="7204" spans="1:21">
      <c r="A7204"/>
      <c r="C7204"/>
      <c r="D7204"/>
      <c r="L7204"/>
      <c r="R7204"/>
      <c r="S7204"/>
      <c r="T7204"/>
      <c r="U7204"/>
    </row>
    <row r="7205" spans="1:21">
      <c r="A7205"/>
      <c r="C7205"/>
      <c r="D7205"/>
      <c r="L7205"/>
      <c r="R7205"/>
      <c r="S7205"/>
      <c r="T7205"/>
      <c r="U7205"/>
    </row>
    <row r="7206" spans="1:21">
      <c r="A7206"/>
      <c r="C7206"/>
      <c r="D7206"/>
      <c r="L7206"/>
      <c r="R7206"/>
      <c r="S7206"/>
      <c r="T7206"/>
      <c r="U7206"/>
    </row>
    <row r="7207" spans="1:21">
      <c r="A7207"/>
      <c r="C7207"/>
      <c r="D7207"/>
      <c r="L7207"/>
      <c r="R7207"/>
      <c r="S7207"/>
      <c r="T7207"/>
      <c r="U7207"/>
    </row>
    <row r="7208" spans="1:21">
      <c r="A7208"/>
      <c r="C7208"/>
      <c r="D7208"/>
      <c r="L7208"/>
      <c r="R7208"/>
      <c r="S7208"/>
      <c r="T7208"/>
      <c r="U7208"/>
    </row>
    <row r="7209" spans="1:21">
      <c r="A7209"/>
      <c r="C7209"/>
      <c r="D7209"/>
      <c r="L7209"/>
      <c r="R7209"/>
      <c r="S7209"/>
      <c r="T7209"/>
      <c r="U7209"/>
    </row>
    <row r="7210" spans="1:21">
      <c r="A7210"/>
      <c r="C7210"/>
      <c r="D7210"/>
      <c r="L7210"/>
      <c r="R7210"/>
      <c r="S7210"/>
      <c r="T7210"/>
      <c r="U7210"/>
    </row>
    <row r="7211" spans="1:21">
      <c r="A7211"/>
      <c r="C7211"/>
      <c r="D7211"/>
      <c r="L7211"/>
      <c r="R7211"/>
      <c r="S7211"/>
      <c r="T7211"/>
      <c r="U7211"/>
    </row>
    <row r="7212" spans="1:21">
      <c r="A7212"/>
      <c r="C7212"/>
      <c r="D7212"/>
      <c r="L7212"/>
      <c r="R7212"/>
      <c r="S7212"/>
      <c r="T7212"/>
      <c r="U7212"/>
    </row>
    <row r="7213" spans="1:21">
      <c r="A7213"/>
      <c r="C7213"/>
      <c r="D7213"/>
      <c r="L7213"/>
      <c r="R7213"/>
      <c r="S7213"/>
      <c r="T7213"/>
      <c r="U7213"/>
    </row>
    <row r="7214" spans="1:21">
      <c r="A7214"/>
      <c r="C7214"/>
      <c r="D7214"/>
      <c r="L7214"/>
      <c r="R7214"/>
      <c r="S7214"/>
      <c r="T7214"/>
      <c r="U7214"/>
    </row>
    <row r="7215" spans="1:21">
      <c r="A7215"/>
      <c r="C7215"/>
      <c r="D7215"/>
      <c r="L7215"/>
      <c r="R7215"/>
      <c r="S7215"/>
      <c r="T7215"/>
      <c r="U7215"/>
    </row>
    <row r="7216" spans="1:21">
      <c r="A7216"/>
      <c r="C7216"/>
      <c r="D7216"/>
      <c r="L7216"/>
      <c r="R7216"/>
      <c r="S7216"/>
      <c r="T7216"/>
      <c r="U7216"/>
    </row>
    <row r="7217" spans="1:21">
      <c r="A7217"/>
      <c r="C7217"/>
      <c r="D7217"/>
      <c r="L7217"/>
      <c r="R7217"/>
      <c r="S7217"/>
      <c r="T7217"/>
      <c r="U7217"/>
    </row>
    <row r="7218" spans="1:21">
      <c r="A7218"/>
      <c r="C7218"/>
      <c r="D7218"/>
      <c r="L7218"/>
      <c r="R7218"/>
      <c r="S7218"/>
      <c r="T7218"/>
      <c r="U7218"/>
    </row>
    <row r="7219" spans="1:21">
      <c r="A7219"/>
      <c r="C7219"/>
      <c r="D7219"/>
      <c r="L7219"/>
      <c r="R7219"/>
      <c r="S7219"/>
      <c r="T7219"/>
      <c r="U7219"/>
    </row>
    <row r="7220" spans="1:21">
      <c r="A7220"/>
      <c r="C7220"/>
      <c r="D7220"/>
      <c r="L7220"/>
      <c r="R7220"/>
      <c r="S7220"/>
      <c r="T7220"/>
      <c r="U7220"/>
    </row>
    <row r="7221" spans="1:21">
      <c r="A7221"/>
      <c r="C7221"/>
      <c r="D7221"/>
      <c r="L7221"/>
      <c r="R7221"/>
      <c r="S7221"/>
      <c r="T7221"/>
      <c r="U7221"/>
    </row>
    <row r="7222" spans="1:21">
      <c r="A7222"/>
      <c r="C7222"/>
      <c r="D7222"/>
      <c r="L7222"/>
      <c r="R7222"/>
      <c r="S7222"/>
      <c r="T7222"/>
      <c r="U7222"/>
    </row>
    <row r="7223" spans="1:21">
      <c r="A7223"/>
      <c r="C7223"/>
      <c r="D7223"/>
      <c r="L7223"/>
      <c r="R7223"/>
      <c r="S7223"/>
      <c r="T7223"/>
      <c r="U7223"/>
    </row>
    <row r="7224" spans="1:21">
      <c r="A7224"/>
      <c r="C7224"/>
      <c r="D7224"/>
      <c r="L7224"/>
      <c r="R7224"/>
      <c r="S7224"/>
      <c r="T7224"/>
      <c r="U7224"/>
    </row>
    <row r="7225" spans="1:21">
      <c r="A7225"/>
      <c r="C7225"/>
      <c r="D7225"/>
      <c r="L7225"/>
      <c r="R7225"/>
      <c r="S7225"/>
      <c r="T7225"/>
      <c r="U7225"/>
    </row>
    <row r="7226" spans="1:21">
      <c r="A7226"/>
      <c r="C7226"/>
      <c r="D7226"/>
      <c r="L7226"/>
      <c r="R7226"/>
      <c r="S7226"/>
      <c r="T7226"/>
      <c r="U7226"/>
    </row>
    <row r="7227" spans="1:21">
      <c r="A7227"/>
      <c r="C7227"/>
      <c r="D7227"/>
      <c r="L7227"/>
      <c r="R7227"/>
      <c r="S7227"/>
      <c r="T7227"/>
      <c r="U7227"/>
    </row>
    <row r="7228" spans="1:21">
      <c r="A7228"/>
      <c r="C7228"/>
      <c r="D7228"/>
      <c r="L7228"/>
      <c r="R7228"/>
      <c r="S7228"/>
      <c r="T7228"/>
      <c r="U7228"/>
    </row>
    <row r="7229" spans="1:21">
      <c r="A7229"/>
      <c r="C7229"/>
      <c r="D7229"/>
      <c r="L7229"/>
      <c r="R7229"/>
      <c r="S7229"/>
      <c r="T7229"/>
      <c r="U7229"/>
    </row>
    <row r="7230" spans="1:21">
      <c r="A7230"/>
      <c r="C7230"/>
      <c r="D7230"/>
      <c r="L7230"/>
      <c r="R7230"/>
      <c r="S7230"/>
      <c r="T7230"/>
      <c r="U7230"/>
    </row>
    <row r="7231" spans="1:21">
      <c r="A7231"/>
      <c r="C7231"/>
      <c r="D7231"/>
      <c r="L7231"/>
      <c r="R7231"/>
      <c r="S7231"/>
      <c r="T7231"/>
      <c r="U7231"/>
    </row>
    <row r="7232" spans="1:21">
      <c r="A7232"/>
      <c r="C7232"/>
      <c r="D7232"/>
      <c r="L7232"/>
      <c r="R7232"/>
      <c r="S7232"/>
      <c r="T7232"/>
      <c r="U7232"/>
    </row>
    <row r="7233" spans="1:21">
      <c r="A7233"/>
      <c r="C7233"/>
      <c r="D7233"/>
      <c r="L7233"/>
      <c r="R7233"/>
      <c r="S7233"/>
      <c r="T7233"/>
      <c r="U7233"/>
    </row>
    <row r="7234" spans="1:21">
      <c r="A7234"/>
      <c r="C7234"/>
      <c r="D7234"/>
      <c r="L7234"/>
      <c r="R7234"/>
      <c r="S7234"/>
      <c r="T7234"/>
      <c r="U7234"/>
    </row>
    <row r="7235" spans="1:21">
      <c r="A7235"/>
      <c r="C7235"/>
      <c r="D7235"/>
      <c r="L7235"/>
      <c r="R7235"/>
      <c r="S7235"/>
      <c r="T7235"/>
      <c r="U7235"/>
    </row>
    <row r="7236" spans="1:21">
      <c r="A7236"/>
      <c r="C7236"/>
      <c r="D7236"/>
      <c r="L7236"/>
      <c r="R7236"/>
      <c r="S7236"/>
      <c r="T7236"/>
      <c r="U7236"/>
    </row>
    <row r="7237" spans="1:21">
      <c r="A7237"/>
      <c r="C7237"/>
      <c r="D7237"/>
      <c r="L7237"/>
      <c r="R7237"/>
      <c r="S7237"/>
      <c r="T7237"/>
      <c r="U7237"/>
    </row>
    <row r="7238" spans="1:21">
      <c r="A7238"/>
      <c r="C7238"/>
      <c r="D7238"/>
      <c r="L7238"/>
      <c r="R7238"/>
      <c r="S7238"/>
      <c r="T7238"/>
      <c r="U7238"/>
    </row>
    <row r="7239" spans="1:21">
      <c r="A7239"/>
      <c r="C7239"/>
      <c r="D7239"/>
      <c r="L7239"/>
      <c r="R7239"/>
      <c r="S7239"/>
      <c r="T7239"/>
      <c r="U7239"/>
    </row>
    <row r="7240" spans="1:21">
      <c r="A7240"/>
      <c r="C7240"/>
      <c r="D7240"/>
      <c r="L7240"/>
      <c r="R7240"/>
      <c r="S7240"/>
      <c r="T7240"/>
      <c r="U7240"/>
    </row>
    <row r="7241" spans="1:21">
      <c r="A7241"/>
      <c r="C7241"/>
      <c r="D7241"/>
      <c r="L7241"/>
      <c r="R7241"/>
      <c r="S7241"/>
      <c r="T7241"/>
      <c r="U7241"/>
    </row>
    <row r="7242" spans="1:21">
      <c r="A7242"/>
      <c r="C7242"/>
      <c r="D7242"/>
      <c r="L7242"/>
      <c r="R7242"/>
      <c r="S7242"/>
      <c r="T7242"/>
      <c r="U7242"/>
    </row>
    <row r="7243" spans="1:21">
      <c r="A7243"/>
      <c r="C7243"/>
      <c r="D7243"/>
      <c r="L7243"/>
      <c r="R7243"/>
      <c r="S7243"/>
      <c r="T7243"/>
      <c r="U7243"/>
    </row>
    <row r="7244" spans="1:21">
      <c r="A7244"/>
      <c r="C7244"/>
      <c r="D7244"/>
      <c r="L7244"/>
      <c r="R7244"/>
      <c r="S7244"/>
      <c r="T7244"/>
      <c r="U7244"/>
    </row>
    <row r="7245" spans="1:21">
      <c r="A7245"/>
      <c r="C7245"/>
      <c r="D7245"/>
      <c r="L7245"/>
      <c r="R7245"/>
      <c r="S7245"/>
      <c r="T7245"/>
      <c r="U7245"/>
    </row>
    <row r="7246" spans="1:21">
      <c r="A7246"/>
      <c r="C7246"/>
      <c r="D7246"/>
      <c r="L7246"/>
      <c r="R7246"/>
      <c r="S7246"/>
      <c r="T7246"/>
      <c r="U7246"/>
    </row>
    <row r="7247" spans="1:21">
      <c r="A7247"/>
      <c r="C7247"/>
      <c r="D7247"/>
      <c r="L7247"/>
      <c r="R7247"/>
      <c r="S7247"/>
      <c r="T7247"/>
      <c r="U7247"/>
    </row>
    <row r="7248" spans="1:21">
      <c r="A7248"/>
      <c r="C7248"/>
      <c r="D7248"/>
      <c r="L7248"/>
      <c r="R7248"/>
      <c r="S7248"/>
      <c r="T7248"/>
      <c r="U7248"/>
    </row>
    <row r="7249" spans="1:21">
      <c r="A7249"/>
      <c r="C7249"/>
      <c r="D7249"/>
      <c r="L7249"/>
      <c r="R7249"/>
      <c r="S7249"/>
      <c r="T7249"/>
      <c r="U7249"/>
    </row>
    <row r="7250" spans="1:21">
      <c r="A7250"/>
      <c r="C7250"/>
      <c r="D7250"/>
      <c r="L7250"/>
      <c r="R7250"/>
      <c r="S7250"/>
      <c r="T7250"/>
      <c r="U7250"/>
    </row>
    <row r="7251" spans="1:21">
      <c r="A7251"/>
      <c r="C7251"/>
      <c r="D7251"/>
      <c r="L7251"/>
      <c r="R7251"/>
      <c r="S7251"/>
      <c r="T7251"/>
      <c r="U7251"/>
    </row>
    <row r="7252" spans="1:21">
      <c r="A7252"/>
      <c r="C7252"/>
      <c r="D7252"/>
      <c r="L7252"/>
      <c r="R7252"/>
      <c r="S7252"/>
      <c r="T7252"/>
      <c r="U7252"/>
    </row>
    <row r="7253" spans="1:21">
      <c r="A7253"/>
      <c r="C7253"/>
      <c r="D7253"/>
      <c r="L7253"/>
      <c r="R7253"/>
      <c r="S7253"/>
      <c r="T7253"/>
      <c r="U7253"/>
    </row>
    <row r="7254" spans="1:21">
      <c r="A7254"/>
      <c r="C7254"/>
      <c r="D7254"/>
      <c r="L7254"/>
      <c r="R7254"/>
      <c r="S7254"/>
      <c r="T7254"/>
      <c r="U7254"/>
    </row>
    <row r="7255" spans="1:21">
      <c r="A7255"/>
      <c r="C7255"/>
      <c r="D7255"/>
      <c r="L7255"/>
      <c r="R7255"/>
      <c r="S7255"/>
      <c r="T7255"/>
      <c r="U7255"/>
    </row>
    <row r="7256" spans="1:21">
      <c r="A7256"/>
      <c r="C7256"/>
      <c r="D7256"/>
      <c r="L7256"/>
      <c r="R7256"/>
      <c r="S7256"/>
      <c r="T7256"/>
      <c r="U7256"/>
    </row>
    <row r="7257" spans="1:21">
      <c r="A7257"/>
      <c r="C7257"/>
      <c r="D7257"/>
      <c r="L7257"/>
      <c r="R7257"/>
      <c r="S7257"/>
      <c r="T7257"/>
      <c r="U7257"/>
    </row>
    <row r="7258" spans="1:21">
      <c r="A7258"/>
      <c r="C7258"/>
      <c r="D7258"/>
      <c r="L7258"/>
      <c r="R7258"/>
      <c r="S7258"/>
      <c r="T7258"/>
      <c r="U7258"/>
    </row>
    <row r="7259" spans="1:21">
      <c r="A7259"/>
      <c r="C7259"/>
      <c r="D7259"/>
      <c r="L7259"/>
      <c r="R7259"/>
      <c r="S7259"/>
      <c r="T7259"/>
      <c r="U7259"/>
    </row>
    <row r="7260" spans="1:21">
      <c r="A7260"/>
      <c r="C7260"/>
      <c r="D7260"/>
      <c r="L7260"/>
      <c r="R7260"/>
      <c r="S7260"/>
      <c r="T7260"/>
      <c r="U7260"/>
    </row>
    <row r="7261" spans="1:21">
      <c r="A7261"/>
      <c r="C7261"/>
      <c r="D7261"/>
      <c r="L7261"/>
      <c r="R7261"/>
      <c r="S7261"/>
      <c r="T7261"/>
      <c r="U7261"/>
    </row>
    <row r="7262" spans="1:21">
      <c r="A7262"/>
      <c r="C7262"/>
      <c r="D7262"/>
      <c r="L7262"/>
      <c r="R7262"/>
      <c r="S7262"/>
      <c r="T7262"/>
      <c r="U7262"/>
    </row>
    <row r="7263" spans="1:21">
      <c r="A7263"/>
      <c r="C7263"/>
      <c r="D7263"/>
      <c r="L7263"/>
      <c r="R7263"/>
      <c r="S7263"/>
      <c r="T7263"/>
      <c r="U7263"/>
    </row>
    <row r="7264" spans="1:21">
      <c r="A7264"/>
      <c r="C7264"/>
      <c r="D7264"/>
      <c r="L7264"/>
      <c r="R7264"/>
      <c r="S7264"/>
      <c r="T7264"/>
      <c r="U7264"/>
    </row>
    <row r="7265" spans="1:21">
      <c r="A7265"/>
      <c r="C7265"/>
      <c r="D7265"/>
      <c r="L7265"/>
      <c r="R7265"/>
      <c r="S7265"/>
      <c r="T7265"/>
      <c r="U7265"/>
    </row>
    <row r="7266" spans="1:21">
      <c r="A7266"/>
      <c r="C7266"/>
      <c r="D7266"/>
      <c r="L7266"/>
      <c r="R7266"/>
      <c r="S7266"/>
      <c r="T7266"/>
      <c r="U7266"/>
    </row>
    <row r="7267" spans="1:21">
      <c r="A7267"/>
      <c r="C7267"/>
      <c r="D7267"/>
      <c r="L7267"/>
      <c r="R7267"/>
      <c r="S7267"/>
      <c r="T7267"/>
      <c r="U7267"/>
    </row>
    <row r="7268" spans="1:21">
      <c r="A7268"/>
      <c r="C7268"/>
      <c r="D7268"/>
      <c r="L7268"/>
      <c r="R7268"/>
      <c r="S7268"/>
      <c r="T7268"/>
      <c r="U7268"/>
    </row>
    <row r="7269" spans="1:21">
      <c r="A7269"/>
      <c r="C7269"/>
      <c r="D7269"/>
      <c r="L7269"/>
      <c r="R7269"/>
      <c r="S7269"/>
      <c r="T7269"/>
      <c r="U7269"/>
    </row>
    <row r="7270" spans="1:21">
      <c r="A7270"/>
      <c r="C7270"/>
      <c r="D7270"/>
      <c r="L7270"/>
      <c r="R7270"/>
      <c r="S7270"/>
      <c r="T7270"/>
      <c r="U7270"/>
    </row>
    <row r="7271" spans="1:21">
      <c r="A7271"/>
      <c r="C7271"/>
      <c r="D7271"/>
      <c r="L7271"/>
      <c r="R7271"/>
      <c r="S7271"/>
      <c r="T7271"/>
      <c r="U7271"/>
    </row>
    <row r="7272" spans="1:21">
      <c r="A7272"/>
      <c r="C7272"/>
      <c r="D7272"/>
      <c r="L7272"/>
      <c r="R7272"/>
      <c r="S7272"/>
      <c r="T7272"/>
      <c r="U7272"/>
    </row>
    <row r="7273" spans="1:21">
      <c r="A7273"/>
      <c r="C7273"/>
      <c r="D7273"/>
      <c r="L7273"/>
      <c r="R7273"/>
      <c r="S7273"/>
      <c r="T7273"/>
      <c r="U7273"/>
    </row>
    <row r="7274" spans="1:21">
      <c r="A7274"/>
      <c r="C7274"/>
      <c r="D7274"/>
      <c r="L7274"/>
      <c r="R7274"/>
      <c r="S7274"/>
      <c r="T7274"/>
      <c r="U7274"/>
    </row>
    <row r="7275" spans="1:21">
      <c r="A7275"/>
      <c r="C7275"/>
      <c r="D7275"/>
      <c r="L7275"/>
      <c r="R7275"/>
      <c r="S7275"/>
      <c r="T7275"/>
      <c r="U7275"/>
    </row>
    <row r="7276" spans="1:21">
      <c r="A7276"/>
      <c r="C7276"/>
      <c r="D7276"/>
      <c r="L7276"/>
      <c r="R7276"/>
      <c r="S7276"/>
      <c r="T7276"/>
      <c r="U7276"/>
    </row>
    <row r="7277" spans="1:21">
      <c r="A7277"/>
      <c r="C7277"/>
      <c r="D7277"/>
      <c r="L7277"/>
      <c r="R7277"/>
      <c r="S7277"/>
      <c r="T7277"/>
      <c r="U7277"/>
    </row>
    <row r="7278" spans="1:21">
      <c r="A7278"/>
      <c r="C7278"/>
      <c r="D7278"/>
      <c r="L7278"/>
      <c r="R7278"/>
      <c r="S7278"/>
      <c r="T7278"/>
      <c r="U7278"/>
    </row>
    <row r="7279" spans="1:21">
      <c r="A7279"/>
      <c r="C7279"/>
      <c r="D7279"/>
      <c r="L7279"/>
      <c r="R7279"/>
      <c r="S7279"/>
      <c r="T7279"/>
      <c r="U7279"/>
    </row>
    <row r="7280" spans="1:21">
      <c r="A7280"/>
      <c r="C7280"/>
      <c r="D7280"/>
      <c r="L7280"/>
      <c r="R7280"/>
      <c r="S7280"/>
      <c r="T7280"/>
      <c r="U7280"/>
    </row>
    <row r="7281" spans="1:21">
      <c r="A7281"/>
      <c r="C7281"/>
      <c r="D7281"/>
      <c r="L7281"/>
      <c r="R7281"/>
      <c r="S7281"/>
      <c r="T7281"/>
      <c r="U7281"/>
    </row>
    <row r="7282" spans="1:21">
      <c r="A7282"/>
      <c r="C7282"/>
      <c r="D7282"/>
      <c r="L7282"/>
      <c r="R7282"/>
      <c r="S7282"/>
      <c r="T7282"/>
      <c r="U7282"/>
    </row>
    <row r="7283" spans="1:21">
      <c r="A7283"/>
      <c r="C7283"/>
      <c r="D7283"/>
      <c r="L7283"/>
      <c r="R7283"/>
      <c r="S7283"/>
      <c r="T7283"/>
      <c r="U7283"/>
    </row>
    <row r="7284" spans="1:21">
      <c r="A7284"/>
      <c r="C7284"/>
      <c r="D7284"/>
      <c r="L7284"/>
      <c r="R7284"/>
      <c r="S7284"/>
      <c r="T7284"/>
      <c r="U7284"/>
    </row>
    <row r="7285" spans="1:21">
      <c r="A7285"/>
      <c r="C7285"/>
      <c r="D7285"/>
      <c r="L7285"/>
      <c r="R7285"/>
      <c r="S7285"/>
      <c r="T7285"/>
      <c r="U7285"/>
    </row>
    <row r="7286" spans="1:21">
      <c r="A7286"/>
      <c r="C7286"/>
      <c r="D7286"/>
      <c r="L7286"/>
      <c r="R7286"/>
      <c r="S7286"/>
      <c r="T7286"/>
      <c r="U7286"/>
    </row>
    <row r="7287" spans="1:21">
      <c r="A7287"/>
      <c r="C7287"/>
      <c r="D7287"/>
      <c r="L7287"/>
      <c r="R7287"/>
      <c r="S7287"/>
      <c r="T7287"/>
      <c r="U7287"/>
    </row>
    <row r="7288" spans="1:21">
      <c r="A7288"/>
      <c r="C7288"/>
      <c r="D7288"/>
      <c r="L7288"/>
      <c r="R7288"/>
      <c r="S7288"/>
      <c r="T7288"/>
      <c r="U7288"/>
    </row>
    <row r="7289" spans="1:21">
      <c r="A7289"/>
      <c r="C7289"/>
      <c r="D7289"/>
      <c r="L7289"/>
      <c r="R7289"/>
      <c r="S7289"/>
      <c r="T7289"/>
      <c r="U7289"/>
    </row>
    <row r="7290" spans="1:21">
      <c r="A7290"/>
      <c r="C7290"/>
      <c r="D7290"/>
      <c r="L7290"/>
      <c r="R7290"/>
      <c r="S7290"/>
      <c r="T7290"/>
      <c r="U7290"/>
    </row>
    <row r="7291" spans="1:21">
      <c r="A7291"/>
      <c r="C7291"/>
      <c r="D7291"/>
      <c r="L7291"/>
      <c r="R7291"/>
      <c r="S7291"/>
      <c r="T7291"/>
      <c r="U7291"/>
    </row>
    <row r="7292" spans="1:21">
      <c r="A7292"/>
      <c r="C7292"/>
      <c r="D7292"/>
      <c r="L7292"/>
      <c r="R7292"/>
      <c r="S7292"/>
      <c r="T7292"/>
      <c r="U7292"/>
    </row>
    <row r="7293" spans="1:21">
      <c r="A7293"/>
      <c r="C7293"/>
      <c r="D7293"/>
      <c r="L7293"/>
      <c r="R7293"/>
      <c r="S7293"/>
      <c r="T7293"/>
      <c r="U7293"/>
    </row>
    <row r="7294" spans="1:21">
      <c r="A7294"/>
      <c r="C7294"/>
      <c r="D7294"/>
      <c r="L7294"/>
      <c r="R7294"/>
      <c r="S7294"/>
      <c r="T7294"/>
      <c r="U7294"/>
    </row>
    <row r="7295" spans="1:21">
      <c r="A7295"/>
      <c r="C7295"/>
      <c r="D7295"/>
      <c r="L7295"/>
      <c r="R7295"/>
      <c r="S7295"/>
      <c r="T7295"/>
      <c r="U7295"/>
    </row>
    <row r="7296" spans="1:21">
      <c r="A7296"/>
      <c r="C7296"/>
      <c r="D7296"/>
      <c r="L7296"/>
      <c r="R7296"/>
      <c r="S7296"/>
      <c r="T7296"/>
      <c r="U7296"/>
    </row>
    <row r="7297" spans="1:21">
      <c r="A7297"/>
      <c r="C7297"/>
      <c r="D7297"/>
      <c r="L7297"/>
      <c r="R7297"/>
      <c r="S7297"/>
      <c r="T7297"/>
      <c r="U7297"/>
    </row>
    <row r="7298" spans="1:21">
      <c r="A7298"/>
      <c r="C7298"/>
      <c r="D7298"/>
      <c r="L7298"/>
      <c r="R7298"/>
      <c r="S7298"/>
      <c r="T7298"/>
      <c r="U7298"/>
    </row>
    <row r="7299" spans="1:21">
      <c r="A7299"/>
      <c r="C7299"/>
      <c r="D7299"/>
      <c r="L7299"/>
      <c r="R7299"/>
      <c r="S7299"/>
      <c r="T7299"/>
      <c r="U7299"/>
    </row>
    <row r="7300" spans="1:21">
      <c r="A7300"/>
      <c r="C7300"/>
      <c r="D7300"/>
      <c r="L7300"/>
      <c r="R7300"/>
      <c r="S7300"/>
      <c r="T7300"/>
      <c r="U7300"/>
    </row>
    <row r="7301" spans="1:21">
      <c r="A7301"/>
      <c r="C7301"/>
      <c r="D7301"/>
      <c r="L7301"/>
      <c r="R7301"/>
      <c r="S7301"/>
      <c r="T7301"/>
      <c r="U7301"/>
    </row>
    <row r="7302" spans="1:21">
      <c r="A7302"/>
      <c r="C7302"/>
      <c r="D7302"/>
      <c r="L7302"/>
      <c r="R7302"/>
      <c r="S7302"/>
      <c r="T7302"/>
      <c r="U7302"/>
    </row>
    <row r="7303" spans="1:21">
      <c r="A7303"/>
      <c r="C7303"/>
      <c r="D7303"/>
      <c r="L7303"/>
      <c r="R7303"/>
      <c r="S7303"/>
      <c r="T7303"/>
      <c r="U7303"/>
    </row>
    <row r="7304" spans="1:21">
      <c r="A7304"/>
      <c r="C7304"/>
      <c r="D7304"/>
      <c r="L7304"/>
      <c r="R7304"/>
      <c r="S7304"/>
      <c r="T7304"/>
      <c r="U7304"/>
    </row>
    <row r="7305" spans="1:21">
      <c r="A7305"/>
      <c r="C7305"/>
      <c r="D7305"/>
      <c r="L7305"/>
      <c r="R7305"/>
      <c r="S7305"/>
      <c r="T7305"/>
      <c r="U7305"/>
    </row>
    <row r="7306" spans="1:21">
      <c r="A7306"/>
      <c r="C7306"/>
      <c r="D7306"/>
      <c r="L7306"/>
      <c r="R7306"/>
      <c r="S7306"/>
      <c r="T7306"/>
      <c r="U7306"/>
    </row>
    <row r="7307" spans="1:21">
      <c r="A7307"/>
      <c r="C7307"/>
      <c r="D7307"/>
      <c r="L7307"/>
      <c r="R7307"/>
      <c r="S7307"/>
      <c r="T7307"/>
      <c r="U7307"/>
    </row>
    <row r="7308" spans="1:21">
      <c r="A7308"/>
      <c r="C7308"/>
      <c r="D7308"/>
      <c r="L7308"/>
      <c r="R7308"/>
      <c r="S7308"/>
      <c r="T7308"/>
      <c r="U7308"/>
    </row>
    <row r="7309" spans="1:21">
      <c r="A7309"/>
      <c r="C7309"/>
      <c r="D7309"/>
      <c r="L7309"/>
      <c r="R7309"/>
      <c r="S7309"/>
      <c r="T7309"/>
      <c r="U7309"/>
    </row>
    <row r="7310" spans="1:21">
      <c r="A7310"/>
      <c r="C7310"/>
      <c r="D7310"/>
      <c r="L7310"/>
      <c r="R7310"/>
      <c r="S7310"/>
      <c r="T7310"/>
      <c r="U7310"/>
    </row>
    <row r="7311" spans="1:21">
      <c r="A7311"/>
      <c r="C7311"/>
      <c r="D7311"/>
      <c r="L7311"/>
      <c r="R7311"/>
      <c r="S7311"/>
      <c r="T7311"/>
      <c r="U7311"/>
    </row>
    <row r="7312" spans="1:21">
      <c r="A7312"/>
      <c r="C7312"/>
      <c r="D7312"/>
      <c r="L7312"/>
      <c r="R7312"/>
      <c r="S7312"/>
      <c r="T7312"/>
      <c r="U7312"/>
    </row>
    <row r="7313" spans="1:21">
      <c r="A7313"/>
      <c r="C7313"/>
      <c r="D7313"/>
      <c r="L7313"/>
      <c r="R7313"/>
      <c r="S7313"/>
      <c r="T7313"/>
      <c r="U7313"/>
    </row>
    <row r="7314" spans="1:21">
      <c r="A7314"/>
      <c r="C7314"/>
      <c r="D7314"/>
      <c r="L7314"/>
      <c r="R7314"/>
      <c r="S7314"/>
      <c r="T7314"/>
      <c r="U7314"/>
    </row>
    <row r="7315" spans="1:21">
      <c r="A7315"/>
      <c r="C7315"/>
      <c r="D7315"/>
      <c r="L7315"/>
      <c r="R7315"/>
      <c r="S7315"/>
      <c r="T7315"/>
      <c r="U7315"/>
    </row>
    <row r="7316" spans="1:21">
      <c r="A7316"/>
      <c r="C7316"/>
      <c r="D7316"/>
      <c r="L7316"/>
      <c r="R7316"/>
      <c r="S7316"/>
      <c r="T7316"/>
      <c r="U7316"/>
    </row>
    <row r="7317" spans="1:21">
      <c r="A7317"/>
      <c r="C7317"/>
      <c r="D7317"/>
      <c r="L7317"/>
      <c r="R7317"/>
      <c r="S7317"/>
      <c r="T7317"/>
      <c r="U7317"/>
    </row>
    <row r="7318" spans="1:21">
      <c r="A7318"/>
      <c r="C7318"/>
      <c r="D7318"/>
      <c r="L7318"/>
      <c r="R7318"/>
      <c r="S7318"/>
      <c r="T7318"/>
      <c r="U7318"/>
    </row>
    <row r="7319" spans="1:21">
      <c r="A7319"/>
      <c r="C7319"/>
      <c r="D7319"/>
      <c r="L7319"/>
      <c r="R7319"/>
      <c r="S7319"/>
      <c r="T7319"/>
      <c r="U7319"/>
    </row>
    <row r="7320" spans="1:21">
      <c r="A7320"/>
      <c r="C7320"/>
      <c r="D7320"/>
      <c r="L7320"/>
      <c r="R7320"/>
      <c r="S7320"/>
      <c r="T7320"/>
      <c r="U7320"/>
    </row>
    <row r="7321" spans="1:21">
      <c r="A7321"/>
      <c r="C7321"/>
      <c r="D7321"/>
      <c r="L7321"/>
      <c r="R7321"/>
      <c r="S7321"/>
      <c r="T7321"/>
      <c r="U7321"/>
    </row>
    <row r="7322" spans="1:21">
      <c r="A7322"/>
      <c r="C7322"/>
      <c r="D7322"/>
      <c r="L7322"/>
      <c r="R7322"/>
      <c r="S7322"/>
      <c r="T7322"/>
      <c r="U7322"/>
    </row>
    <row r="7323" spans="1:21">
      <c r="A7323"/>
      <c r="C7323"/>
      <c r="D7323"/>
      <c r="L7323"/>
      <c r="R7323"/>
      <c r="S7323"/>
      <c r="T7323"/>
      <c r="U7323"/>
    </row>
    <row r="7324" spans="1:21">
      <c r="A7324"/>
      <c r="C7324"/>
      <c r="D7324"/>
      <c r="L7324"/>
      <c r="R7324"/>
      <c r="S7324"/>
      <c r="T7324"/>
      <c r="U7324"/>
    </row>
    <row r="7325" spans="1:21">
      <c r="A7325"/>
      <c r="C7325"/>
      <c r="D7325"/>
      <c r="L7325"/>
      <c r="R7325"/>
      <c r="S7325"/>
      <c r="T7325"/>
      <c r="U7325"/>
    </row>
    <row r="7326" spans="1:21">
      <c r="A7326"/>
      <c r="C7326"/>
      <c r="D7326"/>
      <c r="L7326"/>
      <c r="R7326"/>
      <c r="S7326"/>
      <c r="T7326"/>
      <c r="U7326"/>
    </row>
    <row r="7327" spans="1:21">
      <c r="A7327"/>
      <c r="C7327"/>
      <c r="D7327"/>
      <c r="L7327"/>
      <c r="R7327"/>
      <c r="S7327"/>
      <c r="T7327"/>
      <c r="U7327"/>
    </row>
    <row r="7328" spans="1:21">
      <c r="A7328"/>
      <c r="C7328"/>
      <c r="D7328"/>
      <c r="L7328"/>
      <c r="R7328"/>
      <c r="S7328"/>
      <c r="T7328"/>
      <c r="U7328"/>
    </row>
    <row r="7329" spans="1:21">
      <c r="A7329"/>
      <c r="C7329"/>
      <c r="D7329"/>
      <c r="L7329"/>
      <c r="R7329"/>
      <c r="S7329"/>
      <c r="T7329"/>
      <c r="U7329"/>
    </row>
    <row r="7330" spans="1:21">
      <c r="A7330"/>
      <c r="C7330"/>
      <c r="D7330"/>
      <c r="L7330"/>
      <c r="R7330"/>
      <c r="S7330"/>
      <c r="T7330"/>
      <c r="U7330"/>
    </row>
    <row r="7331" spans="1:21">
      <c r="A7331"/>
      <c r="C7331"/>
      <c r="D7331"/>
      <c r="L7331"/>
      <c r="R7331"/>
      <c r="S7331"/>
      <c r="T7331"/>
      <c r="U7331"/>
    </row>
    <row r="7332" spans="1:21">
      <c r="A7332"/>
      <c r="C7332"/>
      <c r="D7332"/>
      <c r="L7332"/>
      <c r="R7332"/>
      <c r="S7332"/>
      <c r="T7332"/>
      <c r="U7332"/>
    </row>
    <row r="7333" spans="1:21">
      <c r="A7333"/>
      <c r="C7333"/>
      <c r="D7333"/>
      <c r="L7333"/>
      <c r="R7333"/>
      <c r="S7333"/>
      <c r="T7333"/>
      <c r="U7333"/>
    </row>
    <row r="7334" spans="1:21">
      <c r="A7334"/>
      <c r="C7334"/>
      <c r="D7334"/>
      <c r="L7334"/>
      <c r="R7334"/>
      <c r="S7334"/>
      <c r="T7334"/>
      <c r="U7334"/>
    </row>
    <row r="7335" spans="1:21">
      <c r="A7335"/>
      <c r="C7335"/>
      <c r="D7335"/>
      <c r="L7335"/>
      <c r="R7335"/>
      <c r="S7335"/>
      <c r="T7335"/>
      <c r="U7335"/>
    </row>
    <row r="7336" spans="1:21">
      <c r="A7336"/>
      <c r="C7336"/>
      <c r="D7336"/>
      <c r="L7336"/>
      <c r="R7336"/>
      <c r="S7336"/>
      <c r="T7336"/>
      <c r="U7336"/>
    </row>
    <row r="7337" spans="1:21">
      <c r="A7337"/>
      <c r="C7337"/>
      <c r="D7337"/>
      <c r="L7337"/>
      <c r="R7337"/>
      <c r="S7337"/>
      <c r="T7337"/>
      <c r="U7337"/>
    </row>
    <row r="7338" spans="1:21">
      <c r="A7338"/>
      <c r="C7338"/>
      <c r="D7338"/>
      <c r="L7338"/>
      <c r="R7338"/>
      <c r="S7338"/>
      <c r="T7338"/>
      <c r="U7338"/>
    </row>
    <row r="7339" spans="1:21">
      <c r="A7339"/>
      <c r="C7339"/>
      <c r="D7339"/>
      <c r="L7339"/>
      <c r="R7339"/>
      <c r="S7339"/>
      <c r="T7339"/>
      <c r="U7339"/>
    </row>
    <row r="7340" spans="1:21">
      <c r="A7340"/>
      <c r="C7340"/>
      <c r="D7340"/>
      <c r="L7340"/>
      <c r="R7340"/>
      <c r="S7340"/>
      <c r="T7340"/>
      <c r="U7340"/>
    </row>
    <row r="7341" spans="1:21">
      <c r="A7341"/>
      <c r="C7341"/>
      <c r="D7341"/>
      <c r="L7341"/>
      <c r="R7341"/>
      <c r="S7341"/>
      <c r="T7341"/>
      <c r="U7341"/>
    </row>
    <row r="7342" spans="1:21">
      <c r="A7342"/>
      <c r="C7342"/>
      <c r="D7342"/>
      <c r="L7342"/>
      <c r="R7342"/>
      <c r="S7342"/>
      <c r="T7342"/>
      <c r="U7342"/>
    </row>
    <row r="7343" spans="1:21">
      <c r="A7343"/>
      <c r="C7343"/>
      <c r="D7343"/>
      <c r="L7343"/>
      <c r="R7343"/>
      <c r="S7343"/>
      <c r="T7343"/>
      <c r="U7343"/>
    </row>
    <row r="7344" spans="1:21">
      <c r="A7344"/>
      <c r="C7344"/>
      <c r="D7344"/>
      <c r="L7344"/>
      <c r="R7344"/>
      <c r="S7344"/>
      <c r="T7344"/>
      <c r="U7344"/>
    </row>
    <row r="7345" spans="1:21">
      <c r="A7345"/>
      <c r="C7345"/>
      <c r="D7345"/>
      <c r="L7345"/>
      <c r="R7345"/>
      <c r="S7345"/>
      <c r="T7345"/>
      <c r="U7345"/>
    </row>
    <row r="7346" spans="1:21">
      <c r="A7346"/>
      <c r="C7346"/>
      <c r="D7346"/>
      <c r="L7346"/>
      <c r="R7346"/>
      <c r="S7346"/>
      <c r="T7346"/>
      <c r="U7346"/>
    </row>
    <row r="7347" spans="1:21">
      <c r="A7347"/>
      <c r="C7347"/>
      <c r="D7347"/>
      <c r="L7347"/>
      <c r="R7347"/>
      <c r="S7347"/>
      <c r="T7347"/>
      <c r="U7347"/>
    </row>
    <row r="7348" spans="1:21">
      <c r="A7348"/>
      <c r="C7348"/>
      <c r="D7348"/>
      <c r="L7348"/>
      <c r="R7348"/>
      <c r="S7348"/>
      <c r="T7348"/>
      <c r="U7348"/>
    </row>
    <row r="7349" spans="1:21">
      <c r="A7349"/>
      <c r="C7349"/>
      <c r="D7349"/>
      <c r="L7349"/>
      <c r="R7349"/>
      <c r="S7349"/>
      <c r="T7349"/>
      <c r="U7349"/>
    </row>
    <row r="7350" spans="1:21">
      <c r="A7350"/>
      <c r="C7350"/>
      <c r="D7350"/>
      <c r="L7350"/>
      <c r="R7350"/>
      <c r="S7350"/>
      <c r="T7350"/>
      <c r="U7350"/>
    </row>
    <row r="7351" spans="1:21">
      <c r="A7351"/>
      <c r="C7351"/>
      <c r="D7351"/>
      <c r="L7351"/>
      <c r="R7351"/>
      <c r="S7351"/>
      <c r="T7351"/>
      <c r="U7351"/>
    </row>
    <row r="7352" spans="1:21">
      <c r="A7352"/>
      <c r="C7352"/>
      <c r="D7352"/>
      <c r="L7352"/>
      <c r="R7352"/>
      <c r="S7352"/>
      <c r="T7352"/>
      <c r="U7352"/>
    </row>
    <row r="7353" spans="1:21">
      <c r="A7353"/>
      <c r="C7353"/>
      <c r="D7353"/>
      <c r="L7353"/>
      <c r="R7353"/>
      <c r="S7353"/>
      <c r="T7353"/>
      <c r="U7353"/>
    </row>
    <row r="7354" spans="1:21">
      <c r="A7354"/>
      <c r="C7354"/>
      <c r="D7354"/>
      <c r="L7354"/>
      <c r="R7354"/>
      <c r="S7354"/>
      <c r="T7354"/>
      <c r="U7354"/>
    </row>
    <row r="7355" spans="1:21">
      <c r="A7355"/>
      <c r="C7355"/>
      <c r="D7355"/>
      <c r="L7355"/>
      <c r="R7355"/>
      <c r="S7355"/>
      <c r="T7355"/>
      <c r="U7355"/>
    </row>
    <row r="7356" spans="1:21">
      <c r="A7356"/>
      <c r="C7356"/>
      <c r="D7356"/>
      <c r="L7356"/>
      <c r="R7356"/>
      <c r="S7356"/>
      <c r="T7356"/>
      <c r="U7356"/>
    </row>
    <row r="7357" spans="1:21">
      <c r="A7357"/>
      <c r="C7357"/>
      <c r="D7357"/>
      <c r="L7357"/>
      <c r="R7357"/>
      <c r="S7357"/>
      <c r="T7357"/>
      <c r="U7357"/>
    </row>
    <row r="7358" spans="1:21">
      <c r="A7358"/>
      <c r="C7358"/>
      <c r="D7358"/>
      <c r="L7358"/>
      <c r="R7358"/>
      <c r="S7358"/>
      <c r="T7358"/>
      <c r="U7358"/>
    </row>
    <row r="7359" spans="1:21">
      <c r="A7359"/>
      <c r="C7359"/>
      <c r="D7359"/>
      <c r="L7359"/>
      <c r="R7359"/>
      <c r="S7359"/>
      <c r="T7359"/>
      <c r="U7359"/>
    </row>
    <row r="7360" spans="1:21">
      <c r="A7360"/>
      <c r="C7360"/>
      <c r="D7360"/>
      <c r="L7360"/>
      <c r="R7360"/>
      <c r="S7360"/>
      <c r="T7360"/>
      <c r="U7360"/>
    </row>
    <row r="7361" spans="1:21">
      <c r="A7361"/>
      <c r="C7361"/>
      <c r="D7361"/>
      <c r="L7361"/>
      <c r="R7361"/>
      <c r="S7361"/>
      <c r="T7361"/>
      <c r="U7361"/>
    </row>
    <row r="7362" spans="1:21">
      <c r="A7362"/>
      <c r="C7362"/>
      <c r="D7362"/>
      <c r="L7362"/>
      <c r="R7362"/>
      <c r="S7362"/>
      <c r="T7362"/>
      <c r="U7362"/>
    </row>
    <row r="7363" spans="1:21">
      <c r="A7363"/>
      <c r="C7363"/>
      <c r="D7363"/>
      <c r="L7363"/>
      <c r="R7363"/>
      <c r="S7363"/>
      <c r="T7363"/>
      <c r="U7363"/>
    </row>
    <row r="7364" spans="1:21">
      <c r="A7364"/>
      <c r="C7364"/>
      <c r="D7364"/>
      <c r="L7364"/>
      <c r="R7364"/>
      <c r="S7364"/>
      <c r="T7364"/>
      <c r="U7364"/>
    </row>
    <row r="7365" spans="1:21">
      <c r="A7365"/>
      <c r="C7365"/>
      <c r="D7365"/>
      <c r="L7365"/>
      <c r="R7365"/>
      <c r="S7365"/>
      <c r="T7365"/>
      <c r="U7365"/>
    </row>
    <row r="7366" spans="1:21">
      <c r="A7366"/>
      <c r="C7366"/>
      <c r="D7366"/>
      <c r="L7366"/>
      <c r="R7366"/>
      <c r="S7366"/>
      <c r="T7366"/>
      <c r="U7366"/>
    </row>
    <row r="7367" spans="1:21">
      <c r="A7367"/>
      <c r="C7367"/>
      <c r="D7367"/>
      <c r="L7367"/>
      <c r="R7367"/>
      <c r="S7367"/>
      <c r="T7367"/>
      <c r="U7367"/>
    </row>
    <row r="7368" spans="1:21">
      <c r="A7368"/>
      <c r="C7368"/>
      <c r="D7368"/>
      <c r="L7368"/>
      <c r="R7368"/>
      <c r="S7368"/>
      <c r="T7368"/>
      <c r="U7368"/>
    </row>
    <row r="7369" spans="1:21">
      <c r="A7369"/>
      <c r="C7369"/>
      <c r="D7369"/>
      <c r="L7369"/>
      <c r="R7369"/>
      <c r="S7369"/>
      <c r="T7369"/>
      <c r="U7369"/>
    </row>
    <row r="7370" spans="1:21">
      <c r="A7370"/>
      <c r="C7370"/>
      <c r="D7370"/>
      <c r="L7370"/>
      <c r="R7370"/>
      <c r="S7370"/>
      <c r="T7370"/>
      <c r="U7370"/>
    </row>
    <row r="7371" spans="1:21">
      <c r="A7371"/>
      <c r="C7371"/>
      <c r="D7371"/>
      <c r="L7371"/>
      <c r="R7371"/>
      <c r="S7371"/>
      <c r="T7371"/>
      <c r="U7371"/>
    </row>
    <row r="7372" spans="1:21">
      <c r="A7372"/>
      <c r="C7372"/>
      <c r="D7372"/>
      <c r="L7372"/>
      <c r="R7372"/>
      <c r="S7372"/>
      <c r="T7372"/>
      <c r="U7372"/>
    </row>
    <row r="7373" spans="1:21">
      <c r="A7373"/>
      <c r="C7373"/>
      <c r="D7373"/>
      <c r="L7373"/>
      <c r="R7373"/>
      <c r="S7373"/>
      <c r="T7373"/>
      <c r="U7373"/>
    </row>
    <row r="7374" spans="1:21">
      <c r="A7374"/>
      <c r="C7374"/>
      <c r="D7374"/>
      <c r="L7374"/>
      <c r="R7374"/>
      <c r="S7374"/>
      <c r="T7374"/>
      <c r="U7374"/>
    </row>
    <row r="7375" spans="1:21">
      <c r="A7375"/>
      <c r="C7375"/>
      <c r="D7375"/>
      <c r="L7375"/>
      <c r="R7375"/>
      <c r="S7375"/>
      <c r="T7375"/>
      <c r="U7375"/>
    </row>
    <row r="7376" spans="1:21">
      <c r="A7376"/>
      <c r="C7376"/>
      <c r="D7376"/>
      <c r="L7376"/>
      <c r="R7376"/>
      <c r="S7376"/>
      <c r="T7376"/>
      <c r="U7376"/>
    </row>
    <row r="7377" spans="1:21">
      <c r="A7377"/>
      <c r="C7377"/>
      <c r="D7377"/>
      <c r="L7377"/>
      <c r="R7377"/>
      <c r="S7377"/>
      <c r="T7377"/>
      <c r="U7377"/>
    </row>
    <row r="7378" spans="1:21">
      <c r="A7378"/>
      <c r="C7378"/>
      <c r="D7378"/>
      <c r="L7378"/>
      <c r="R7378"/>
      <c r="S7378"/>
      <c r="T7378"/>
      <c r="U7378"/>
    </row>
    <row r="7379" spans="1:21">
      <c r="A7379"/>
      <c r="C7379"/>
      <c r="D7379"/>
      <c r="L7379"/>
      <c r="R7379"/>
      <c r="S7379"/>
      <c r="T7379"/>
      <c r="U7379"/>
    </row>
    <row r="7380" spans="1:21">
      <c r="A7380"/>
      <c r="C7380"/>
      <c r="D7380"/>
      <c r="L7380"/>
      <c r="R7380"/>
      <c r="S7380"/>
      <c r="T7380"/>
      <c r="U7380"/>
    </row>
    <row r="7381" spans="1:21">
      <c r="A7381"/>
      <c r="C7381"/>
      <c r="D7381"/>
      <c r="L7381"/>
      <c r="R7381"/>
      <c r="S7381"/>
      <c r="T7381"/>
      <c r="U7381"/>
    </row>
    <row r="7382" spans="1:21">
      <c r="A7382"/>
      <c r="C7382"/>
      <c r="D7382"/>
      <c r="L7382"/>
      <c r="R7382"/>
      <c r="S7382"/>
      <c r="T7382"/>
      <c r="U7382"/>
    </row>
    <row r="7383" spans="1:21">
      <c r="A7383"/>
      <c r="C7383"/>
      <c r="D7383"/>
      <c r="L7383"/>
      <c r="R7383"/>
      <c r="S7383"/>
      <c r="T7383"/>
      <c r="U7383"/>
    </row>
    <row r="7384" spans="1:21">
      <c r="A7384"/>
      <c r="C7384"/>
      <c r="D7384"/>
      <c r="L7384"/>
      <c r="R7384"/>
      <c r="S7384"/>
      <c r="T7384"/>
      <c r="U7384"/>
    </row>
    <row r="7385" spans="1:21">
      <c r="A7385"/>
      <c r="C7385"/>
      <c r="D7385"/>
      <c r="L7385"/>
      <c r="R7385"/>
      <c r="S7385"/>
      <c r="T7385"/>
      <c r="U7385"/>
    </row>
    <row r="7386" spans="1:21">
      <c r="A7386"/>
      <c r="C7386"/>
      <c r="D7386"/>
      <c r="L7386"/>
      <c r="R7386"/>
      <c r="S7386"/>
      <c r="T7386"/>
      <c r="U7386"/>
    </row>
    <row r="7387" spans="1:21">
      <c r="A7387"/>
      <c r="C7387"/>
      <c r="D7387"/>
      <c r="L7387"/>
      <c r="R7387"/>
      <c r="S7387"/>
      <c r="T7387"/>
      <c r="U7387"/>
    </row>
    <row r="7388" spans="1:21">
      <c r="A7388"/>
      <c r="C7388"/>
      <c r="D7388"/>
      <c r="L7388"/>
      <c r="R7388"/>
      <c r="S7388"/>
      <c r="T7388"/>
      <c r="U7388"/>
    </row>
    <row r="7389" spans="1:21">
      <c r="A7389"/>
      <c r="C7389"/>
      <c r="D7389"/>
      <c r="L7389"/>
      <c r="R7389"/>
      <c r="S7389"/>
      <c r="T7389"/>
      <c r="U7389"/>
    </row>
    <row r="7390" spans="1:21">
      <c r="A7390"/>
      <c r="C7390"/>
      <c r="D7390"/>
      <c r="L7390"/>
      <c r="R7390"/>
      <c r="S7390"/>
      <c r="T7390"/>
      <c r="U7390"/>
    </row>
    <row r="7391" spans="1:21">
      <c r="A7391"/>
      <c r="C7391"/>
      <c r="D7391"/>
      <c r="L7391"/>
      <c r="R7391"/>
      <c r="S7391"/>
      <c r="T7391"/>
      <c r="U7391"/>
    </row>
    <row r="7392" spans="1:21">
      <c r="A7392"/>
      <c r="C7392"/>
      <c r="D7392"/>
      <c r="L7392"/>
      <c r="R7392"/>
      <c r="S7392"/>
      <c r="T7392"/>
      <c r="U7392"/>
    </row>
    <row r="7393" spans="1:21">
      <c r="A7393"/>
      <c r="C7393"/>
      <c r="D7393"/>
      <c r="L7393"/>
      <c r="R7393"/>
      <c r="S7393"/>
      <c r="T7393"/>
      <c r="U7393"/>
    </row>
    <row r="7394" spans="1:21">
      <c r="A7394"/>
      <c r="C7394"/>
      <c r="D7394"/>
      <c r="L7394"/>
      <c r="R7394"/>
      <c r="S7394"/>
      <c r="T7394"/>
      <c r="U7394"/>
    </row>
    <row r="7395" spans="1:21">
      <c r="A7395"/>
      <c r="C7395"/>
      <c r="D7395"/>
      <c r="L7395"/>
      <c r="R7395"/>
      <c r="S7395"/>
      <c r="T7395"/>
      <c r="U7395"/>
    </row>
    <row r="7396" spans="1:21">
      <c r="A7396"/>
      <c r="C7396"/>
      <c r="D7396"/>
      <c r="L7396"/>
      <c r="R7396"/>
      <c r="S7396"/>
      <c r="T7396"/>
      <c r="U7396"/>
    </row>
    <row r="7397" spans="1:21">
      <c r="A7397"/>
      <c r="C7397"/>
      <c r="D7397"/>
      <c r="L7397"/>
      <c r="R7397"/>
      <c r="S7397"/>
      <c r="T7397"/>
      <c r="U7397"/>
    </row>
    <row r="7398" spans="1:21">
      <c r="A7398"/>
      <c r="C7398"/>
      <c r="D7398"/>
      <c r="L7398"/>
      <c r="R7398"/>
      <c r="S7398"/>
      <c r="T7398"/>
      <c r="U7398"/>
    </row>
    <row r="7399" spans="1:21">
      <c r="A7399"/>
      <c r="C7399"/>
      <c r="D7399"/>
      <c r="L7399"/>
      <c r="R7399"/>
      <c r="S7399"/>
      <c r="T7399"/>
      <c r="U7399"/>
    </row>
    <row r="7400" spans="1:21">
      <c r="A7400"/>
      <c r="C7400"/>
      <c r="D7400"/>
      <c r="L7400"/>
      <c r="R7400"/>
      <c r="S7400"/>
      <c r="T7400"/>
      <c r="U7400"/>
    </row>
    <row r="7401" spans="1:21">
      <c r="A7401"/>
      <c r="C7401"/>
      <c r="D7401"/>
      <c r="L7401"/>
      <c r="R7401"/>
      <c r="S7401"/>
      <c r="T7401"/>
      <c r="U7401"/>
    </row>
    <row r="7402" spans="1:21">
      <c r="A7402"/>
      <c r="C7402"/>
      <c r="D7402"/>
      <c r="L7402"/>
      <c r="R7402"/>
      <c r="S7402"/>
      <c r="T7402"/>
      <c r="U7402"/>
    </row>
    <row r="7403" spans="1:21">
      <c r="A7403"/>
      <c r="C7403"/>
      <c r="D7403"/>
      <c r="L7403"/>
      <c r="R7403"/>
      <c r="S7403"/>
      <c r="T7403"/>
      <c r="U7403"/>
    </row>
    <row r="7404" spans="1:21">
      <c r="A7404"/>
      <c r="C7404"/>
      <c r="D7404"/>
      <c r="L7404"/>
      <c r="R7404"/>
      <c r="S7404"/>
      <c r="T7404"/>
      <c r="U7404"/>
    </row>
    <row r="7405" spans="1:21">
      <c r="A7405"/>
      <c r="C7405"/>
      <c r="D7405"/>
      <c r="L7405"/>
      <c r="R7405"/>
      <c r="S7405"/>
      <c r="T7405"/>
      <c r="U7405"/>
    </row>
    <row r="7406" spans="1:21">
      <c r="A7406"/>
      <c r="C7406"/>
      <c r="D7406"/>
      <c r="L7406"/>
      <c r="R7406"/>
      <c r="S7406"/>
      <c r="T7406"/>
      <c r="U7406"/>
    </row>
    <row r="7407" spans="1:21">
      <c r="A7407"/>
      <c r="C7407"/>
      <c r="D7407"/>
      <c r="L7407"/>
      <c r="R7407"/>
      <c r="S7407"/>
      <c r="T7407"/>
      <c r="U7407"/>
    </row>
    <row r="7408" spans="1:21">
      <c r="A7408"/>
      <c r="C7408"/>
      <c r="D7408"/>
      <c r="L7408"/>
      <c r="R7408"/>
      <c r="S7408"/>
      <c r="T7408"/>
      <c r="U7408"/>
    </row>
    <row r="7409" spans="1:21">
      <c r="A7409"/>
      <c r="C7409"/>
      <c r="D7409"/>
      <c r="L7409"/>
      <c r="R7409"/>
      <c r="S7409"/>
      <c r="T7409"/>
      <c r="U7409"/>
    </row>
    <row r="7410" spans="1:21">
      <c r="A7410"/>
      <c r="C7410"/>
      <c r="D7410"/>
      <c r="L7410"/>
      <c r="R7410"/>
      <c r="S7410"/>
      <c r="T7410"/>
      <c r="U7410"/>
    </row>
    <row r="7411" spans="1:21">
      <c r="A7411"/>
      <c r="C7411"/>
      <c r="D7411"/>
      <c r="L7411"/>
      <c r="R7411"/>
      <c r="S7411"/>
      <c r="T7411"/>
      <c r="U7411"/>
    </row>
    <row r="7412" spans="1:21">
      <c r="A7412"/>
      <c r="C7412"/>
      <c r="D7412"/>
      <c r="L7412"/>
      <c r="R7412"/>
      <c r="S7412"/>
      <c r="T7412"/>
      <c r="U7412"/>
    </row>
    <row r="7413" spans="1:21">
      <c r="A7413"/>
      <c r="C7413"/>
      <c r="D7413"/>
      <c r="L7413"/>
      <c r="R7413"/>
      <c r="S7413"/>
      <c r="T7413"/>
      <c r="U7413"/>
    </row>
    <row r="7414" spans="1:21">
      <c r="A7414"/>
      <c r="C7414"/>
      <c r="D7414"/>
      <c r="L7414"/>
      <c r="R7414"/>
      <c r="S7414"/>
      <c r="T7414"/>
      <c r="U7414"/>
    </row>
    <row r="7415" spans="1:21">
      <c r="A7415"/>
      <c r="C7415"/>
      <c r="D7415"/>
      <c r="L7415"/>
      <c r="R7415"/>
      <c r="S7415"/>
      <c r="T7415"/>
      <c r="U7415"/>
    </row>
    <row r="7416" spans="1:21">
      <c r="A7416"/>
      <c r="C7416"/>
      <c r="D7416"/>
      <c r="L7416"/>
      <c r="R7416"/>
      <c r="S7416"/>
      <c r="T7416"/>
      <c r="U7416"/>
    </row>
    <row r="7417" spans="1:21">
      <c r="A7417"/>
      <c r="C7417"/>
      <c r="D7417"/>
      <c r="L7417"/>
      <c r="R7417"/>
      <c r="S7417"/>
      <c r="T7417"/>
      <c r="U7417"/>
    </row>
    <row r="7418" spans="1:21">
      <c r="A7418"/>
      <c r="C7418"/>
      <c r="D7418"/>
      <c r="L7418"/>
      <c r="R7418"/>
      <c r="S7418"/>
      <c r="T7418"/>
      <c r="U7418"/>
    </row>
    <row r="7419" spans="1:21">
      <c r="A7419"/>
      <c r="C7419"/>
      <c r="D7419"/>
      <c r="L7419"/>
      <c r="R7419"/>
      <c r="S7419"/>
      <c r="T7419"/>
      <c r="U7419"/>
    </row>
    <row r="7420" spans="1:21">
      <c r="A7420"/>
      <c r="C7420"/>
      <c r="D7420"/>
      <c r="L7420"/>
      <c r="R7420"/>
      <c r="S7420"/>
      <c r="T7420"/>
      <c r="U7420"/>
    </row>
    <row r="7421" spans="1:21">
      <c r="A7421"/>
      <c r="C7421"/>
      <c r="D7421"/>
      <c r="L7421"/>
      <c r="R7421"/>
      <c r="S7421"/>
      <c r="T7421"/>
      <c r="U7421"/>
    </row>
    <row r="7422" spans="1:21">
      <c r="A7422"/>
      <c r="C7422"/>
      <c r="D7422"/>
      <c r="L7422"/>
      <c r="R7422"/>
      <c r="S7422"/>
      <c r="T7422"/>
      <c r="U7422"/>
    </row>
    <row r="7423" spans="1:21">
      <c r="A7423"/>
      <c r="C7423"/>
      <c r="D7423"/>
      <c r="L7423"/>
      <c r="R7423"/>
      <c r="S7423"/>
      <c r="T7423"/>
      <c r="U7423"/>
    </row>
    <row r="7424" spans="1:21">
      <c r="A7424"/>
      <c r="C7424"/>
      <c r="D7424"/>
      <c r="L7424"/>
      <c r="R7424"/>
      <c r="S7424"/>
      <c r="T7424"/>
      <c r="U7424"/>
    </row>
    <row r="7425" spans="1:21">
      <c r="A7425"/>
      <c r="C7425"/>
      <c r="D7425"/>
      <c r="L7425"/>
      <c r="R7425"/>
      <c r="S7425"/>
      <c r="T7425"/>
      <c r="U7425"/>
    </row>
    <row r="7426" spans="1:21">
      <c r="A7426"/>
      <c r="C7426"/>
      <c r="D7426"/>
      <c r="L7426"/>
      <c r="R7426"/>
      <c r="S7426"/>
      <c r="T7426"/>
      <c r="U7426"/>
    </row>
    <row r="7427" spans="1:21">
      <c r="A7427"/>
      <c r="C7427"/>
      <c r="D7427"/>
      <c r="L7427"/>
      <c r="R7427"/>
      <c r="S7427"/>
      <c r="T7427"/>
      <c r="U7427"/>
    </row>
    <row r="7428" spans="1:21">
      <c r="A7428"/>
      <c r="C7428"/>
      <c r="D7428"/>
      <c r="L7428"/>
      <c r="R7428"/>
      <c r="S7428"/>
      <c r="T7428"/>
      <c r="U7428"/>
    </row>
    <row r="7429" spans="1:21">
      <c r="A7429"/>
      <c r="C7429"/>
      <c r="D7429"/>
      <c r="L7429"/>
      <c r="R7429"/>
      <c r="S7429"/>
      <c r="T7429"/>
      <c r="U7429"/>
    </row>
    <row r="7430" spans="1:21">
      <c r="A7430"/>
      <c r="C7430"/>
      <c r="D7430"/>
      <c r="L7430"/>
      <c r="R7430"/>
      <c r="S7430"/>
      <c r="T7430"/>
      <c r="U7430"/>
    </row>
    <row r="7431" spans="1:21">
      <c r="A7431"/>
      <c r="C7431"/>
      <c r="D7431"/>
      <c r="L7431"/>
      <c r="R7431"/>
      <c r="S7431"/>
      <c r="T7431"/>
      <c r="U7431"/>
    </row>
    <row r="7432" spans="1:21">
      <c r="A7432"/>
      <c r="C7432"/>
      <c r="D7432"/>
      <c r="L7432"/>
      <c r="R7432"/>
      <c r="S7432"/>
      <c r="T7432"/>
      <c r="U7432"/>
    </row>
    <row r="7433" spans="1:21">
      <c r="A7433"/>
      <c r="C7433"/>
      <c r="D7433"/>
      <c r="L7433"/>
      <c r="R7433"/>
      <c r="S7433"/>
      <c r="T7433"/>
      <c r="U7433"/>
    </row>
    <row r="7434" spans="1:21">
      <c r="A7434"/>
      <c r="C7434"/>
      <c r="D7434"/>
      <c r="L7434"/>
      <c r="R7434"/>
      <c r="S7434"/>
      <c r="T7434"/>
      <c r="U7434"/>
    </row>
    <row r="7435" spans="1:21">
      <c r="A7435"/>
      <c r="C7435"/>
      <c r="D7435"/>
      <c r="L7435"/>
      <c r="R7435"/>
      <c r="S7435"/>
      <c r="T7435"/>
      <c r="U7435"/>
    </row>
    <row r="7436" spans="1:21">
      <c r="A7436"/>
      <c r="C7436"/>
      <c r="D7436"/>
      <c r="L7436"/>
      <c r="R7436"/>
      <c r="S7436"/>
      <c r="T7436"/>
      <c r="U7436"/>
    </row>
    <row r="7437" spans="1:21">
      <c r="A7437"/>
      <c r="C7437"/>
      <c r="D7437"/>
      <c r="L7437"/>
      <c r="R7437"/>
      <c r="S7437"/>
      <c r="T7437"/>
      <c r="U7437"/>
    </row>
    <row r="7438" spans="1:21">
      <c r="A7438"/>
      <c r="C7438"/>
      <c r="D7438"/>
      <c r="L7438"/>
      <c r="R7438"/>
      <c r="S7438"/>
      <c r="T7438"/>
      <c r="U7438"/>
    </row>
    <row r="7439" spans="1:21">
      <c r="A7439"/>
      <c r="C7439"/>
      <c r="D7439"/>
      <c r="L7439"/>
      <c r="R7439"/>
      <c r="S7439"/>
      <c r="T7439"/>
      <c r="U7439"/>
    </row>
    <row r="7440" spans="1:21">
      <c r="A7440"/>
      <c r="C7440"/>
      <c r="D7440"/>
      <c r="L7440"/>
      <c r="R7440"/>
      <c r="S7440"/>
      <c r="T7440"/>
      <c r="U7440"/>
    </row>
    <row r="7441" spans="1:21">
      <c r="A7441"/>
      <c r="C7441"/>
      <c r="D7441"/>
      <c r="L7441"/>
      <c r="R7441"/>
      <c r="S7441"/>
      <c r="T7441"/>
      <c r="U7441"/>
    </row>
    <row r="7442" spans="1:21">
      <c r="A7442"/>
      <c r="C7442"/>
      <c r="D7442"/>
      <c r="L7442"/>
      <c r="R7442"/>
      <c r="S7442"/>
      <c r="T7442"/>
      <c r="U7442"/>
    </row>
    <row r="7443" spans="1:21">
      <c r="A7443"/>
      <c r="C7443"/>
      <c r="D7443"/>
      <c r="L7443"/>
      <c r="R7443"/>
      <c r="S7443"/>
      <c r="T7443"/>
      <c r="U7443"/>
    </row>
    <row r="7444" spans="1:21">
      <c r="A7444"/>
      <c r="C7444"/>
      <c r="D7444"/>
      <c r="L7444"/>
      <c r="R7444"/>
      <c r="S7444"/>
      <c r="T7444"/>
      <c r="U7444"/>
    </row>
    <row r="7445" spans="1:21">
      <c r="A7445"/>
      <c r="C7445"/>
      <c r="D7445"/>
      <c r="L7445"/>
      <c r="R7445"/>
      <c r="S7445"/>
      <c r="T7445"/>
      <c r="U7445"/>
    </row>
    <row r="7446" spans="1:21">
      <c r="A7446"/>
      <c r="C7446"/>
      <c r="D7446"/>
      <c r="L7446"/>
      <c r="R7446"/>
      <c r="S7446"/>
      <c r="T7446"/>
      <c r="U7446"/>
    </row>
    <row r="7447" spans="1:21">
      <c r="A7447"/>
      <c r="C7447"/>
      <c r="D7447"/>
      <c r="L7447"/>
      <c r="R7447"/>
      <c r="S7447"/>
      <c r="T7447"/>
      <c r="U7447"/>
    </row>
    <row r="7448" spans="1:21">
      <c r="A7448"/>
      <c r="C7448"/>
      <c r="D7448"/>
      <c r="L7448"/>
      <c r="R7448"/>
      <c r="S7448"/>
      <c r="T7448"/>
      <c r="U7448"/>
    </row>
    <row r="7449" spans="1:21">
      <c r="A7449"/>
      <c r="C7449"/>
      <c r="D7449"/>
      <c r="L7449"/>
      <c r="R7449"/>
      <c r="S7449"/>
      <c r="T7449"/>
      <c r="U7449"/>
    </row>
    <row r="7450" spans="1:21">
      <c r="A7450"/>
      <c r="C7450"/>
      <c r="D7450"/>
      <c r="L7450"/>
      <c r="R7450"/>
      <c r="S7450"/>
      <c r="T7450"/>
      <c r="U7450"/>
    </row>
    <row r="7451" spans="1:21">
      <c r="A7451"/>
      <c r="C7451"/>
      <c r="D7451"/>
      <c r="L7451"/>
      <c r="R7451"/>
      <c r="S7451"/>
      <c r="T7451"/>
      <c r="U7451"/>
    </row>
    <row r="7452" spans="1:21">
      <c r="A7452"/>
      <c r="C7452"/>
      <c r="D7452"/>
      <c r="L7452"/>
      <c r="R7452"/>
      <c r="S7452"/>
      <c r="T7452"/>
      <c r="U7452"/>
    </row>
    <row r="7453" spans="1:21">
      <c r="A7453"/>
      <c r="C7453"/>
      <c r="D7453"/>
      <c r="L7453"/>
      <c r="R7453"/>
      <c r="S7453"/>
      <c r="T7453"/>
      <c r="U7453"/>
    </row>
    <row r="7454" spans="1:21">
      <c r="A7454"/>
      <c r="C7454"/>
      <c r="D7454"/>
      <c r="L7454"/>
      <c r="R7454"/>
      <c r="S7454"/>
      <c r="T7454"/>
      <c r="U7454"/>
    </row>
    <row r="7455" spans="1:21">
      <c r="A7455"/>
      <c r="C7455"/>
      <c r="D7455"/>
      <c r="L7455"/>
      <c r="R7455"/>
      <c r="S7455"/>
      <c r="T7455"/>
      <c r="U7455"/>
    </row>
    <row r="7456" spans="1:21">
      <c r="A7456"/>
      <c r="C7456"/>
      <c r="D7456"/>
      <c r="L7456"/>
      <c r="R7456"/>
      <c r="S7456"/>
      <c r="T7456"/>
      <c r="U7456"/>
    </row>
    <row r="7457" spans="1:21">
      <c r="A7457"/>
      <c r="C7457"/>
      <c r="D7457"/>
      <c r="L7457"/>
      <c r="R7457"/>
      <c r="S7457"/>
      <c r="T7457"/>
      <c r="U7457"/>
    </row>
    <row r="7458" spans="1:21">
      <c r="A7458"/>
      <c r="C7458"/>
      <c r="D7458"/>
      <c r="L7458"/>
      <c r="R7458"/>
      <c r="S7458"/>
      <c r="T7458"/>
      <c r="U7458"/>
    </row>
    <row r="7459" spans="1:21">
      <c r="A7459"/>
      <c r="C7459"/>
      <c r="D7459"/>
      <c r="L7459"/>
      <c r="R7459"/>
      <c r="S7459"/>
      <c r="T7459"/>
      <c r="U7459"/>
    </row>
    <row r="7460" spans="1:21">
      <c r="A7460"/>
      <c r="C7460"/>
      <c r="D7460"/>
      <c r="L7460"/>
      <c r="R7460"/>
      <c r="S7460"/>
      <c r="T7460"/>
      <c r="U7460"/>
    </row>
    <row r="7461" spans="1:21">
      <c r="A7461"/>
      <c r="C7461"/>
      <c r="D7461"/>
      <c r="L7461"/>
      <c r="R7461"/>
      <c r="S7461"/>
      <c r="T7461"/>
      <c r="U7461"/>
    </row>
    <row r="7462" spans="1:21">
      <c r="A7462"/>
      <c r="C7462"/>
      <c r="D7462"/>
      <c r="L7462"/>
      <c r="R7462"/>
      <c r="S7462"/>
      <c r="T7462"/>
      <c r="U7462"/>
    </row>
    <row r="7463" spans="1:21">
      <c r="A7463"/>
      <c r="C7463"/>
      <c r="D7463"/>
      <c r="L7463"/>
      <c r="R7463"/>
      <c r="S7463"/>
      <c r="T7463"/>
      <c r="U7463"/>
    </row>
    <row r="7464" spans="1:21">
      <c r="A7464"/>
      <c r="C7464"/>
      <c r="D7464"/>
      <c r="L7464"/>
      <c r="R7464"/>
      <c r="S7464"/>
      <c r="T7464"/>
      <c r="U7464"/>
    </row>
    <row r="7465" spans="1:21">
      <c r="A7465"/>
      <c r="C7465"/>
      <c r="D7465"/>
      <c r="L7465"/>
      <c r="R7465"/>
      <c r="S7465"/>
      <c r="T7465"/>
      <c r="U7465"/>
    </row>
    <row r="7466" spans="1:21">
      <c r="A7466"/>
      <c r="C7466"/>
      <c r="D7466"/>
      <c r="L7466"/>
      <c r="R7466"/>
      <c r="S7466"/>
      <c r="T7466"/>
      <c r="U7466"/>
    </row>
    <row r="7467" spans="1:21">
      <c r="A7467"/>
      <c r="C7467"/>
      <c r="D7467"/>
      <c r="L7467"/>
      <c r="R7467"/>
      <c r="S7467"/>
      <c r="T7467"/>
      <c r="U7467"/>
    </row>
    <row r="7468" spans="1:21">
      <c r="A7468"/>
      <c r="C7468"/>
      <c r="D7468"/>
      <c r="L7468"/>
      <c r="R7468"/>
      <c r="S7468"/>
      <c r="T7468"/>
      <c r="U7468"/>
    </row>
    <row r="7469" spans="1:21">
      <c r="A7469"/>
      <c r="C7469"/>
      <c r="D7469"/>
      <c r="L7469"/>
      <c r="R7469"/>
      <c r="S7469"/>
      <c r="T7469"/>
      <c r="U7469"/>
    </row>
    <row r="7470" spans="1:21">
      <c r="A7470"/>
      <c r="C7470"/>
      <c r="D7470"/>
      <c r="L7470"/>
      <c r="R7470"/>
      <c r="S7470"/>
      <c r="T7470"/>
      <c r="U7470"/>
    </row>
    <row r="7471" spans="1:21">
      <c r="A7471"/>
      <c r="C7471"/>
      <c r="D7471"/>
      <c r="L7471"/>
      <c r="R7471"/>
      <c r="S7471"/>
      <c r="T7471"/>
      <c r="U7471"/>
    </row>
    <row r="7472" spans="1:21">
      <c r="A7472"/>
      <c r="C7472"/>
      <c r="D7472"/>
      <c r="L7472"/>
      <c r="R7472"/>
      <c r="S7472"/>
      <c r="T7472"/>
      <c r="U7472"/>
    </row>
    <row r="7473" spans="1:21">
      <c r="A7473"/>
      <c r="C7473"/>
      <c r="D7473"/>
      <c r="L7473"/>
      <c r="R7473"/>
      <c r="S7473"/>
      <c r="T7473"/>
      <c r="U7473"/>
    </row>
    <row r="7474" spans="1:21">
      <c r="A7474"/>
      <c r="C7474"/>
      <c r="D7474"/>
      <c r="L7474"/>
      <c r="R7474"/>
      <c r="S7474"/>
      <c r="T7474"/>
      <c r="U7474"/>
    </row>
    <row r="7475" spans="1:21">
      <c r="A7475"/>
      <c r="C7475"/>
      <c r="D7475"/>
      <c r="L7475"/>
      <c r="R7475"/>
      <c r="S7475"/>
      <c r="T7475"/>
      <c r="U7475"/>
    </row>
    <row r="7476" spans="1:21">
      <c r="A7476"/>
      <c r="C7476"/>
      <c r="D7476"/>
      <c r="L7476"/>
      <c r="R7476"/>
      <c r="S7476"/>
      <c r="T7476"/>
      <c r="U7476"/>
    </row>
    <row r="7477" spans="1:21">
      <c r="A7477"/>
      <c r="C7477"/>
      <c r="D7477"/>
      <c r="L7477"/>
      <c r="R7477"/>
      <c r="S7477"/>
      <c r="T7477"/>
      <c r="U7477"/>
    </row>
    <row r="7478" spans="1:21">
      <c r="A7478"/>
      <c r="C7478"/>
      <c r="D7478"/>
      <c r="L7478"/>
      <c r="R7478"/>
      <c r="S7478"/>
      <c r="T7478"/>
      <c r="U7478"/>
    </row>
    <row r="7479" spans="1:21">
      <c r="A7479"/>
      <c r="C7479"/>
      <c r="D7479"/>
      <c r="L7479"/>
      <c r="R7479"/>
      <c r="S7479"/>
      <c r="T7479"/>
      <c r="U7479"/>
    </row>
    <row r="7480" spans="1:21">
      <c r="A7480"/>
      <c r="C7480"/>
      <c r="D7480"/>
      <c r="L7480"/>
      <c r="R7480"/>
      <c r="S7480"/>
      <c r="T7480"/>
      <c r="U7480"/>
    </row>
    <row r="7481" spans="1:21">
      <c r="A7481"/>
      <c r="C7481"/>
      <c r="D7481"/>
      <c r="L7481"/>
      <c r="R7481"/>
      <c r="S7481"/>
      <c r="T7481"/>
      <c r="U7481"/>
    </row>
    <row r="7482" spans="1:21">
      <c r="A7482"/>
      <c r="C7482"/>
      <c r="D7482"/>
      <c r="L7482"/>
      <c r="R7482"/>
      <c r="S7482"/>
      <c r="T7482"/>
      <c r="U7482"/>
    </row>
    <row r="7483" spans="1:21">
      <c r="A7483"/>
      <c r="C7483"/>
      <c r="D7483"/>
      <c r="L7483"/>
      <c r="R7483"/>
      <c r="S7483"/>
      <c r="T7483"/>
      <c r="U7483"/>
    </row>
    <row r="7484" spans="1:21">
      <c r="A7484"/>
      <c r="C7484"/>
      <c r="D7484"/>
      <c r="L7484"/>
      <c r="R7484"/>
      <c r="S7484"/>
      <c r="T7484"/>
      <c r="U7484"/>
    </row>
    <row r="7485" spans="1:21">
      <c r="A7485"/>
      <c r="C7485"/>
      <c r="D7485"/>
      <c r="L7485"/>
      <c r="R7485"/>
      <c r="S7485"/>
      <c r="T7485"/>
      <c r="U7485"/>
    </row>
    <row r="7486" spans="1:21">
      <c r="A7486"/>
      <c r="C7486"/>
      <c r="D7486"/>
      <c r="L7486"/>
      <c r="R7486"/>
      <c r="S7486"/>
      <c r="T7486"/>
      <c r="U7486"/>
    </row>
    <row r="7487" spans="1:21">
      <c r="A7487"/>
      <c r="C7487"/>
      <c r="D7487"/>
      <c r="L7487"/>
      <c r="R7487"/>
      <c r="S7487"/>
      <c r="T7487"/>
      <c r="U7487"/>
    </row>
    <row r="7488" spans="1:21">
      <c r="A7488"/>
      <c r="C7488"/>
      <c r="D7488"/>
      <c r="L7488"/>
      <c r="R7488"/>
      <c r="S7488"/>
      <c r="T7488"/>
      <c r="U7488"/>
    </row>
    <row r="7489" spans="1:21">
      <c r="A7489"/>
      <c r="C7489"/>
      <c r="D7489"/>
      <c r="L7489"/>
      <c r="R7489"/>
      <c r="S7489"/>
      <c r="T7489"/>
      <c r="U7489"/>
    </row>
    <row r="7490" spans="1:21">
      <c r="A7490"/>
      <c r="C7490"/>
      <c r="D7490"/>
      <c r="L7490"/>
      <c r="R7490"/>
      <c r="S7490"/>
      <c r="T7490"/>
      <c r="U7490"/>
    </row>
    <row r="7491" spans="1:21">
      <c r="A7491"/>
      <c r="C7491"/>
      <c r="D7491"/>
      <c r="L7491"/>
      <c r="R7491"/>
      <c r="S7491"/>
      <c r="T7491"/>
      <c r="U7491"/>
    </row>
    <row r="7492" spans="1:21">
      <c r="A7492"/>
      <c r="C7492"/>
      <c r="D7492"/>
      <c r="L7492"/>
      <c r="R7492"/>
      <c r="S7492"/>
      <c r="T7492"/>
      <c r="U7492"/>
    </row>
    <row r="7493" spans="1:21">
      <c r="A7493"/>
      <c r="C7493"/>
      <c r="D7493"/>
      <c r="L7493"/>
      <c r="R7493"/>
      <c r="S7493"/>
      <c r="T7493"/>
      <c r="U7493"/>
    </row>
    <row r="7494" spans="1:21">
      <c r="A7494"/>
      <c r="C7494"/>
      <c r="D7494"/>
      <c r="L7494"/>
      <c r="R7494"/>
      <c r="S7494"/>
      <c r="T7494"/>
      <c r="U7494"/>
    </row>
    <row r="7495" spans="1:21">
      <c r="A7495"/>
      <c r="C7495"/>
      <c r="D7495"/>
      <c r="L7495"/>
      <c r="R7495"/>
      <c r="S7495"/>
      <c r="T7495"/>
      <c r="U7495"/>
    </row>
    <row r="7496" spans="1:21">
      <c r="A7496"/>
      <c r="C7496"/>
      <c r="D7496"/>
      <c r="L7496"/>
      <c r="R7496"/>
      <c r="S7496"/>
      <c r="T7496"/>
      <c r="U7496"/>
    </row>
    <row r="7497" spans="1:21">
      <c r="A7497"/>
      <c r="C7497"/>
      <c r="D7497"/>
      <c r="L7497"/>
      <c r="R7497"/>
      <c r="S7497"/>
      <c r="T7497"/>
      <c r="U7497"/>
    </row>
    <row r="7498" spans="1:21">
      <c r="A7498"/>
      <c r="C7498"/>
      <c r="D7498"/>
      <c r="L7498"/>
      <c r="R7498"/>
      <c r="S7498"/>
      <c r="T7498"/>
      <c r="U7498"/>
    </row>
    <row r="7499" spans="1:21">
      <c r="A7499"/>
      <c r="C7499"/>
      <c r="D7499"/>
      <c r="L7499"/>
      <c r="R7499"/>
      <c r="S7499"/>
      <c r="T7499"/>
      <c r="U7499"/>
    </row>
    <row r="7500" spans="1:21">
      <c r="A7500"/>
      <c r="C7500"/>
      <c r="D7500"/>
      <c r="L7500"/>
      <c r="R7500"/>
      <c r="S7500"/>
      <c r="T7500"/>
      <c r="U7500"/>
    </row>
    <row r="7501" spans="1:21">
      <c r="A7501"/>
      <c r="C7501"/>
      <c r="D7501"/>
      <c r="L7501"/>
      <c r="R7501"/>
      <c r="S7501"/>
      <c r="T7501"/>
      <c r="U7501"/>
    </row>
    <row r="7502" spans="1:21">
      <c r="A7502"/>
      <c r="C7502"/>
      <c r="D7502"/>
      <c r="L7502"/>
      <c r="R7502"/>
      <c r="S7502"/>
      <c r="T7502"/>
      <c r="U7502"/>
    </row>
    <row r="7503" spans="1:21">
      <c r="A7503"/>
      <c r="C7503"/>
      <c r="D7503"/>
      <c r="L7503"/>
      <c r="R7503"/>
      <c r="S7503"/>
      <c r="T7503"/>
      <c r="U7503"/>
    </row>
    <row r="7504" spans="1:21">
      <c r="A7504"/>
      <c r="C7504"/>
      <c r="D7504"/>
      <c r="L7504"/>
      <c r="R7504"/>
      <c r="S7504"/>
      <c r="T7504"/>
      <c r="U7504"/>
    </row>
    <row r="7505" spans="1:21">
      <c r="A7505"/>
      <c r="C7505"/>
      <c r="D7505"/>
      <c r="L7505"/>
      <c r="R7505"/>
      <c r="S7505"/>
      <c r="T7505"/>
      <c r="U7505"/>
    </row>
    <row r="7506" spans="1:21">
      <c r="A7506"/>
      <c r="C7506"/>
      <c r="D7506"/>
      <c r="L7506"/>
      <c r="R7506"/>
      <c r="S7506"/>
      <c r="T7506"/>
      <c r="U7506"/>
    </row>
    <row r="7507" spans="1:21">
      <c r="A7507"/>
      <c r="C7507"/>
      <c r="D7507"/>
      <c r="L7507"/>
      <c r="R7507"/>
      <c r="S7507"/>
      <c r="T7507"/>
      <c r="U7507"/>
    </row>
    <row r="7508" spans="1:21">
      <c r="A7508"/>
      <c r="C7508"/>
      <c r="D7508"/>
      <c r="L7508"/>
      <c r="R7508"/>
      <c r="S7508"/>
      <c r="T7508"/>
      <c r="U7508"/>
    </row>
    <row r="7509" spans="1:21">
      <c r="A7509"/>
      <c r="C7509"/>
      <c r="D7509"/>
      <c r="L7509"/>
      <c r="R7509"/>
      <c r="S7509"/>
      <c r="T7509"/>
      <c r="U7509"/>
    </row>
    <row r="7510" spans="1:21">
      <c r="A7510"/>
      <c r="C7510"/>
      <c r="D7510"/>
      <c r="L7510"/>
      <c r="R7510"/>
      <c r="S7510"/>
      <c r="T7510"/>
      <c r="U7510"/>
    </row>
    <row r="7511" spans="1:21">
      <c r="A7511"/>
      <c r="C7511"/>
      <c r="D7511"/>
      <c r="L7511"/>
      <c r="R7511"/>
      <c r="S7511"/>
      <c r="T7511"/>
      <c r="U7511"/>
    </row>
    <row r="7512" spans="1:21">
      <c r="A7512"/>
      <c r="C7512"/>
      <c r="D7512"/>
      <c r="L7512"/>
      <c r="R7512"/>
      <c r="S7512"/>
      <c r="T7512"/>
      <c r="U7512"/>
    </row>
    <row r="7513" spans="1:21">
      <c r="A7513"/>
      <c r="C7513"/>
      <c r="D7513"/>
      <c r="L7513"/>
      <c r="R7513"/>
      <c r="S7513"/>
      <c r="T7513"/>
      <c r="U7513"/>
    </row>
    <row r="7514" spans="1:21">
      <c r="A7514"/>
      <c r="C7514"/>
      <c r="D7514"/>
      <c r="L7514"/>
      <c r="R7514"/>
      <c r="S7514"/>
      <c r="T7514"/>
      <c r="U7514"/>
    </row>
    <row r="7515" spans="1:21">
      <c r="A7515"/>
      <c r="C7515"/>
      <c r="D7515"/>
      <c r="L7515"/>
      <c r="R7515"/>
      <c r="S7515"/>
      <c r="T7515"/>
      <c r="U7515"/>
    </row>
    <row r="7516" spans="1:21">
      <c r="A7516"/>
      <c r="C7516"/>
      <c r="D7516"/>
      <c r="L7516"/>
      <c r="R7516"/>
      <c r="S7516"/>
      <c r="T7516"/>
      <c r="U7516"/>
    </row>
    <row r="7517" spans="1:21">
      <c r="A7517"/>
      <c r="C7517"/>
      <c r="D7517"/>
      <c r="L7517"/>
      <c r="R7517"/>
      <c r="S7517"/>
      <c r="T7517"/>
      <c r="U7517"/>
    </row>
    <row r="7518" spans="1:21">
      <c r="A7518"/>
      <c r="C7518"/>
      <c r="D7518"/>
      <c r="L7518"/>
      <c r="R7518"/>
      <c r="S7518"/>
      <c r="T7518"/>
      <c r="U7518"/>
    </row>
    <row r="7519" spans="1:21">
      <c r="A7519"/>
      <c r="C7519"/>
      <c r="D7519"/>
      <c r="L7519"/>
      <c r="R7519"/>
      <c r="S7519"/>
      <c r="T7519"/>
      <c r="U7519"/>
    </row>
    <row r="7520" spans="1:21">
      <c r="A7520"/>
      <c r="C7520"/>
      <c r="D7520"/>
      <c r="L7520"/>
      <c r="R7520"/>
      <c r="S7520"/>
      <c r="T7520"/>
      <c r="U7520"/>
    </row>
    <row r="7521" spans="1:21">
      <c r="A7521"/>
      <c r="C7521"/>
      <c r="D7521"/>
      <c r="L7521"/>
      <c r="R7521"/>
      <c r="S7521"/>
      <c r="T7521"/>
      <c r="U7521"/>
    </row>
    <row r="7522" spans="1:21">
      <c r="A7522"/>
      <c r="C7522"/>
      <c r="D7522"/>
      <c r="L7522"/>
      <c r="R7522"/>
      <c r="S7522"/>
      <c r="T7522"/>
      <c r="U7522"/>
    </row>
    <row r="7523" spans="1:21">
      <c r="A7523"/>
      <c r="C7523"/>
      <c r="D7523"/>
      <c r="L7523"/>
      <c r="R7523"/>
      <c r="S7523"/>
      <c r="T7523"/>
      <c r="U7523"/>
    </row>
    <row r="7524" spans="1:21">
      <c r="A7524"/>
      <c r="C7524"/>
      <c r="D7524"/>
      <c r="L7524"/>
      <c r="R7524"/>
      <c r="S7524"/>
      <c r="T7524"/>
      <c r="U7524"/>
    </row>
    <row r="7525" spans="1:21">
      <c r="A7525"/>
      <c r="C7525"/>
      <c r="D7525"/>
      <c r="L7525"/>
      <c r="R7525"/>
      <c r="S7525"/>
      <c r="T7525"/>
      <c r="U7525"/>
    </row>
    <row r="7526" spans="1:21">
      <c r="A7526"/>
      <c r="C7526"/>
      <c r="D7526"/>
      <c r="L7526"/>
      <c r="R7526"/>
      <c r="S7526"/>
      <c r="T7526"/>
      <c r="U7526"/>
    </row>
    <row r="7527" spans="1:21">
      <c r="A7527"/>
      <c r="C7527"/>
      <c r="D7527"/>
      <c r="L7527"/>
      <c r="R7527"/>
      <c r="S7527"/>
      <c r="T7527"/>
      <c r="U7527"/>
    </row>
    <row r="7528" spans="1:21">
      <c r="A7528"/>
      <c r="C7528"/>
      <c r="D7528"/>
      <c r="L7528"/>
      <c r="R7528"/>
      <c r="S7528"/>
      <c r="T7528"/>
      <c r="U7528"/>
    </row>
    <row r="7529" spans="1:21">
      <c r="A7529"/>
      <c r="C7529"/>
      <c r="D7529"/>
      <c r="L7529"/>
      <c r="R7529"/>
      <c r="S7529"/>
      <c r="T7529"/>
      <c r="U7529"/>
    </row>
    <row r="7530" spans="1:21">
      <c r="A7530"/>
      <c r="C7530"/>
      <c r="D7530"/>
      <c r="L7530"/>
      <c r="R7530"/>
      <c r="S7530"/>
      <c r="T7530"/>
      <c r="U7530"/>
    </row>
    <row r="7531" spans="1:21">
      <c r="A7531"/>
      <c r="C7531"/>
      <c r="D7531"/>
      <c r="L7531"/>
      <c r="R7531"/>
      <c r="S7531"/>
      <c r="T7531"/>
      <c r="U7531"/>
    </row>
    <row r="7532" spans="1:21">
      <c r="A7532"/>
      <c r="C7532"/>
      <c r="D7532"/>
      <c r="L7532"/>
      <c r="R7532"/>
      <c r="S7532"/>
      <c r="T7532"/>
      <c r="U7532"/>
    </row>
    <row r="7533" spans="1:21">
      <c r="A7533"/>
      <c r="C7533"/>
      <c r="D7533"/>
      <c r="L7533"/>
      <c r="R7533"/>
      <c r="S7533"/>
      <c r="T7533"/>
      <c r="U7533"/>
    </row>
    <row r="7534" spans="1:21">
      <c r="A7534"/>
      <c r="C7534"/>
      <c r="D7534"/>
      <c r="L7534"/>
      <c r="R7534"/>
      <c r="S7534"/>
      <c r="T7534"/>
      <c r="U7534"/>
    </row>
    <row r="7535" spans="1:21">
      <c r="A7535"/>
      <c r="C7535"/>
      <c r="D7535"/>
      <c r="L7535"/>
      <c r="R7535"/>
      <c r="S7535"/>
      <c r="T7535"/>
      <c r="U7535"/>
    </row>
    <row r="7536" spans="1:21">
      <c r="A7536"/>
      <c r="C7536"/>
      <c r="D7536"/>
      <c r="L7536"/>
      <c r="R7536"/>
      <c r="S7536"/>
      <c r="T7536"/>
      <c r="U7536"/>
    </row>
    <row r="7537" spans="1:21">
      <c r="A7537"/>
      <c r="C7537"/>
      <c r="D7537"/>
      <c r="L7537"/>
      <c r="R7537"/>
      <c r="S7537"/>
      <c r="T7537"/>
      <c r="U7537"/>
    </row>
    <row r="7538" spans="1:21">
      <c r="A7538"/>
      <c r="C7538"/>
      <c r="D7538"/>
      <c r="L7538"/>
      <c r="R7538"/>
      <c r="S7538"/>
      <c r="T7538"/>
      <c r="U7538"/>
    </row>
    <row r="7539" spans="1:21">
      <c r="A7539"/>
      <c r="C7539"/>
      <c r="D7539"/>
      <c r="L7539"/>
      <c r="R7539"/>
      <c r="S7539"/>
      <c r="T7539"/>
      <c r="U7539"/>
    </row>
    <row r="7540" spans="1:21">
      <c r="A7540"/>
      <c r="C7540"/>
      <c r="D7540"/>
      <c r="L7540"/>
      <c r="R7540"/>
      <c r="S7540"/>
      <c r="T7540"/>
      <c r="U7540"/>
    </row>
    <row r="7541" spans="1:21">
      <c r="A7541"/>
      <c r="C7541"/>
      <c r="D7541"/>
      <c r="L7541"/>
      <c r="R7541"/>
      <c r="S7541"/>
      <c r="T7541"/>
      <c r="U7541"/>
    </row>
    <row r="7542" spans="1:21">
      <c r="A7542"/>
      <c r="C7542"/>
      <c r="D7542"/>
      <c r="L7542"/>
      <c r="R7542"/>
      <c r="S7542"/>
      <c r="T7542"/>
      <c r="U7542"/>
    </row>
    <row r="7543" spans="1:21">
      <c r="A7543"/>
      <c r="C7543"/>
      <c r="D7543"/>
      <c r="L7543"/>
      <c r="R7543"/>
      <c r="S7543"/>
      <c r="T7543"/>
      <c r="U7543"/>
    </row>
    <row r="7544" spans="1:21">
      <c r="A7544"/>
      <c r="C7544"/>
      <c r="D7544"/>
      <c r="L7544"/>
      <c r="R7544"/>
      <c r="S7544"/>
      <c r="T7544"/>
      <c r="U7544"/>
    </row>
    <row r="7545" spans="1:21">
      <c r="A7545"/>
      <c r="C7545"/>
      <c r="D7545"/>
      <c r="L7545"/>
      <c r="R7545"/>
      <c r="S7545"/>
      <c r="T7545"/>
      <c r="U7545"/>
    </row>
    <row r="7546" spans="1:21">
      <c r="A7546"/>
      <c r="C7546"/>
      <c r="D7546"/>
      <c r="L7546"/>
      <c r="R7546"/>
      <c r="S7546"/>
      <c r="T7546"/>
      <c r="U7546"/>
    </row>
    <row r="7547" spans="1:21">
      <c r="A7547"/>
      <c r="C7547"/>
      <c r="D7547"/>
      <c r="L7547"/>
      <c r="R7547"/>
      <c r="S7547"/>
      <c r="T7547"/>
      <c r="U7547"/>
    </row>
    <row r="7548" spans="1:21">
      <c r="A7548"/>
      <c r="C7548"/>
      <c r="D7548"/>
      <c r="L7548"/>
      <c r="R7548"/>
      <c r="S7548"/>
      <c r="T7548"/>
      <c r="U7548"/>
    </row>
    <row r="7549" spans="1:21">
      <c r="A7549"/>
      <c r="C7549"/>
      <c r="D7549"/>
      <c r="L7549"/>
      <c r="R7549"/>
      <c r="S7549"/>
      <c r="T7549"/>
      <c r="U7549"/>
    </row>
    <row r="7550" spans="1:21">
      <c r="A7550"/>
      <c r="C7550"/>
      <c r="D7550"/>
      <c r="L7550"/>
      <c r="R7550"/>
      <c r="S7550"/>
      <c r="T7550"/>
      <c r="U7550"/>
    </row>
    <row r="7551" spans="1:21">
      <c r="A7551"/>
      <c r="C7551"/>
      <c r="D7551"/>
      <c r="L7551"/>
      <c r="R7551"/>
      <c r="S7551"/>
      <c r="T7551"/>
      <c r="U7551"/>
    </row>
    <row r="7552" spans="1:21">
      <c r="A7552"/>
      <c r="C7552"/>
      <c r="D7552"/>
      <c r="L7552"/>
      <c r="R7552"/>
      <c r="S7552"/>
      <c r="T7552"/>
      <c r="U7552"/>
    </row>
    <row r="7553" spans="1:21">
      <c r="A7553"/>
      <c r="C7553"/>
      <c r="D7553"/>
      <c r="L7553"/>
      <c r="R7553"/>
      <c r="S7553"/>
      <c r="T7553"/>
      <c r="U7553"/>
    </row>
    <row r="7554" spans="1:21">
      <c r="A7554"/>
      <c r="C7554"/>
      <c r="D7554"/>
      <c r="L7554"/>
      <c r="R7554"/>
      <c r="S7554"/>
      <c r="T7554"/>
      <c r="U7554"/>
    </row>
    <row r="7555" spans="1:21">
      <c r="A7555"/>
      <c r="C7555"/>
      <c r="D7555"/>
      <c r="L7555"/>
      <c r="R7555"/>
      <c r="S7555"/>
      <c r="T7555"/>
      <c r="U7555"/>
    </row>
    <row r="7556" spans="1:21">
      <c r="A7556"/>
      <c r="C7556"/>
      <c r="D7556"/>
      <c r="L7556"/>
      <c r="R7556"/>
      <c r="S7556"/>
      <c r="T7556"/>
      <c r="U7556"/>
    </row>
    <row r="7557" spans="1:21">
      <c r="A7557"/>
      <c r="C7557"/>
      <c r="D7557"/>
      <c r="L7557"/>
      <c r="R7557"/>
      <c r="S7557"/>
      <c r="T7557"/>
      <c r="U7557"/>
    </row>
    <row r="7558" spans="1:21">
      <c r="A7558"/>
      <c r="C7558"/>
      <c r="D7558"/>
      <c r="L7558"/>
      <c r="R7558"/>
      <c r="S7558"/>
      <c r="T7558"/>
      <c r="U7558"/>
    </row>
    <row r="7559" spans="1:21">
      <c r="A7559"/>
      <c r="C7559"/>
      <c r="D7559"/>
      <c r="L7559"/>
      <c r="R7559"/>
      <c r="S7559"/>
      <c r="T7559"/>
      <c r="U7559"/>
    </row>
    <row r="7560" spans="1:21">
      <c r="A7560"/>
      <c r="C7560"/>
      <c r="D7560"/>
      <c r="L7560"/>
      <c r="R7560"/>
      <c r="S7560"/>
      <c r="T7560"/>
      <c r="U7560"/>
    </row>
    <row r="7561" spans="1:21">
      <c r="A7561"/>
      <c r="C7561"/>
      <c r="D7561"/>
      <c r="L7561"/>
      <c r="R7561"/>
      <c r="S7561"/>
      <c r="T7561"/>
      <c r="U7561"/>
    </row>
    <row r="7562" spans="1:21">
      <c r="A7562"/>
      <c r="C7562"/>
      <c r="D7562"/>
      <c r="L7562"/>
      <c r="R7562"/>
      <c r="S7562"/>
      <c r="T7562"/>
      <c r="U7562"/>
    </row>
    <row r="7563" spans="1:21">
      <c r="A7563"/>
      <c r="C7563"/>
      <c r="D7563"/>
      <c r="L7563"/>
      <c r="R7563"/>
      <c r="S7563"/>
      <c r="T7563"/>
      <c r="U7563"/>
    </row>
    <row r="7564" spans="1:21">
      <c r="A7564"/>
      <c r="C7564"/>
      <c r="D7564"/>
      <c r="L7564"/>
      <c r="R7564"/>
      <c r="S7564"/>
      <c r="T7564"/>
      <c r="U7564"/>
    </row>
    <row r="7565" spans="1:21">
      <c r="A7565"/>
      <c r="C7565"/>
      <c r="D7565"/>
      <c r="L7565"/>
      <c r="R7565"/>
      <c r="S7565"/>
      <c r="T7565"/>
      <c r="U7565"/>
    </row>
    <row r="7566" spans="1:21">
      <c r="A7566"/>
      <c r="C7566"/>
      <c r="D7566"/>
      <c r="L7566"/>
      <c r="R7566"/>
      <c r="S7566"/>
      <c r="T7566"/>
      <c r="U7566"/>
    </row>
    <row r="7567" spans="1:21">
      <c r="A7567"/>
      <c r="C7567"/>
      <c r="D7567"/>
      <c r="L7567"/>
      <c r="R7567"/>
      <c r="S7567"/>
      <c r="T7567"/>
      <c r="U7567"/>
    </row>
    <row r="7568" spans="1:21">
      <c r="A7568"/>
      <c r="C7568"/>
      <c r="D7568"/>
      <c r="L7568"/>
      <c r="R7568"/>
      <c r="S7568"/>
      <c r="T7568"/>
      <c r="U7568"/>
    </row>
    <row r="7569" spans="1:21">
      <c r="A7569"/>
      <c r="C7569"/>
      <c r="D7569"/>
      <c r="L7569"/>
      <c r="R7569"/>
      <c r="S7569"/>
      <c r="T7569"/>
      <c r="U7569"/>
    </row>
    <row r="7570" spans="1:21">
      <c r="A7570"/>
      <c r="C7570"/>
      <c r="D7570"/>
      <c r="L7570"/>
      <c r="R7570"/>
      <c r="S7570"/>
      <c r="T7570"/>
      <c r="U7570"/>
    </row>
    <row r="7571" spans="1:21">
      <c r="A7571"/>
      <c r="C7571"/>
      <c r="D7571"/>
      <c r="L7571"/>
      <c r="R7571"/>
      <c r="S7571"/>
      <c r="T7571"/>
      <c r="U7571"/>
    </row>
    <row r="7572" spans="1:21">
      <c r="A7572"/>
      <c r="C7572"/>
      <c r="D7572"/>
      <c r="L7572"/>
      <c r="R7572"/>
      <c r="S7572"/>
      <c r="T7572"/>
      <c r="U7572"/>
    </row>
    <row r="7573" spans="1:21">
      <c r="A7573"/>
      <c r="C7573"/>
      <c r="D7573"/>
      <c r="L7573"/>
      <c r="R7573"/>
      <c r="S7573"/>
      <c r="T7573"/>
      <c r="U7573"/>
    </row>
    <row r="7574" spans="1:21">
      <c r="A7574"/>
      <c r="C7574"/>
      <c r="D7574"/>
      <c r="L7574"/>
      <c r="R7574"/>
      <c r="S7574"/>
      <c r="T7574"/>
      <c r="U7574"/>
    </row>
    <row r="7575" spans="1:21">
      <c r="A7575"/>
      <c r="C7575"/>
      <c r="D7575"/>
      <c r="L7575"/>
      <c r="R7575"/>
      <c r="S7575"/>
      <c r="T7575"/>
      <c r="U7575"/>
    </row>
    <row r="7576" spans="1:21">
      <c r="A7576"/>
      <c r="C7576"/>
      <c r="D7576"/>
      <c r="L7576"/>
      <c r="R7576"/>
      <c r="S7576"/>
      <c r="T7576"/>
      <c r="U7576"/>
    </row>
    <row r="7577" spans="1:21">
      <c r="A7577"/>
      <c r="C7577"/>
      <c r="D7577"/>
      <c r="L7577"/>
      <c r="R7577"/>
      <c r="S7577"/>
      <c r="T7577"/>
      <c r="U7577"/>
    </row>
    <row r="7578" spans="1:21">
      <c r="A7578"/>
      <c r="C7578"/>
      <c r="D7578"/>
      <c r="L7578"/>
      <c r="R7578"/>
      <c r="S7578"/>
      <c r="T7578"/>
      <c r="U7578"/>
    </row>
    <row r="7579" spans="1:21">
      <c r="A7579"/>
      <c r="C7579"/>
      <c r="D7579"/>
      <c r="L7579"/>
      <c r="R7579"/>
      <c r="S7579"/>
      <c r="T7579"/>
      <c r="U7579"/>
    </row>
    <row r="7580" spans="1:21">
      <c r="A7580"/>
      <c r="C7580"/>
      <c r="D7580"/>
      <c r="L7580"/>
      <c r="R7580"/>
      <c r="S7580"/>
      <c r="T7580"/>
      <c r="U7580"/>
    </row>
    <row r="7581" spans="1:21">
      <c r="A7581"/>
      <c r="C7581"/>
      <c r="D7581"/>
      <c r="L7581"/>
      <c r="R7581"/>
      <c r="S7581"/>
      <c r="T7581"/>
      <c r="U7581"/>
    </row>
    <row r="7582" spans="1:21">
      <c r="A7582"/>
      <c r="C7582"/>
      <c r="D7582"/>
      <c r="L7582"/>
      <c r="R7582"/>
      <c r="S7582"/>
      <c r="T7582"/>
      <c r="U7582"/>
    </row>
    <row r="7583" spans="1:21">
      <c r="A7583"/>
      <c r="C7583"/>
      <c r="D7583"/>
      <c r="L7583"/>
      <c r="R7583"/>
      <c r="S7583"/>
      <c r="T7583"/>
      <c r="U7583"/>
    </row>
    <row r="7584" spans="1:21">
      <c r="A7584"/>
      <c r="C7584"/>
      <c r="D7584"/>
      <c r="L7584"/>
      <c r="R7584"/>
      <c r="S7584"/>
      <c r="T7584"/>
      <c r="U7584"/>
    </row>
    <row r="7585" spans="1:21">
      <c r="A7585"/>
      <c r="C7585"/>
      <c r="D7585"/>
      <c r="L7585"/>
      <c r="R7585"/>
      <c r="S7585"/>
      <c r="T7585"/>
      <c r="U7585"/>
    </row>
    <row r="7586" spans="1:21">
      <c r="A7586"/>
      <c r="C7586"/>
      <c r="D7586"/>
      <c r="L7586"/>
      <c r="R7586"/>
      <c r="S7586"/>
      <c r="T7586"/>
      <c r="U7586"/>
    </row>
    <row r="7587" spans="1:21">
      <c r="A7587"/>
      <c r="C7587"/>
      <c r="D7587"/>
      <c r="L7587"/>
      <c r="R7587"/>
      <c r="S7587"/>
      <c r="T7587"/>
      <c r="U7587"/>
    </row>
    <row r="7588" spans="1:21">
      <c r="A7588"/>
      <c r="C7588"/>
      <c r="D7588"/>
      <c r="L7588"/>
      <c r="R7588"/>
      <c r="S7588"/>
      <c r="T7588"/>
      <c r="U7588"/>
    </row>
    <row r="7589" spans="1:21">
      <c r="A7589"/>
      <c r="C7589"/>
      <c r="D7589"/>
      <c r="L7589"/>
      <c r="R7589"/>
      <c r="S7589"/>
      <c r="T7589"/>
      <c r="U7589"/>
    </row>
    <row r="7590" spans="1:21">
      <c r="A7590"/>
      <c r="C7590"/>
      <c r="D7590"/>
      <c r="L7590"/>
      <c r="R7590"/>
      <c r="S7590"/>
      <c r="T7590"/>
      <c r="U7590"/>
    </row>
    <row r="7591" spans="1:21">
      <c r="A7591"/>
      <c r="C7591"/>
      <c r="D7591"/>
      <c r="L7591"/>
      <c r="R7591"/>
      <c r="S7591"/>
      <c r="T7591"/>
      <c r="U7591"/>
    </row>
    <row r="7592" spans="1:21">
      <c r="A7592"/>
      <c r="C7592"/>
      <c r="D7592"/>
      <c r="L7592"/>
      <c r="R7592"/>
      <c r="S7592"/>
      <c r="T7592"/>
      <c r="U7592"/>
    </row>
    <row r="7593" spans="1:21">
      <c r="A7593"/>
      <c r="C7593"/>
      <c r="D7593"/>
      <c r="L7593"/>
      <c r="R7593"/>
      <c r="S7593"/>
      <c r="T7593"/>
      <c r="U7593"/>
    </row>
    <row r="7594" spans="1:21">
      <c r="A7594"/>
      <c r="C7594"/>
      <c r="D7594"/>
      <c r="L7594"/>
      <c r="R7594"/>
      <c r="S7594"/>
      <c r="T7594"/>
      <c r="U7594"/>
    </row>
    <row r="7595" spans="1:21">
      <c r="A7595"/>
      <c r="C7595"/>
      <c r="D7595"/>
      <c r="L7595"/>
      <c r="R7595"/>
      <c r="S7595"/>
      <c r="T7595"/>
      <c r="U7595"/>
    </row>
    <row r="7596" spans="1:21">
      <c r="A7596"/>
      <c r="C7596"/>
      <c r="D7596"/>
      <c r="L7596"/>
      <c r="R7596"/>
      <c r="S7596"/>
      <c r="T7596"/>
      <c r="U7596"/>
    </row>
    <row r="7597" spans="1:21">
      <c r="A7597"/>
      <c r="C7597"/>
      <c r="D7597"/>
      <c r="L7597"/>
      <c r="R7597"/>
      <c r="S7597"/>
      <c r="T7597"/>
      <c r="U7597"/>
    </row>
    <row r="7598" spans="1:21">
      <c r="A7598"/>
      <c r="C7598"/>
      <c r="D7598"/>
      <c r="L7598"/>
      <c r="R7598"/>
      <c r="S7598"/>
      <c r="T7598"/>
      <c r="U7598"/>
    </row>
    <row r="7599" spans="1:21">
      <c r="A7599"/>
      <c r="C7599"/>
      <c r="D7599"/>
      <c r="L7599"/>
      <c r="R7599"/>
      <c r="S7599"/>
      <c r="T7599"/>
      <c r="U7599"/>
    </row>
    <row r="7600" spans="1:21">
      <c r="A7600"/>
      <c r="C7600"/>
      <c r="D7600"/>
      <c r="L7600"/>
      <c r="R7600"/>
      <c r="S7600"/>
      <c r="T7600"/>
      <c r="U7600"/>
    </row>
    <row r="7601" spans="1:21">
      <c r="A7601"/>
      <c r="C7601"/>
      <c r="D7601"/>
      <c r="L7601"/>
      <c r="R7601"/>
      <c r="S7601"/>
      <c r="T7601"/>
      <c r="U7601"/>
    </row>
    <row r="7602" spans="1:21">
      <c r="A7602"/>
      <c r="C7602"/>
      <c r="D7602"/>
      <c r="L7602"/>
      <c r="R7602"/>
      <c r="S7602"/>
      <c r="T7602"/>
      <c r="U7602"/>
    </row>
    <row r="7603" spans="1:21">
      <c r="A7603"/>
      <c r="C7603"/>
      <c r="D7603"/>
      <c r="L7603"/>
      <c r="R7603"/>
      <c r="S7603"/>
      <c r="T7603"/>
      <c r="U7603"/>
    </row>
    <row r="7604" spans="1:21">
      <c r="A7604"/>
      <c r="C7604"/>
      <c r="D7604"/>
      <c r="L7604"/>
      <c r="R7604"/>
      <c r="S7604"/>
      <c r="T7604"/>
      <c r="U7604"/>
    </row>
    <row r="7605" spans="1:21">
      <c r="A7605"/>
      <c r="C7605"/>
      <c r="D7605"/>
      <c r="L7605"/>
      <c r="R7605"/>
      <c r="S7605"/>
      <c r="T7605"/>
      <c r="U7605"/>
    </row>
    <row r="7606" spans="1:21">
      <c r="A7606"/>
      <c r="C7606"/>
      <c r="D7606"/>
      <c r="L7606"/>
      <c r="R7606"/>
      <c r="S7606"/>
      <c r="T7606"/>
      <c r="U7606"/>
    </row>
    <row r="7607" spans="1:21">
      <c r="A7607"/>
      <c r="C7607"/>
      <c r="D7607"/>
      <c r="L7607"/>
      <c r="R7607"/>
      <c r="S7607"/>
      <c r="T7607"/>
      <c r="U7607"/>
    </row>
    <row r="7608" spans="1:21">
      <c r="A7608"/>
      <c r="C7608"/>
      <c r="D7608"/>
      <c r="L7608"/>
      <c r="R7608"/>
      <c r="S7608"/>
      <c r="T7608"/>
      <c r="U7608"/>
    </row>
    <row r="7609" spans="1:21">
      <c r="A7609"/>
      <c r="C7609"/>
      <c r="D7609"/>
      <c r="L7609"/>
      <c r="R7609"/>
      <c r="S7609"/>
      <c r="T7609"/>
      <c r="U7609"/>
    </row>
    <row r="7610" spans="1:21">
      <c r="A7610"/>
      <c r="C7610"/>
      <c r="D7610"/>
      <c r="L7610"/>
      <c r="R7610"/>
      <c r="S7610"/>
      <c r="T7610"/>
      <c r="U7610"/>
    </row>
    <row r="7611" spans="1:21">
      <c r="A7611"/>
      <c r="C7611"/>
      <c r="D7611"/>
      <c r="L7611"/>
      <c r="R7611"/>
      <c r="S7611"/>
      <c r="T7611"/>
      <c r="U7611"/>
    </row>
    <row r="7612" spans="1:21">
      <c r="A7612"/>
      <c r="C7612"/>
      <c r="D7612"/>
      <c r="L7612"/>
      <c r="R7612"/>
      <c r="S7612"/>
      <c r="T7612"/>
      <c r="U7612"/>
    </row>
    <row r="7613" spans="1:21">
      <c r="A7613"/>
      <c r="C7613"/>
      <c r="D7613"/>
      <c r="L7613"/>
      <c r="R7613"/>
      <c r="S7613"/>
      <c r="T7613"/>
      <c r="U7613"/>
    </row>
    <row r="7614" spans="1:21">
      <c r="A7614"/>
      <c r="C7614"/>
      <c r="D7614"/>
      <c r="L7614"/>
      <c r="R7614"/>
      <c r="S7614"/>
      <c r="T7614"/>
      <c r="U7614"/>
    </row>
    <row r="7615" spans="1:21">
      <c r="A7615"/>
      <c r="C7615"/>
      <c r="D7615"/>
      <c r="L7615"/>
      <c r="R7615"/>
      <c r="S7615"/>
      <c r="T7615"/>
      <c r="U7615"/>
    </row>
    <row r="7616" spans="1:21">
      <c r="A7616"/>
      <c r="C7616"/>
      <c r="D7616"/>
      <c r="L7616"/>
      <c r="R7616"/>
      <c r="S7616"/>
      <c r="T7616"/>
      <c r="U7616"/>
    </row>
    <row r="7617" spans="1:21">
      <c r="A7617"/>
      <c r="C7617"/>
      <c r="D7617"/>
      <c r="L7617"/>
      <c r="R7617"/>
      <c r="S7617"/>
      <c r="T7617"/>
      <c r="U7617"/>
    </row>
    <row r="7618" spans="1:21">
      <c r="A7618"/>
      <c r="C7618"/>
      <c r="D7618"/>
      <c r="L7618"/>
      <c r="R7618"/>
      <c r="S7618"/>
      <c r="T7618"/>
      <c r="U7618"/>
    </row>
    <row r="7619" spans="1:21">
      <c r="A7619"/>
      <c r="C7619"/>
      <c r="D7619"/>
      <c r="L7619"/>
      <c r="R7619"/>
      <c r="S7619"/>
      <c r="T7619"/>
      <c r="U7619"/>
    </row>
    <row r="7620" spans="1:21">
      <c r="A7620"/>
      <c r="C7620"/>
      <c r="D7620"/>
      <c r="L7620"/>
      <c r="R7620"/>
      <c r="S7620"/>
      <c r="T7620"/>
      <c r="U7620"/>
    </row>
    <row r="7621" spans="1:21">
      <c r="A7621"/>
      <c r="C7621"/>
      <c r="D7621"/>
      <c r="L7621"/>
      <c r="R7621"/>
      <c r="S7621"/>
      <c r="T7621"/>
      <c r="U7621"/>
    </row>
    <row r="7622" spans="1:21">
      <c r="A7622"/>
      <c r="C7622"/>
      <c r="D7622"/>
      <c r="L7622"/>
      <c r="R7622"/>
      <c r="S7622"/>
      <c r="T7622"/>
      <c r="U7622"/>
    </row>
    <row r="7623" spans="1:21">
      <c r="A7623"/>
      <c r="C7623"/>
      <c r="D7623"/>
      <c r="L7623"/>
      <c r="R7623"/>
      <c r="S7623"/>
      <c r="T7623"/>
      <c r="U7623"/>
    </row>
    <row r="7624" spans="1:21">
      <c r="A7624"/>
      <c r="C7624"/>
      <c r="D7624"/>
      <c r="L7624"/>
      <c r="R7624"/>
      <c r="S7624"/>
      <c r="T7624"/>
      <c r="U7624"/>
    </row>
    <row r="7625" spans="1:21">
      <c r="A7625"/>
      <c r="C7625"/>
      <c r="D7625"/>
      <c r="L7625"/>
      <c r="R7625"/>
      <c r="S7625"/>
      <c r="T7625"/>
      <c r="U7625"/>
    </row>
    <row r="7626" spans="1:21">
      <c r="A7626"/>
      <c r="C7626"/>
      <c r="D7626"/>
      <c r="L7626"/>
      <c r="R7626"/>
      <c r="S7626"/>
      <c r="T7626"/>
      <c r="U7626"/>
    </row>
    <row r="7627" spans="1:21">
      <c r="A7627"/>
      <c r="C7627"/>
      <c r="D7627"/>
      <c r="L7627"/>
      <c r="R7627"/>
      <c r="S7627"/>
      <c r="T7627"/>
      <c r="U7627"/>
    </row>
    <row r="7628" spans="1:21">
      <c r="A7628"/>
      <c r="C7628"/>
      <c r="D7628"/>
      <c r="L7628"/>
      <c r="R7628"/>
      <c r="S7628"/>
      <c r="T7628"/>
      <c r="U7628"/>
    </row>
    <row r="7629" spans="1:21">
      <c r="A7629"/>
      <c r="C7629"/>
      <c r="D7629"/>
      <c r="L7629"/>
      <c r="R7629"/>
      <c r="S7629"/>
      <c r="T7629"/>
      <c r="U7629"/>
    </row>
    <row r="7630" spans="1:21">
      <c r="A7630"/>
      <c r="C7630"/>
      <c r="D7630"/>
      <c r="L7630"/>
      <c r="R7630"/>
      <c r="S7630"/>
      <c r="T7630"/>
      <c r="U7630"/>
    </row>
    <row r="7631" spans="1:21">
      <c r="A7631"/>
      <c r="C7631"/>
      <c r="D7631"/>
      <c r="L7631"/>
      <c r="R7631"/>
      <c r="S7631"/>
      <c r="T7631"/>
      <c r="U7631"/>
    </row>
    <row r="7632" spans="1:21">
      <c r="A7632"/>
      <c r="C7632"/>
      <c r="D7632"/>
      <c r="L7632"/>
      <c r="R7632"/>
      <c r="S7632"/>
      <c r="T7632"/>
      <c r="U7632"/>
    </row>
    <row r="7633" spans="1:21">
      <c r="A7633"/>
      <c r="C7633"/>
      <c r="D7633"/>
      <c r="L7633"/>
      <c r="R7633"/>
      <c r="S7633"/>
      <c r="T7633"/>
      <c r="U7633"/>
    </row>
    <row r="7634" spans="1:21">
      <c r="A7634"/>
      <c r="C7634"/>
      <c r="D7634"/>
      <c r="L7634"/>
      <c r="R7634"/>
      <c r="S7634"/>
      <c r="T7634"/>
      <c r="U7634"/>
    </row>
    <row r="7635" spans="1:21">
      <c r="A7635"/>
      <c r="C7635"/>
      <c r="D7635"/>
      <c r="L7635"/>
      <c r="R7635"/>
      <c r="S7635"/>
      <c r="T7635"/>
      <c r="U7635"/>
    </row>
    <row r="7636" spans="1:21">
      <c r="A7636"/>
      <c r="C7636"/>
      <c r="D7636"/>
      <c r="L7636"/>
      <c r="R7636"/>
      <c r="S7636"/>
      <c r="T7636"/>
      <c r="U7636"/>
    </row>
    <row r="7637" spans="1:21">
      <c r="A7637"/>
      <c r="C7637"/>
      <c r="D7637"/>
      <c r="L7637"/>
      <c r="R7637"/>
      <c r="S7637"/>
      <c r="T7637"/>
      <c r="U7637"/>
    </row>
    <row r="7638" spans="1:21">
      <c r="A7638"/>
      <c r="C7638"/>
      <c r="D7638"/>
      <c r="L7638"/>
      <c r="R7638"/>
      <c r="S7638"/>
      <c r="T7638"/>
      <c r="U7638"/>
    </row>
    <row r="7639" spans="1:21">
      <c r="A7639"/>
      <c r="C7639"/>
      <c r="D7639"/>
      <c r="L7639"/>
      <c r="R7639"/>
      <c r="S7639"/>
      <c r="T7639"/>
      <c r="U7639"/>
    </row>
    <row r="7640" spans="1:21">
      <c r="A7640"/>
      <c r="C7640"/>
      <c r="D7640"/>
      <c r="L7640"/>
      <c r="R7640"/>
      <c r="S7640"/>
      <c r="T7640"/>
      <c r="U7640"/>
    </row>
    <row r="7641" spans="1:21">
      <c r="A7641"/>
      <c r="C7641"/>
      <c r="D7641"/>
      <c r="L7641"/>
      <c r="R7641"/>
      <c r="S7641"/>
      <c r="T7641"/>
      <c r="U7641"/>
    </row>
    <row r="7642" spans="1:21">
      <c r="A7642"/>
      <c r="C7642"/>
      <c r="D7642"/>
      <c r="L7642"/>
      <c r="R7642"/>
      <c r="S7642"/>
      <c r="T7642"/>
      <c r="U7642"/>
    </row>
    <row r="7643" spans="1:21">
      <c r="A7643"/>
      <c r="C7643"/>
      <c r="D7643"/>
      <c r="L7643"/>
      <c r="R7643"/>
      <c r="S7643"/>
      <c r="T7643"/>
      <c r="U7643"/>
    </row>
    <row r="7644" spans="1:21">
      <c r="A7644"/>
      <c r="C7644"/>
      <c r="D7644"/>
      <c r="L7644"/>
      <c r="R7644"/>
      <c r="S7644"/>
      <c r="T7644"/>
      <c r="U7644"/>
    </row>
    <row r="7645" spans="1:21">
      <c r="A7645"/>
      <c r="C7645"/>
      <c r="D7645"/>
      <c r="L7645"/>
      <c r="R7645"/>
      <c r="S7645"/>
      <c r="T7645"/>
      <c r="U7645"/>
    </row>
    <row r="7646" spans="1:21">
      <c r="A7646"/>
      <c r="C7646"/>
      <c r="D7646"/>
      <c r="L7646"/>
      <c r="R7646"/>
      <c r="S7646"/>
      <c r="T7646"/>
      <c r="U7646"/>
    </row>
    <row r="7647" spans="1:21">
      <c r="A7647"/>
      <c r="C7647"/>
      <c r="D7647"/>
      <c r="L7647"/>
      <c r="R7647"/>
      <c r="S7647"/>
      <c r="T7647"/>
      <c r="U7647"/>
    </row>
    <row r="7648" spans="1:21">
      <c r="A7648"/>
      <c r="C7648"/>
      <c r="D7648"/>
      <c r="L7648"/>
      <c r="R7648"/>
      <c r="S7648"/>
      <c r="T7648"/>
      <c r="U7648"/>
    </row>
    <row r="7649" spans="1:21">
      <c r="A7649"/>
      <c r="C7649"/>
      <c r="D7649"/>
      <c r="L7649"/>
      <c r="R7649"/>
      <c r="S7649"/>
      <c r="T7649"/>
      <c r="U7649"/>
    </row>
    <row r="7650" spans="1:21">
      <c r="A7650"/>
      <c r="C7650"/>
      <c r="D7650"/>
      <c r="L7650"/>
      <c r="R7650"/>
      <c r="S7650"/>
      <c r="T7650"/>
      <c r="U7650"/>
    </row>
    <row r="7651" spans="1:21">
      <c r="A7651"/>
      <c r="C7651"/>
      <c r="D7651"/>
      <c r="L7651"/>
      <c r="R7651"/>
      <c r="S7651"/>
      <c r="T7651"/>
      <c r="U7651"/>
    </row>
    <row r="7652" spans="1:21">
      <c r="A7652"/>
      <c r="C7652"/>
      <c r="D7652"/>
      <c r="L7652"/>
      <c r="R7652"/>
      <c r="S7652"/>
      <c r="T7652"/>
      <c r="U7652"/>
    </row>
    <row r="7653" spans="1:21">
      <c r="A7653"/>
      <c r="C7653"/>
      <c r="D7653"/>
      <c r="L7653"/>
      <c r="R7653"/>
      <c r="S7653"/>
      <c r="T7653"/>
      <c r="U7653"/>
    </row>
    <row r="7654" spans="1:21">
      <c r="A7654"/>
      <c r="C7654"/>
      <c r="D7654"/>
      <c r="L7654"/>
      <c r="R7654"/>
      <c r="S7654"/>
      <c r="T7654"/>
      <c r="U7654"/>
    </row>
    <row r="7655" spans="1:21">
      <c r="A7655"/>
      <c r="C7655"/>
      <c r="D7655"/>
      <c r="L7655"/>
      <c r="R7655"/>
      <c r="S7655"/>
      <c r="T7655"/>
      <c r="U7655"/>
    </row>
    <row r="7656" spans="1:21">
      <c r="A7656"/>
      <c r="C7656"/>
      <c r="D7656"/>
      <c r="L7656"/>
      <c r="R7656"/>
      <c r="S7656"/>
      <c r="T7656"/>
      <c r="U7656"/>
    </row>
    <row r="7657" spans="1:21">
      <c r="A7657"/>
      <c r="C7657"/>
      <c r="D7657"/>
      <c r="L7657"/>
      <c r="R7657"/>
      <c r="S7657"/>
      <c r="T7657"/>
      <c r="U7657"/>
    </row>
    <row r="7658" spans="1:21">
      <c r="A7658"/>
      <c r="C7658"/>
      <c r="D7658"/>
      <c r="L7658"/>
      <c r="R7658"/>
      <c r="S7658"/>
      <c r="T7658"/>
      <c r="U7658"/>
    </row>
    <row r="7659" spans="1:21">
      <c r="A7659"/>
      <c r="C7659"/>
      <c r="D7659"/>
      <c r="L7659"/>
      <c r="R7659"/>
      <c r="S7659"/>
      <c r="T7659"/>
      <c r="U7659"/>
    </row>
    <row r="7660" spans="1:21">
      <c r="A7660"/>
      <c r="C7660"/>
      <c r="D7660"/>
      <c r="L7660"/>
      <c r="R7660"/>
      <c r="S7660"/>
      <c r="T7660"/>
      <c r="U7660"/>
    </row>
    <row r="7661" spans="1:21">
      <c r="A7661"/>
      <c r="C7661"/>
      <c r="D7661"/>
      <c r="L7661"/>
      <c r="R7661"/>
      <c r="S7661"/>
      <c r="T7661"/>
      <c r="U7661"/>
    </row>
    <row r="7662" spans="1:21">
      <c r="A7662"/>
      <c r="C7662"/>
      <c r="D7662"/>
      <c r="L7662"/>
      <c r="R7662"/>
      <c r="S7662"/>
      <c r="T7662"/>
      <c r="U7662"/>
    </row>
    <row r="7663" spans="1:21">
      <c r="A7663"/>
      <c r="C7663"/>
      <c r="D7663"/>
      <c r="L7663"/>
      <c r="R7663"/>
      <c r="S7663"/>
      <c r="T7663"/>
      <c r="U7663"/>
    </row>
    <row r="7664" spans="1:21">
      <c r="A7664"/>
      <c r="C7664"/>
      <c r="D7664"/>
      <c r="L7664"/>
      <c r="R7664"/>
      <c r="S7664"/>
      <c r="T7664"/>
      <c r="U7664"/>
    </row>
    <row r="7665" spans="1:21">
      <c r="A7665"/>
      <c r="C7665"/>
      <c r="D7665"/>
      <c r="L7665"/>
      <c r="R7665"/>
      <c r="S7665"/>
      <c r="T7665"/>
      <c r="U7665"/>
    </row>
    <row r="7666" spans="1:21">
      <c r="A7666"/>
      <c r="C7666"/>
      <c r="D7666"/>
      <c r="L7666"/>
      <c r="R7666"/>
      <c r="S7666"/>
      <c r="T7666"/>
      <c r="U7666"/>
    </row>
    <row r="7667" spans="1:21">
      <c r="A7667"/>
      <c r="C7667"/>
      <c r="D7667"/>
      <c r="L7667"/>
      <c r="R7667"/>
      <c r="S7667"/>
      <c r="T7667"/>
      <c r="U7667"/>
    </row>
    <row r="7668" spans="1:21">
      <c r="A7668"/>
      <c r="C7668"/>
      <c r="D7668"/>
      <c r="L7668"/>
      <c r="R7668"/>
      <c r="S7668"/>
      <c r="T7668"/>
      <c r="U7668"/>
    </row>
    <row r="7669" spans="1:21">
      <c r="A7669"/>
      <c r="C7669"/>
      <c r="D7669"/>
      <c r="L7669"/>
      <c r="R7669"/>
      <c r="S7669"/>
      <c r="T7669"/>
      <c r="U7669"/>
    </row>
    <row r="7670" spans="1:21">
      <c r="A7670"/>
      <c r="C7670"/>
      <c r="D7670"/>
      <c r="L7670"/>
      <c r="R7670"/>
      <c r="S7670"/>
      <c r="T7670"/>
      <c r="U7670"/>
    </row>
    <row r="7671" spans="1:21">
      <c r="A7671"/>
      <c r="C7671"/>
      <c r="D7671"/>
      <c r="L7671"/>
      <c r="R7671"/>
      <c r="S7671"/>
      <c r="T7671"/>
      <c r="U7671"/>
    </row>
    <row r="7672" spans="1:21">
      <c r="A7672"/>
      <c r="C7672"/>
      <c r="D7672"/>
      <c r="L7672"/>
      <c r="R7672"/>
      <c r="S7672"/>
      <c r="T7672"/>
      <c r="U7672"/>
    </row>
    <row r="7673" spans="1:21">
      <c r="A7673"/>
      <c r="C7673"/>
      <c r="D7673"/>
      <c r="L7673"/>
      <c r="R7673"/>
      <c r="S7673"/>
      <c r="T7673"/>
      <c r="U7673"/>
    </row>
    <row r="7674" spans="1:21">
      <c r="A7674"/>
      <c r="C7674"/>
      <c r="D7674"/>
      <c r="L7674"/>
      <c r="R7674"/>
      <c r="S7674"/>
      <c r="T7674"/>
      <c r="U7674"/>
    </row>
    <row r="7675" spans="1:21">
      <c r="A7675"/>
      <c r="C7675"/>
      <c r="D7675"/>
      <c r="L7675"/>
      <c r="R7675"/>
      <c r="S7675"/>
      <c r="T7675"/>
      <c r="U7675"/>
    </row>
    <row r="7676" spans="1:21">
      <c r="A7676"/>
      <c r="C7676"/>
      <c r="D7676"/>
      <c r="L7676"/>
      <c r="R7676"/>
      <c r="S7676"/>
      <c r="T7676"/>
      <c r="U7676"/>
    </row>
    <row r="7677" spans="1:21">
      <c r="A7677"/>
      <c r="C7677"/>
      <c r="D7677"/>
      <c r="L7677"/>
      <c r="R7677"/>
      <c r="S7677"/>
      <c r="T7677"/>
      <c r="U7677"/>
    </row>
    <row r="7678" spans="1:21">
      <c r="A7678"/>
      <c r="C7678"/>
      <c r="D7678"/>
      <c r="L7678"/>
      <c r="R7678"/>
      <c r="S7678"/>
      <c r="T7678"/>
      <c r="U7678"/>
    </row>
    <row r="7679" spans="1:21">
      <c r="A7679"/>
      <c r="C7679"/>
      <c r="D7679"/>
      <c r="L7679"/>
      <c r="R7679"/>
      <c r="S7679"/>
      <c r="T7679"/>
      <c r="U7679"/>
    </row>
    <row r="7680" spans="1:21">
      <c r="A7680"/>
      <c r="C7680"/>
      <c r="D7680"/>
      <c r="L7680"/>
      <c r="R7680"/>
      <c r="S7680"/>
      <c r="T7680"/>
      <c r="U7680"/>
    </row>
    <row r="7681" spans="1:21">
      <c r="A7681"/>
      <c r="C7681"/>
      <c r="D7681"/>
      <c r="L7681"/>
      <c r="R7681"/>
      <c r="S7681"/>
      <c r="T7681"/>
      <c r="U7681"/>
    </row>
    <row r="7682" spans="1:21">
      <c r="A7682"/>
      <c r="C7682"/>
      <c r="D7682"/>
      <c r="L7682"/>
      <c r="R7682"/>
      <c r="S7682"/>
      <c r="T7682"/>
      <c r="U7682"/>
    </row>
    <row r="7683" spans="1:21">
      <c r="A7683"/>
      <c r="C7683"/>
      <c r="D7683"/>
      <c r="L7683"/>
      <c r="R7683"/>
      <c r="S7683"/>
      <c r="T7683"/>
      <c r="U7683"/>
    </row>
    <row r="7684" spans="1:21">
      <c r="A7684"/>
      <c r="C7684"/>
      <c r="D7684"/>
      <c r="L7684"/>
      <c r="R7684"/>
      <c r="S7684"/>
      <c r="T7684"/>
      <c r="U7684"/>
    </row>
    <row r="7685" spans="1:21">
      <c r="A7685"/>
      <c r="C7685"/>
      <c r="D7685"/>
      <c r="L7685"/>
      <c r="R7685"/>
      <c r="S7685"/>
      <c r="T7685"/>
      <c r="U7685"/>
    </row>
    <row r="7686" spans="1:21">
      <c r="A7686"/>
      <c r="C7686"/>
      <c r="D7686"/>
      <c r="L7686"/>
      <c r="R7686"/>
      <c r="S7686"/>
      <c r="T7686"/>
      <c r="U7686"/>
    </row>
    <row r="7687" spans="1:21">
      <c r="A7687"/>
      <c r="C7687"/>
      <c r="D7687"/>
      <c r="L7687"/>
      <c r="R7687"/>
      <c r="S7687"/>
      <c r="T7687"/>
      <c r="U7687"/>
    </row>
    <row r="7688" spans="1:21">
      <c r="A7688"/>
      <c r="C7688"/>
      <c r="D7688"/>
      <c r="L7688"/>
      <c r="R7688"/>
      <c r="S7688"/>
      <c r="T7688"/>
      <c r="U7688"/>
    </row>
    <row r="7689" spans="1:21">
      <c r="A7689"/>
      <c r="C7689"/>
      <c r="D7689"/>
      <c r="L7689"/>
      <c r="R7689"/>
      <c r="S7689"/>
      <c r="T7689"/>
      <c r="U7689"/>
    </row>
    <row r="7690" spans="1:21">
      <c r="A7690"/>
      <c r="C7690"/>
      <c r="D7690"/>
      <c r="L7690"/>
      <c r="R7690"/>
      <c r="S7690"/>
      <c r="T7690"/>
      <c r="U7690"/>
    </row>
    <row r="7691" spans="1:21">
      <c r="A7691"/>
      <c r="C7691"/>
      <c r="D7691"/>
      <c r="L7691"/>
      <c r="R7691"/>
      <c r="S7691"/>
      <c r="T7691"/>
      <c r="U7691"/>
    </row>
    <row r="7692" spans="1:21">
      <c r="A7692"/>
      <c r="C7692"/>
      <c r="D7692"/>
      <c r="L7692"/>
      <c r="R7692"/>
      <c r="S7692"/>
      <c r="T7692"/>
      <c r="U7692"/>
    </row>
    <row r="7693" spans="1:21">
      <c r="A7693"/>
      <c r="C7693"/>
      <c r="D7693"/>
      <c r="L7693"/>
      <c r="R7693"/>
      <c r="S7693"/>
      <c r="T7693"/>
      <c r="U7693"/>
    </row>
    <row r="7694" spans="1:21">
      <c r="A7694"/>
      <c r="C7694"/>
      <c r="D7694"/>
      <c r="L7694"/>
      <c r="R7694"/>
      <c r="S7694"/>
      <c r="T7694"/>
      <c r="U7694"/>
    </row>
    <row r="7695" spans="1:21">
      <c r="A7695"/>
      <c r="C7695"/>
      <c r="D7695"/>
      <c r="L7695"/>
      <c r="R7695"/>
      <c r="S7695"/>
      <c r="T7695"/>
      <c r="U7695"/>
    </row>
    <row r="7696" spans="1:21">
      <c r="A7696"/>
      <c r="C7696"/>
      <c r="D7696"/>
      <c r="L7696"/>
      <c r="R7696"/>
      <c r="S7696"/>
      <c r="T7696"/>
      <c r="U7696"/>
    </row>
    <row r="7697" spans="1:21">
      <c r="A7697"/>
      <c r="C7697"/>
      <c r="D7697"/>
      <c r="L7697"/>
      <c r="R7697"/>
      <c r="S7697"/>
      <c r="T7697"/>
      <c r="U7697"/>
    </row>
    <row r="7698" spans="1:21">
      <c r="A7698"/>
      <c r="C7698"/>
      <c r="D7698"/>
      <c r="L7698"/>
      <c r="R7698"/>
      <c r="S7698"/>
      <c r="T7698"/>
      <c r="U7698"/>
    </row>
    <row r="7699" spans="1:21">
      <c r="A7699"/>
      <c r="C7699"/>
      <c r="D7699"/>
      <c r="L7699"/>
      <c r="R7699"/>
      <c r="S7699"/>
      <c r="T7699"/>
      <c r="U7699"/>
    </row>
    <row r="7700" spans="1:21">
      <c r="A7700"/>
      <c r="C7700"/>
      <c r="D7700"/>
      <c r="L7700"/>
      <c r="R7700"/>
      <c r="S7700"/>
      <c r="T7700"/>
      <c r="U7700"/>
    </row>
    <row r="7701" spans="1:21">
      <c r="A7701"/>
      <c r="C7701"/>
      <c r="D7701"/>
      <c r="L7701"/>
      <c r="R7701"/>
      <c r="S7701"/>
      <c r="T7701"/>
      <c r="U7701"/>
    </row>
    <row r="7702" spans="1:21">
      <c r="A7702"/>
      <c r="C7702"/>
      <c r="D7702"/>
      <c r="L7702"/>
      <c r="R7702"/>
      <c r="S7702"/>
      <c r="T7702"/>
      <c r="U7702"/>
    </row>
    <row r="7703" spans="1:21">
      <c r="A7703"/>
      <c r="C7703"/>
      <c r="D7703"/>
      <c r="L7703"/>
      <c r="R7703"/>
      <c r="S7703"/>
      <c r="T7703"/>
      <c r="U7703"/>
    </row>
    <row r="7704" spans="1:21">
      <c r="A7704"/>
      <c r="C7704"/>
      <c r="D7704"/>
      <c r="L7704"/>
      <c r="R7704"/>
      <c r="S7704"/>
      <c r="T7704"/>
      <c r="U7704"/>
    </row>
    <row r="7705" spans="1:21">
      <c r="A7705"/>
      <c r="C7705"/>
      <c r="D7705"/>
      <c r="L7705"/>
      <c r="R7705"/>
      <c r="S7705"/>
      <c r="T7705"/>
      <c r="U7705"/>
    </row>
    <row r="7706" spans="1:21">
      <c r="A7706"/>
      <c r="C7706"/>
      <c r="D7706"/>
      <c r="L7706"/>
      <c r="R7706"/>
      <c r="S7706"/>
      <c r="T7706"/>
      <c r="U7706"/>
    </row>
    <row r="7707" spans="1:21">
      <c r="A7707"/>
      <c r="C7707"/>
      <c r="D7707"/>
      <c r="L7707"/>
      <c r="R7707"/>
      <c r="S7707"/>
      <c r="T7707"/>
      <c r="U7707"/>
    </row>
    <row r="7708" spans="1:21">
      <c r="A7708"/>
      <c r="C7708"/>
      <c r="D7708"/>
      <c r="L7708"/>
      <c r="R7708"/>
      <c r="S7708"/>
      <c r="T7708"/>
      <c r="U7708"/>
    </row>
    <row r="7709" spans="1:21">
      <c r="A7709"/>
      <c r="C7709"/>
      <c r="D7709"/>
      <c r="L7709"/>
      <c r="R7709"/>
      <c r="S7709"/>
      <c r="T7709"/>
      <c r="U7709"/>
    </row>
    <row r="7710" spans="1:21">
      <c r="A7710"/>
      <c r="C7710"/>
      <c r="D7710"/>
      <c r="L7710"/>
      <c r="R7710"/>
      <c r="S7710"/>
      <c r="T7710"/>
      <c r="U7710"/>
    </row>
    <row r="7711" spans="1:21">
      <c r="A7711"/>
      <c r="C7711"/>
      <c r="D7711"/>
      <c r="L7711"/>
      <c r="R7711"/>
      <c r="S7711"/>
      <c r="T7711"/>
      <c r="U7711"/>
    </row>
    <row r="7712" spans="1:21">
      <c r="A7712"/>
      <c r="C7712"/>
      <c r="D7712"/>
      <c r="L7712"/>
      <c r="R7712"/>
      <c r="S7712"/>
      <c r="T7712"/>
      <c r="U7712"/>
    </row>
    <row r="7713" spans="1:21">
      <c r="A7713"/>
      <c r="C7713"/>
      <c r="D7713"/>
      <c r="L7713"/>
      <c r="R7713"/>
      <c r="S7713"/>
      <c r="T7713"/>
      <c r="U7713"/>
    </row>
    <row r="7714" spans="1:21">
      <c r="A7714"/>
      <c r="C7714"/>
      <c r="D7714"/>
      <c r="L7714"/>
      <c r="R7714"/>
      <c r="S7714"/>
      <c r="T7714"/>
      <c r="U7714"/>
    </row>
    <row r="7715" spans="1:21">
      <c r="A7715"/>
      <c r="C7715"/>
      <c r="D7715"/>
      <c r="L7715"/>
      <c r="R7715"/>
      <c r="S7715"/>
      <c r="T7715"/>
      <c r="U7715"/>
    </row>
    <row r="7716" spans="1:21">
      <c r="A7716"/>
      <c r="C7716"/>
      <c r="D7716"/>
      <c r="L7716"/>
      <c r="R7716"/>
      <c r="S7716"/>
      <c r="T7716"/>
      <c r="U7716"/>
    </row>
    <row r="7717" spans="1:21">
      <c r="A7717"/>
      <c r="C7717"/>
      <c r="D7717"/>
      <c r="L7717"/>
      <c r="R7717"/>
      <c r="S7717"/>
      <c r="T7717"/>
      <c r="U7717"/>
    </row>
    <row r="7718" spans="1:21">
      <c r="A7718"/>
      <c r="C7718"/>
      <c r="D7718"/>
      <c r="L7718"/>
      <c r="R7718"/>
      <c r="S7718"/>
      <c r="T7718"/>
      <c r="U7718"/>
    </row>
    <row r="7719" spans="1:21">
      <c r="A7719"/>
      <c r="C7719"/>
      <c r="D7719"/>
      <c r="L7719"/>
      <c r="R7719"/>
      <c r="S7719"/>
      <c r="T7719"/>
      <c r="U7719"/>
    </row>
    <row r="7720" spans="1:21">
      <c r="A7720"/>
      <c r="C7720"/>
      <c r="D7720"/>
      <c r="L7720"/>
      <c r="R7720"/>
      <c r="S7720"/>
      <c r="T7720"/>
      <c r="U7720"/>
    </row>
    <row r="7721" spans="1:21">
      <c r="A7721"/>
      <c r="C7721"/>
      <c r="D7721"/>
      <c r="L7721"/>
      <c r="R7721"/>
      <c r="S7721"/>
      <c r="T7721"/>
      <c r="U7721"/>
    </row>
    <row r="7722" spans="1:21">
      <c r="A7722"/>
      <c r="C7722"/>
      <c r="D7722"/>
      <c r="L7722"/>
      <c r="R7722"/>
      <c r="S7722"/>
      <c r="T7722"/>
      <c r="U7722"/>
    </row>
    <row r="7723" spans="1:21">
      <c r="A7723"/>
      <c r="C7723"/>
      <c r="D7723"/>
      <c r="L7723"/>
      <c r="R7723"/>
      <c r="S7723"/>
      <c r="T7723"/>
      <c r="U7723"/>
    </row>
    <row r="7724" spans="1:21">
      <c r="A7724"/>
      <c r="C7724"/>
      <c r="D7724"/>
      <c r="L7724"/>
      <c r="R7724"/>
      <c r="S7724"/>
      <c r="T7724"/>
      <c r="U7724"/>
    </row>
    <row r="7725" spans="1:21">
      <c r="A7725"/>
      <c r="C7725"/>
      <c r="D7725"/>
      <c r="L7725"/>
      <c r="R7725"/>
      <c r="S7725"/>
      <c r="T7725"/>
      <c r="U7725"/>
    </row>
    <row r="7726" spans="1:21">
      <c r="A7726"/>
      <c r="C7726"/>
      <c r="D7726"/>
      <c r="L7726"/>
      <c r="R7726"/>
      <c r="S7726"/>
      <c r="T7726"/>
      <c r="U7726"/>
    </row>
    <row r="7727" spans="1:21">
      <c r="A7727"/>
      <c r="C7727"/>
      <c r="D7727"/>
      <c r="L7727"/>
      <c r="R7727"/>
      <c r="S7727"/>
      <c r="T7727"/>
      <c r="U7727"/>
    </row>
    <row r="7728" spans="1:21">
      <c r="A7728"/>
      <c r="C7728"/>
      <c r="D7728"/>
      <c r="L7728"/>
      <c r="R7728"/>
      <c r="S7728"/>
      <c r="T7728"/>
      <c r="U7728"/>
    </row>
    <row r="7729" spans="1:21">
      <c r="A7729"/>
      <c r="C7729"/>
      <c r="D7729"/>
      <c r="L7729"/>
      <c r="R7729"/>
      <c r="S7729"/>
      <c r="T7729"/>
      <c r="U7729"/>
    </row>
    <row r="7730" spans="1:21">
      <c r="A7730"/>
      <c r="C7730"/>
      <c r="D7730"/>
      <c r="L7730"/>
      <c r="R7730"/>
      <c r="S7730"/>
      <c r="T7730"/>
      <c r="U7730"/>
    </row>
    <row r="7731" spans="1:21">
      <c r="A7731"/>
      <c r="C7731"/>
      <c r="D7731"/>
      <c r="L7731"/>
      <c r="R7731"/>
      <c r="S7731"/>
      <c r="T7731"/>
      <c r="U7731"/>
    </row>
    <row r="7732" spans="1:21">
      <c r="A7732"/>
      <c r="C7732"/>
      <c r="D7732"/>
      <c r="L7732"/>
      <c r="R7732"/>
      <c r="S7732"/>
      <c r="T7732"/>
      <c r="U7732"/>
    </row>
    <row r="7733" spans="1:21">
      <c r="A7733"/>
      <c r="C7733"/>
      <c r="D7733"/>
      <c r="L7733"/>
      <c r="R7733"/>
      <c r="S7733"/>
      <c r="T7733"/>
      <c r="U7733"/>
    </row>
    <row r="7734" spans="1:21">
      <c r="A7734"/>
      <c r="C7734"/>
      <c r="D7734"/>
      <c r="L7734"/>
      <c r="R7734"/>
      <c r="S7734"/>
      <c r="T7734"/>
      <c r="U7734"/>
    </row>
    <row r="7735" spans="1:21">
      <c r="A7735"/>
      <c r="C7735"/>
      <c r="D7735"/>
      <c r="L7735"/>
      <c r="R7735"/>
      <c r="S7735"/>
      <c r="T7735"/>
      <c r="U7735"/>
    </row>
    <row r="7736" spans="1:21">
      <c r="A7736"/>
      <c r="C7736"/>
      <c r="D7736"/>
      <c r="L7736"/>
      <c r="R7736"/>
      <c r="S7736"/>
      <c r="T7736"/>
      <c r="U7736"/>
    </row>
    <row r="7737" spans="1:21">
      <c r="A7737"/>
      <c r="C7737"/>
      <c r="D7737"/>
      <c r="L7737"/>
      <c r="R7737"/>
      <c r="S7737"/>
      <c r="T7737"/>
      <c r="U7737"/>
    </row>
    <row r="7738" spans="1:21">
      <c r="A7738"/>
      <c r="C7738"/>
      <c r="D7738"/>
      <c r="L7738"/>
      <c r="R7738"/>
      <c r="S7738"/>
      <c r="T7738"/>
      <c r="U7738"/>
    </row>
    <row r="7739" spans="1:21">
      <c r="A7739"/>
      <c r="C7739"/>
      <c r="D7739"/>
      <c r="L7739"/>
      <c r="R7739"/>
      <c r="S7739"/>
      <c r="T7739"/>
      <c r="U7739"/>
    </row>
    <row r="7740" spans="1:21">
      <c r="A7740"/>
      <c r="C7740"/>
      <c r="D7740"/>
      <c r="L7740"/>
      <c r="R7740"/>
      <c r="S7740"/>
      <c r="T7740"/>
      <c r="U7740"/>
    </row>
    <row r="7741" spans="1:21">
      <c r="A7741"/>
      <c r="C7741"/>
      <c r="D7741"/>
      <c r="L7741"/>
      <c r="R7741"/>
      <c r="S7741"/>
      <c r="T7741"/>
      <c r="U7741"/>
    </row>
    <row r="7742" spans="1:21">
      <c r="A7742"/>
      <c r="C7742"/>
      <c r="D7742"/>
      <c r="L7742"/>
      <c r="R7742"/>
      <c r="S7742"/>
      <c r="T7742"/>
      <c r="U7742"/>
    </row>
    <row r="7743" spans="1:21">
      <c r="A7743"/>
      <c r="C7743"/>
      <c r="D7743"/>
      <c r="L7743"/>
      <c r="R7743"/>
      <c r="S7743"/>
      <c r="T7743"/>
      <c r="U7743"/>
    </row>
    <row r="7744" spans="1:21">
      <c r="A7744"/>
      <c r="C7744"/>
      <c r="D7744"/>
      <c r="L7744"/>
      <c r="R7744"/>
      <c r="S7744"/>
      <c r="T7744"/>
      <c r="U7744"/>
    </row>
    <row r="7745" spans="1:21">
      <c r="A7745"/>
      <c r="C7745"/>
      <c r="D7745"/>
      <c r="L7745"/>
      <c r="R7745"/>
      <c r="S7745"/>
      <c r="T7745"/>
      <c r="U7745"/>
    </row>
    <row r="7746" spans="1:21">
      <c r="A7746"/>
      <c r="C7746"/>
      <c r="D7746"/>
      <c r="L7746"/>
      <c r="R7746"/>
      <c r="S7746"/>
      <c r="T7746"/>
      <c r="U7746"/>
    </row>
    <row r="7747" spans="1:21">
      <c r="A7747"/>
      <c r="C7747"/>
      <c r="D7747"/>
      <c r="L7747"/>
      <c r="R7747"/>
      <c r="S7747"/>
      <c r="T7747"/>
      <c r="U7747"/>
    </row>
    <row r="7748" spans="1:21">
      <c r="A7748"/>
      <c r="C7748"/>
      <c r="D7748"/>
      <c r="L7748"/>
      <c r="R7748"/>
      <c r="S7748"/>
      <c r="T7748"/>
      <c r="U7748"/>
    </row>
    <row r="7749" spans="1:21">
      <c r="A7749"/>
      <c r="C7749"/>
      <c r="D7749"/>
      <c r="L7749"/>
      <c r="R7749"/>
      <c r="S7749"/>
      <c r="T7749"/>
      <c r="U7749"/>
    </row>
    <row r="7750" spans="1:21">
      <c r="A7750"/>
      <c r="C7750"/>
      <c r="D7750"/>
      <c r="L7750"/>
      <c r="R7750"/>
      <c r="S7750"/>
      <c r="T7750"/>
      <c r="U7750"/>
    </row>
    <row r="7751" spans="1:21">
      <c r="A7751"/>
      <c r="C7751"/>
      <c r="D7751"/>
      <c r="L7751"/>
      <c r="R7751"/>
      <c r="S7751"/>
      <c r="T7751"/>
      <c r="U7751"/>
    </row>
    <row r="7752" spans="1:21">
      <c r="A7752"/>
      <c r="C7752"/>
      <c r="D7752"/>
      <c r="L7752"/>
      <c r="R7752"/>
      <c r="S7752"/>
      <c r="T7752"/>
      <c r="U7752"/>
    </row>
    <row r="7753" spans="1:21">
      <c r="A7753"/>
      <c r="C7753"/>
      <c r="D7753"/>
      <c r="L7753"/>
      <c r="R7753"/>
      <c r="S7753"/>
      <c r="T7753"/>
      <c r="U7753"/>
    </row>
    <row r="7754" spans="1:21">
      <c r="A7754"/>
      <c r="C7754"/>
      <c r="D7754"/>
      <c r="L7754"/>
      <c r="R7754"/>
      <c r="S7754"/>
      <c r="T7754"/>
      <c r="U7754"/>
    </row>
    <row r="7755" spans="1:21">
      <c r="A7755"/>
      <c r="C7755"/>
      <c r="D7755"/>
      <c r="L7755"/>
      <c r="R7755"/>
      <c r="S7755"/>
      <c r="T7755"/>
      <c r="U7755"/>
    </row>
    <row r="7756" spans="1:21">
      <c r="A7756"/>
      <c r="C7756"/>
      <c r="D7756"/>
      <c r="L7756"/>
      <c r="R7756"/>
      <c r="S7756"/>
      <c r="T7756"/>
      <c r="U7756"/>
    </row>
    <row r="7757" spans="1:21">
      <c r="A7757"/>
      <c r="C7757"/>
      <c r="D7757"/>
      <c r="L7757"/>
      <c r="R7757"/>
      <c r="S7757"/>
      <c r="T7757"/>
      <c r="U7757"/>
    </row>
    <row r="7758" spans="1:21">
      <c r="A7758"/>
      <c r="C7758"/>
      <c r="D7758"/>
      <c r="L7758"/>
      <c r="R7758"/>
      <c r="S7758"/>
      <c r="T7758"/>
      <c r="U7758"/>
    </row>
    <row r="7759" spans="1:21">
      <c r="A7759"/>
      <c r="C7759"/>
      <c r="D7759"/>
      <c r="L7759"/>
      <c r="R7759"/>
      <c r="S7759"/>
      <c r="T7759"/>
      <c r="U7759"/>
    </row>
    <row r="7760" spans="1:21">
      <c r="A7760"/>
      <c r="C7760"/>
      <c r="D7760"/>
      <c r="L7760"/>
      <c r="R7760"/>
      <c r="S7760"/>
      <c r="T7760"/>
      <c r="U7760"/>
    </row>
    <row r="7761" spans="1:21">
      <c r="A7761"/>
      <c r="C7761"/>
      <c r="D7761"/>
      <c r="L7761"/>
      <c r="R7761"/>
      <c r="S7761"/>
      <c r="T7761"/>
      <c r="U7761"/>
    </row>
    <row r="7762" spans="1:21">
      <c r="A7762"/>
      <c r="C7762"/>
      <c r="D7762"/>
      <c r="L7762"/>
      <c r="R7762"/>
      <c r="S7762"/>
      <c r="T7762"/>
      <c r="U7762"/>
    </row>
    <row r="7763" spans="1:21">
      <c r="A7763"/>
      <c r="C7763"/>
      <c r="D7763"/>
      <c r="L7763"/>
      <c r="R7763"/>
      <c r="S7763"/>
      <c r="T7763"/>
      <c r="U7763"/>
    </row>
    <row r="7764" spans="1:21">
      <c r="A7764"/>
      <c r="C7764"/>
      <c r="D7764"/>
      <c r="L7764"/>
      <c r="R7764"/>
      <c r="S7764"/>
      <c r="T7764"/>
      <c r="U7764"/>
    </row>
    <row r="7765" spans="1:21">
      <c r="A7765"/>
      <c r="C7765"/>
      <c r="D7765"/>
      <c r="L7765"/>
      <c r="R7765"/>
      <c r="S7765"/>
      <c r="T7765"/>
      <c r="U7765"/>
    </row>
    <row r="7766" spans="1:21">
      <c r="A7766"/>
      <c r="C7766"/>
      <c r="D7766"/>
      <c r="L7766"/>
      <c r="R7766"/>
      <c r="S7766"/>
      <c r="T7766"/>
      <c r="U7766"/>
    </row>
    <row r="7767" spans="1:21">
      <c r="A7767"/>
      <c r="C7767"/>
      <c r="D7767"/>
      <c r="L7767"/>
      <c r="R7767"/>
      <c r="S7767"/>
      <c r="T7767"/>
      <c r="U7767"/>
    </row>
    <row r="7768" spans="1:21">
      <c r="A7768"/>
      <c r="C7768"/>
      <c r="D7768"/>
      <c r="L7768"/>
      <c r="R7768"/>
      <c r="S7768"/>
      <c r="T7768"/>
      <c r="U7768"/>
    </row>
    <row r="7769" spans="1:21">
      <c r="A7769"/>
      <c r="C7769"/>
      <c r="D7769"/>
      <c r="L7769"/>
      <c r="R7769"/>
      <c r="S7769"/>
      <c r="T7769"/>
      <c r="U7769"/>
    </row>
    <row r="7770" spans="1:21">
      <c r="A7770"/>
      <c r="C7770"/>
      <c r="D7770"/>
      <c r="L7770"/>
      <c r="R7770"/>
      <c r="S7770"/>
      <c r="T7770"/>
      <c r="U7770"/>
    </row>
    <row r="7771" spans="1:21">
      <c r="A7771"/>
      <c r="C7771"/>
      <c r="D7771"/>
      <c r="L7771"/>
      <c r="R7771"/>
      <c r="S7771"/>
      <c r="T7771"/>
      <c r="U7771"/>
    </row>
    <row r="7772" spans="1:21">
      <c r="A7772"/>
      <c r="C7772"/>
      <c r="D7772"/>
      <c r="L7772"/>
      <c r="R7772"/>
      <c r="S7772"/>
      <c r="T7772"/>
      <c r="U7772"/>
    </row>
    <row r="7773" spans="1:21">
      <c r="A7773"/>
      <c r="C7773"/>
      <c r="D7773"/>
      <c r="L7773"/>
      <c r="R7773"/>
      <c r="S7773"/>
      <c r="T7773"/>
      <c r="U7773"/>
    </row>
    <row r="7774" spans="1:21">
      <c r="A7774"/>
      <c r="C7774"/>
      <c r="D7774"/>
      <c r="L7774"/>
      <c r="R7774"/>
      <c r="S7774"/>
      <c r="T7774"/>
      <c r="U7774"/>
    </row>
    <row r="7775" spans="1:21">
      <c r="A7775"/>
      <c r="C7775"/>
      <c r="D7775"/>
      <c r="L7775"/>
      <c r="R7775"/>
      <c r="S7775"/>
      <c r="T7775"/>
      <c r="U7775"/>
    </row>
    <row r="7776" spans="1:21">
      <c r="A7776"/>
      <c r="C7776"/>
      <c r="D7776"/>
      <c r="L7776"/>
      <c r="R7776"/>
      <c r="S7776"/>
      <c r="T7776"/>
      <c r="U7776"/>
    </row>
    <row r="7777" spans="1:21">
      <c r="A7777"/>
      <c r="C7777"/>
      <c r="D7777"/>
      <c r="L7777"/>
      <c r="R7777"/>
      <c r="S7777"/>
      <c r="T7777"/>
      <c r="U7777"/>
    </row>
    <row r="7778" spans="1:21">
      <c r="A7778"/>
      <c r="C7778"/>
      <c r="D7778"/>
      <c r="L7778"/>
      <c r="R7778"/>
      <c r="S7778"/>
      <c r="T7778"/>
      <c r="U7778"/>
    </row>
    <row r="7779" spans="1:21">
      <c r="A7779"/>
      <c r="C7779"/>
      <c r="D7779"/>
      <c r="L7779"/>
      <c r="R7779"/>
      <c r="S7779"/>
      <c r="T7779"/>
      <c r="U7779"/>
    </row>
    <row r="7780" spans="1:21">
      <c r="A7780"/>
      <c r="C7780"/>
      <c r="D7780"/>
      <c r="L7780"/>
      <c r="R7780"/>
      <c r="S7780"/>
      <c r="T7780"/>
      <c r="U7780"/>
    </row>
    <row r="7781" spans="1:21">
      <c r="A7781"/>
      <c r="C7781"/>
      <c r="D7781"/>
      <c r="L7781"/>
      <c r="R7781"/>
      <c r="S7781"/>
      <c r="T7781"/>
      <c r="U7781"/>
    </row>
    <row r="7782" spans="1:21">
      <c r="A7782"/>
      <c r="C7782"/>
      <c r="D7782"/>
      <c r="L7782"/>
      <c r="R7782"/>
      <c r="S7782"/>
      <c r="T7782"/>
      <c r="U7782"/>
    </row>
    <row r="7783" spans="1:21">
      <c r="A7783"/>
      <c r="C7783"/>
      <c r="D7783"/>
      <c r="L7783"/>
      <c r="R7783"/>
      <c r="S7783"/>
      <c r="T7783"/>
      <c r="U7783"/>
    </row>
    <row r="7784" spans="1:21">
      <c r="A7784"/>
      <c r="C7784"/>
      <c r="D7784"/>
      <c r="L7784"/>
      <c r="R7784"/>
      <c r="S7784"/>
      <c r="T7784"/>
      <c r="U7784"/>
    </row>
    <row r="7785" spans="1:21">
      <c r="A7785"/>
      <c r="C7785"/>
      <c r="D7785"/>
      <c r="L7785"/>
      <c r="R7785"/>
      <c r="S7785"/>
      <c r="T7785"/>
      <c r="U7785"/>
    </row>
    <row r="7786" spans="1:21">
      <c r="A7786"/>
      <c r="C7786"/>
      <c r="D7786"/>
      <c r="L7786"/>
      <c r="R7786"/>
      <c r="S7786"/>
      <c r="T7786"/>
      <c r="U7786"/>
    </row>
    <row r="7787" spans="1:21">
      <c r="A7787"/>
      <c r="C7787"/>
      <c r="D7787"/>
      <c r="L7787"/>
      <c r="R7787"/>
      <c r="S7787"/>
      <c r="T7787"/>
      <c r="U7787"/>
    </row>
    <row r="7788" spans="1:21">
      <c r="A7788"/>
      <c r="C7788"/>
      <c r="D7788"/>
      <c r="L7788"/>
      <c r="R7788"/>
      <c r="S7788"/>
      <c r="T7788"/>
      <c r="U7788"/>
    </row>
    <row r="7789" spans="1:21">
      <c r="A7789"/>
      <c r="C7789"/>
      <c r="D7789"/>
      <c r="L7789"/>
      <c r="R7789"/>
      <c r="S7789"/>
      <c r="T7789"/>
      <c r="U7789"/>
    </row>
    <row r="7790" spans="1:21">
      <c r="A7790"/>
      <c r="C7790"/>
      <c r="D7790"/>
      <c r="L7790"/>
      <c r="R7790"/>
      <c r="S7790"/>
      <c r="T7790"/>
      <c r="U7790"/>
    </row>
    <row r="7791" spans="1:21">
      <c r="A7791"/>
      <c r="C7791"/>
      <c r="D7791"/>
      <c r="L7791"/>
      <c r="R7791"/>
      <c r="S7791"/>
      <c r="T7791"/>
      <c r="U7791"/>
    </row>
    <row r="7792" spans="1:21">
      <c r="A7792"/>
      <c r="C7792"/>
      <c r="D7792"/>
      <c r="L7792"/>
      <c r="R7792"/>
      <c r="S7792"/>
      <c r="T7792"/>
      <c r="U7792"/>
    </row>
    <row r="7793" spans="1:21">
      <c r="A7793"/>
      <c r="C7793"/>
      <c r="D7793"/>
      <c r="L7793"/>
      <c r="R7793"/>
      <c r="S7793"/>
      <c r="T7793"/>
      <c r="U7793"/>
    </row>
    <row r="7794" spans="1:21">
      <c r="A7794"/>
      <c r="C7794"/>
      <c r="D7794"/>
      <c r="L7794"/>
      <c r="R7794"/>
      <c r="S7794"/>
      <c r="T7794"/>
      <c r="U7794"/>
    </row>
    <row r="7795" spans="1:21">
      <c r="A7795"/>
      <c r="C7795"/>
      <c r="D7795"/>
      <c r="L7795"/>
      <c r="R7795"/>
      <c r="S7795"/>
      <c r="T7795"/>
      <c r="U7795"/>
    </row>
    <row r="7796" spans="1:21">
      <c r="A7796"/>
      <c r="C7796"/>
      <c r="D7796"/>
      <c r="L7796"/>
      <c r="R7796"/>
      <c r="S7796"/>
      <c r="T7796"/>
      <c r="U7796"/>
    </row>
    <row r="7797" spans="1:21">
      <c r="A7797"/>
      <c r="C7797"/>
      <c r="D7797"/>
      <c r="L7797"/>
      <c r="R7797"/>
      <c r="S7797"/>
      <c r="T7797"/>
      <c r="U7797"/>
    </row>
    <row r="7798" spans="1:21">
      <c r="A7798"/>
      <c r="C7798"/>
      <c r="D7798"/>
      <c r="L7798"/>
      <c r="R7798"/>
      <c r="S7798"/>
      <c r="T7798"/>
      <c r="U7798"/>
    </row>
    <row r="7799" spans="1:21">
      <c r="A7799"/>
      <c r="C7799"/>
      <c r="D7799"/>
      <c r="L7799"/>
      <c r="R7799"/>
      <c r="S7799"/>
      <c r="T7799"/>
      <c r="U7799"/>
    </row>
    <row r="7800" spans="1:21">
      <c r="A7800"/>
      <c r="C7800"/>
      <c r="D7800"/>
      <c r="L7800"/>
      <c r="R7800"/>
      <c r="S7800"/>
      <c r="T7800"/>
      <c r="U7800"/>
    </row>
    <row r="7801" spans="1:21">
      <c r="A7801"/>
      <c r="C7801"/>
      <c r="D7801"/>
      <c r="L7801"/>
      <c r="R7801"/>
      <c r="S7801"/>
      <c r="T7801"/>
      <c r="U7801"/>
    </row>
    <row r="7802" spans="1:21">
      <c r="A7802"/>
      <c r="C7802"/>
      <c r="D7802"/>
      <c r="L7802"/>
      <c r="R7802"/>
      <c r="S7802"/>
      <c r="T7802"/>
      <c r="U7802"/>
    </row>
    <row r="7803" spans="1:21">
      <c r="A7803"/>
      <c r="C7803"/>
      <c r="D7803"/>
      <c r="L7803"/>
      <c r="R7803"/>
      <c r="S7803"/>
      <c r="T7803"/>
      <c r="U7803"/>
    </row>
    <row r="7804" spans="1:21">
      <c r="A7804"/>
      <c r="C7804"/>
      <c r="D7804"/>
      <c r="L7804"/>
      <c r="R7804"/>
      <c r="S7804"/>
      <c r="T7804"/>
      <c r="U7804"/>
    </row>
    <row r="7805" spans="1:21">
      <c r="A7805"/>
      <c r="C7805"/>
      <c r="D7805"/>
      <c r="L7805"/>
      <c r="R7805"/>
      <c r="S7805"/>
      <c r="T7805"/>
      <c r="U7805"/>
    </row>
    <row r="7806" spans="1:21">
      <c r="A7806"/>
      <c r="C7806"/>
      <c r="D7806"/>
      <c r="L7806"/>
      <c r="R7806"/>
      <c r="S7806"/>
      <c r="T7806"/>
      <c r="U7806"/>
    </row>
    <row r="7807" spans="1:21">
      <c r="A7807"/>
      <c r="C7807"/>
      <c r="D7807"/>
      <c r="L7807"/>
      <c r="R7807"/>
      <c r="S7807"/>
      <c r="T7807"/>
      <c r="U7807"/>
    </row>
    <row r="7808" spans="1:21">
      <c r="A7808"/>
      <c r="C7808"/>
      <c r="D7808"/>
      <c r="L7808"/>
      <c r="R7808"/>
      <c r="S7808"/>
      <c r="T7808"/>
      <c r="U7808"/>
    </row>
    <row r="7809" spans="1:21">
      <c r="A7809"/>
      <c r="C7809"/>
      <c r="D7809"/>
      <c r="L7809"/>
      <c r="R7809"/>
      <c r="S7809"/>
      <c r="T7809"/>
      <c r="U7809"/>
    </row>
    <row r="7810" spans="1:21">
      <c r="A7810"/>
      <c r="C7810"/>
      <c r="D7810"/>
      <c r="L7810"/>
      <c r="R7810"/>
      <c r="S7810"/>
      <c r="T7810"/>
      <c r="U7810"/>
    </row>
    <row r="7811" spans="1:21">
      <c r="A7811"/>
      <c r="C7811"/>
      <c r="D7811"/>
      <c r="L7811"/>
      <c r="R7811"/>
      <c r="S7811"/>
      <c r="T7811"/>
      <c r="U7811"/>
    </row>
    <row r="7812" spans="1:21">
      <c r="A7812"/>
      <c r="C7812"/>
      <c r="D7812"/>
      <c r="L7812"/>
      <c r="R7812"/>
      <c r="S7812"/>
      <c r="T7812"/>
      <c r="U7812"/>
    </row>
    <row r="7813" spans="1:21">
      <c r="A7813"/>
      <c r="C7813"/>
      <c r="D7813"/>
      <c r="L7813"/>
      <c r="R7813"/>
      <c r="S7813"/>
      <c r="T7813"/>
      <c r="U7813"/>
    </row>
    <row r="7814" spans="1:21">
      <c r="A7814"/>
      <c r="C7814"/>
      <c r="D7814"/>
      <c r="L7814"/>
      <c r="R7814"/>
      <c r="S7814"/>
      <c r="T7814"/>
      <c r="U7814"/>
    </row>
    <row r="7815" spans="1:21">
      <c r="A7815"/>
      <c r="C7815"/>
      <c r="D7815"/>
      <c r="L7815"/>
      <c r="R7815"/>
      <c r="S7815"/>
      <c r="T7815"/>
      <c r="U7815"/>
    </row>
    <row r="7816" spans="1:21">
      <c r="A7816"/>
      <c r="C7816"/>
      <c r="D7816"/>
      <c r="L7816"/>
      <c r="R7816"/>
      <c r="S7816"/>
      <c r="T7816"/>
      <c r="U7816"/>
    </row>
    <row r="7817" spans="1:21">
      <c r="A7817"/>
      <c r="C7817"/>
      <c r="D7817"/>
      <c r="L7817"/>
      <c r="R7817"/>
      <c r="S7817"/>
      <c r="T7817"/>
      <c r="U7817"/>
    </row>
    <row r="7818" spans="1:21">
      <c r="A7818"/>
      <c r="C7818"/>
      <c r="D7818"/>
      <c r="L7818"/>
      <c r="R7818"/>
      <c r="S7818"/>
      <c r="T7818"/>
      <c r="U7818"/>
    </row>
    <row r="7819" spans="1:21">
      <c r="A7819"/>
      <c r="C7819"/>
      <c r="D7819"/>
      <c r="L7819"/>
      <c r="R7819"/>
      <c r="S7819"/>
      <c r="T7819"/>
      <c r="U7819"/>
    </row>
    <row r="7820" spans="1:21">
      <c r="A7820"/>
      <c r="C7820"/>
      <c r="D7820"/>
      <c r="L7820"/>
      <c r="R7820"/>
      <c r="S7820"/>
      <c r="T7820"/>
      <c r="U7820"/>
    </row>
    <row r="7821" spans="1:21">
      <c r="A7821"/>
      <c r="C7821"/>
      <c r="D7821"/>
      <c r="L7821"/>
      <c r="R7821"/>
      <c r="S7821"/>
      <c r="T7821"/>
      <c r="U7821"/>
    </row>
    <row r="7822" spans="1:21">
      <c r="A7822"/>
      <c r="C7822"/>
      <c r="D7822"/>
      <c r="L7822"/>
      <c r="R7822"/>
      <c r="S7822"/>
      <c r="T7822"/>
      <c r="U7822"/>
    </row>
    <row r="7823" spans="1:21">
      <c r="A7823"/>
      <c r="C7823"/>
      <c r="D7823"/>
      <c r="L7823"/>
      <c r="R7823"/>
      <c r="S7823"/>
      <c r="T7823"/>
      <c r="U7823"/>
    </row>
    <row r="7824" spans="1:21">
      <c r="A7824"/>
      <c r="C7824"/>
      <c r="D7824"/>
      <c r="L7824"/>
      <c r="R7824"/>
      <c r="S7824"/>
      <c r="T7824"/>
      <c r="U7824"/>
    </row>
    <row r="7825" spans="1:21">
      <c r="A7825"/>
      <c r="C7825"/>
      <c r="D7825"/>
      <c r="L7825"/>
      <c r="R7825"/>
      <c r="S7825"/>
      <c r="T7825"/>
      <c r="U7825"/>
    </row>
    <row r="7826" spans="1:21">
      <c r="A7826"/>
      <c r="C7826"/>
      <c r="D7826"/>
      <c r="L7826"/>
      <c r="R7826"/>
      <c r="S7826"/>
      <c r="T7826"/>
      <c r="U7826"/>
    </row>
    <row r="7827" spans="1:21">
      <c r="A7827"/>
      <c r="C7827"/>
      <c r="D7827"/>
      <c r="L7827"/>
      <c r="R7827"/>
      <c r="S7827"/>
      <c r="T7827"/>
      <c r="U7827"/>
    </row>
    <row r="7828" spans="1:21">
      <c r="A7828"/>
      <c r="C7828"/>
      <c r="D7828"/>
      <c r="L7828"/>
      <c r="R7828"/>
      <c r="S7828"/>
      <c r="T7828"/>
      <c r="U7828"/>
    </row>
    <row r="7829" spans="1:21">
      <c r="A7829"/>
      <c r="C7829"/>
      <c r="D7829"/>
      <c r="L7829"/>
      <c r="R7829"/>
      <c r="S7829"/>
      <c r="T7829"/>
      <c r="U7829"/>
    </row>
    <row r="7830" spans="1:21">
      <c r="A7830"/>
      <c r="C7830"/>
      <c r="D7830"/>
      <c r="L7830"/>
      <c r="R7830"/>
      <c r="S7830"/>
      <c r="T7830"/>
      <c r="U7830"/>
    </row>
    <row r="7831" spans="1:21">
      <c r="A7831"/>
      <c r="C7831"/>
      <c r="D7831"/>
      <c r="L7831"/>
      <c r="R7831"/>
      <c r="S7831"/>
      <c r="T7831"/>
      <c r="U7831"/>
    </row>
    <row r="7832" spans="1:21">
      <c r="A7832"/>
      <c r="C7832"/>
      <c r="D7832"/>
      <c r="L7832"/>
      <c r="R7832"/>
      <c r="S7832"/>
      <c r="T7832"/>
      <c r="U7832"/>
    </row>
    <row r="7833" spans="1:21">
      <c r="A7833"/>
      <c r="C7833"/>
      <c r="D7833"/>
      <c r="L7833"/>
      <c r="R7833"/>
      <c r="S7833"/>
      <c r="T7833"/>
      <c r="U7833"/>
    </row>
    <row r="7834" spans="1:21">
      <c r="A7834"/>
      <c r="C7834"/>
      <c r="D7834"/>
      <c r="L7834"/>
      <c r="R7834"/>
      <c r="S7834"/>
      <c r="T7834"/>
      <c r="U7834"/>
    </row>
    <row r="7835" spans="1:21">
      <c r="A7835"/>
      <c r="C7835"/>
      <c r="D7835"/>
      <c r="L7835"/>
      <c r="R7835"/>
      <c r="S7835"/>
      <c r="T7835"/>
      <c r="U7835"/>
    </row>
    <row r="7836" spans="1:21">
      <c r="A7836"/>
      <c r="C7836"/>
      <c r="D7836"/>
      <c r="L7836"/>
      <c r="R7836"/>
      <c r="S7836"/>
      <c r="T7836"/>
      <c r="U7836"/>
    </row>
    <row r="7837" spans="1:21">
      <c r="A7837"/>
      <c r="C7837"/>
      <c r="D7837"/>
      <c r="L7837"/>
      <c r="R7837"/>
      <c r="S7837"/>
      <c r="T7837"/>
      <c r="U7837"/>
    </row>
    <row r="7838" spans="1:21">
      <c r="A7838"/>
      <c r="C7838"/>
      <c r="D7838"/>
      <c r="L7838"/>
      <c r="R7838"/>
      <c r="S7838"/>
      <c r="T7838"/>
      <c r="U7838"/>
    </row>
    <row r="7839" spans="1:21">
      <c r="A7839"/>
      <c r="C7839"/>
      <c r="D7839"/>
      <c r="L7839"/>
      <c r="R7839"/>
      <c r="S7839"/>
      <c r="T7839"/>
      <c r="U7839"/>
    </row>
    <row r="7840" spans="1:21">
      <c r="A7840"/>
      <c r="C7840"/>
      <c r="D7840"/>
      <c r="L7840"/>
      <c r="R7840"/>
      <c r="S7840"/>
      <c r="T7840"/>
      <c r="U7840"/>
    </row>
    <row r="7841" spans="1:21">
      <c r="A7841"/>
      <c r="C7841"/>
      <c r="D7841"/>
      <c r="L7841"/>
      <c r="R7841"/>
      <c r="S7841"/>
      <c r="T7841"/>
      <c r="U7841"/>
    </row>
    <row r="7842" spans="1:21">
      <c r="A7842"/>
      <c r="C7842"/>
      <c r="D7842"/>
      <c r="L7842"/>
      <c r="R7842"/>
      <c r="S7842"/>
      <c r="T7842"/>
      <c r="U7842"/>
    </row>
    <row r="7843" spans="1:21">
      <c r="A7843"/>
      <c r="C7843"/>
      <c r="D7843"/>
      <c r="L7843"/>
      <c r="R7843"/>
      <c r="S7843"/>
      <c r="T7843"/>
      <c r="U7843"/>
    </row>
    <row r="7844" spans="1:21">
      <c r="A7844"/>
      <c r="C7844"/>
      <c r="D7844"/>
      <c r="L7844"/>
      <c r="R7844"/>
      <c r="S7844"/>
      <c r="T7844"/>
      <c r="U7844"/>
    </row>
    <row r="7845" spans="1:21">
      <c r="A7845"/>
      <c r="C7845"/>
      <c r="D7845"/>
      <c r="L7845"/>
      <c r="R7845"/>
      <c r="S7845"/>
      <c r="T7845"/>
      <c r="U7845"/>
    </row>
    <row r="7846" spans="1:21">
      <c r="A7846"/>
      <c r="C7846"/>
      <c r="D7846"/>
      <c r="L7846"/>
      <c r="R7846"/>
      <c r="S7846"/>
      <c r="T7846"/>
      <c r="U7846"/>
    </row>
    <row r="7847" spans="1:21">
      <c r="A7847"/>
      <c r="C7847"/>
      <c r="D7847"/>
      <c r="L7847"/>
      <c r="R7847"/>
      <c r="S7847"/>
      <c r="T7847"/>
      <c r="U7847"/>
    </row>
    <row r="7848" spans="1:21">
      <c r="A7848"/>
      <c r="C7848"/>
      <c r="D7848"/>
      <c r="L7848"/>
      <c r="R7848"/>
      <c r="S7848"/>
      <c r="T7848"/>
      <c r="U7848"/>
    </row>
    <row r="7849" spans="1:21">
      <c r="A7849"/>
      <c r="C7849"/>
      <c r="D7849"/>
      <c r="L7849"/>
      <c r="R7849"/>
      <c r="S7849"/>
      <c r="T7849"/>
      <c r="U7849"/>
    </row>
    <row r="7850" spans="1:21">
      <c r="A7850"/>
      <c r="C7850"/>
      <c r="D7850"/>
      <c r="L7850"/>
      <c r="R7850"/>
      <c r="S7850"/>
      <c r="T7850"/>
      <c r="U7850"/>
    </row>
    <row r="7851" spans="1:21">
      <c r="A7851"/>
      <c r="C7851"/>
      <c r="D7851"/>
      <c r="L7851"/>
      <c r="R7851"/>
      <c r="S7851"/>
      <c r="T7851"/>
      <c r="U7851"/>
    </row>
    <row r="7852" spans="1:21">
      <c r="A7852"/>
      <c r="C7852"/>
      <c r="D7852"/>
      <c r="L7852"/>
      <c r="R7852"/>
      <c r="S7852"/>
      <c r="T7852"/>
      <c r="U7852"/>
    </row>
    <row r="7853" spans="1:21">
      <c r="A7853"/>
      <c r="C7853"/>
      <c r="D7853"/>
      <c r="L7853"/>
      <c r="R7853"/>
      <c r="S7853"/>
      <c r="T7853"/>
      <c r="U7853"/>
    </row>
    <row r="7854" spans="1:21">
      <c r="A7854"/>
      <c r="C7854"/>
      <c r="D7854"/>
      <c r="L7854"/>
      <c r="R7854"/>
      <c r="S7854"/>
      <c r="T7854"/>
      <c r="U7854"/>
    </row>
    <row r="7855" spans="1:21">
      <c r="A7855"/>
      <c r="C7855"/>
      <c r="D7855"/>
      <c r="L7855"/>
      <c r="R7855"/>
      <c r="S7855"/>
      <c r="T7855"/>
      <c r="U7855"/>
    </row>
    <row r="7856" spans="1:21">
      <c r="A7856"/>
      <c r="C7856"/>
      <c r="D7856"/>
      <c r="L7856"/>
      <c r="R7856"/>
      <c r="S7856"/>
      <c r="T7856"/>
      <c r="U7856"/>
    </row>
    <row r="7857" spans="1:21">
      <c r="A7857"/>
      <c r="C7857"/>
      <c r="D7857"/>
      <c r="L7857"/>
      <c r="R7857"/>
      <c r="S7857"/>
      <c r="T7857"/>
      <c r="U7857"/>
    </row>
    <row r="7858" spans="1:21">
      <c r="A7858"/>
      <c r="C7858"/>
      <c r="D7858"/>
      <c r="L7858"/>
      <c r="R7858"/>
      <c r="S7858"/>
      <c r="T7858"/>
      <c r="U7858"/>
    </row>
    <row r="7859" spans="1:21">
      <c r="A7859"/>
      <c r="C7859"/>
      <c r="D7859"/>
      <c r="L7859"/>
      <c r="R7859"/>
      <c r="S7859"/>
      <c r="T7859"/>
      <c r="U7859"/>
    </row>
    <row r="7860" spans="1:21">
      <c r="A7860"/>
      <c r="C7860"/>
      <c r="D7860"/>
      <c r="L7860"/>
      <c r="R7860"/>
      <c r="S7860"/>
      <c r="T7860"/>
      <c r="U7860"/>
    </row>
    <row r="7861" spans="1:21">
      <c r="A7861"/>
      <c r="C7861"/>
      <c r="D7861"/>
      <c r="L7861"/>
      <c r="R7861"/>
      <c r="S7861"/>
      <c r="T7861"/>
      <c r="U7861"/>
    </row>
    <row r="7862" spans="1:21">
      <c r="A7862"/>
      <c r="C7862"/>
      <c r="D7862"/>
      <c r="L7862"/>
      <c r="R7862"/>
      <c r="S7862"/>
      <c r="T7862"/>
      <c r="U7862"/>
    </row>
    <row r="7863" spans="1:21">
      <c r="A7863"/>
      <c r="C7863"/>
      <c r="D7863"/>
      <c r="L7863"/>
      <c r="R7863"/>
      <c r="S7863"/>
      <c r="T7863"/>
      <c r="U7863"/>
    </row>
    <row r="7864" spans="1:21">
      <c r="A7864"/>
      <c r="C7864"/>
      <c r="D7864"/>
      <c r="L7864"/>
      <c r="R7864"/>
      <c r="S7864"/>
      <c r="T7864"/>
      <c r="U7864"/>
    </row>
    <row r="7865" spans="1:21">
      <c r="A7865"/>
      <c r="C7865"/>
      <c r="D7865"/>
      <c r="L7865"/>
      <c r="R7865"/>
      <c r="S7865"/>
      <c r="T7865"/>
      <c r="U7865"/>
    </row>
    <row r="7866" spans="1:21">
      <c r="A7866"/>
      <c r="C7866"/>
      <c r="D7866"/>
      <c r="L7866"/>
      <c r="R7866"/>
      <c r="S7866"/>
      <c r="T7866"/>
      <c r="U7866"/>
    </row>
    <row r="7867" spans="1:21">
      <c r="A7867"/>
      <c r="C7867"/>
      <c r="D7867"/>
      <c r="L7867"/>
      <c r="R7867"/>
      <c r="S7867"/>
      <c r="T7867"/>
      <c r="U7867"/>
    </row>
    <row r="7868" spans="1:21">
      <c r="A7868"/>
      <c r="C7868"/>
      <c r="D7868"/>
      <c r="L7868"/>
      <c r="R7868"/>
      <c r="S7868"/>
      <c r="T7868"/>
      <c r="U7868"/>
    </row>
    <row r="7869" spans="1:21">
      <c r="A7869"/>
      <c r="C7869"/>
      <c r="D7869"/>
      <c r="L7869"/>
      <c r="R7869"/>
      <c r="S7869"/>
      <c r="T7869"/>
      <c r="U7869"/>
    </row>
    <row r="7870" spans="1:21">
      <c r="A7870"/>
      <c r="C7870"/>
      <c r="D7870"/>
      <c r="L7870"/>
      <c r="R7870"/>
      <c r="S7870"/>
      <c r="T7870"/>
      <c r="U7870"/>
    </row>
    <row r="7871" spans="1:21">
      <c r="A7871"/>
      <c r="C7871"/>
      <c r="D7871"/>
      <c r="L7871"/>
      <c r="R7871"/>
      <c r="S7871"/>
      <c r="T7871"/>
      <c r="U7871"/>
    </row>
    <row r="7872" spans="1:21">
      <c r="A7872"/>
      <c r="C7872"/>
      <c r="D7872"/>
      <c r="L7872"/>
      <c r="R7872"/>
      <c r="S7872"/>
      <c r="T7872"/>
      <c r="U7872"/>
    </row>
    <row r="7873" spans="1:21">
      <c r="A7873"/>
      <c r="C7873"/>
      <c r="D7873"/>
      <c r="L7873"/>
      <c r="R7873"/>
      <c r="S7873"/>
      <c r="T7873"/>
      <c r="U7873"/>
    </row>
    <row r="7874" spans="1:21">
      <c r="A7874"/>
      <c r="C7874"/>
      <c r="D7874"/>
      <c r="L7874"/>
      <c r="R7874"/>
      <c r="S7874"/>
      <c r="T7874"/>
      <c r="U7874"/>
    </row>
    <row r="7875" spans="1:21">
      <c r="A7875"/>
      <c r="C7875"/>
      <c r="D7875"/>
      <c r="L7875"/>
      <c r="R7875"/>
      <c r="S7875"/>
      <c r="T7875"/>
      <c r="U7875"/>
    </row>
    <row r="7876" spans="1:21">
      <c r="A7876"/>
      <c r="C7876"/>
      <c r="D7876"/>
      <c r="L7876"/>
      <c r="R7876"/>
      <c r="S7876"/>
      <c r="T7876"/>
      <c r="U7876"/>
    </row>
    <row r="7877" spans="1:21">
      <c r="A7877"/>
      <c r="C7877"/>
      <c r="D7877"/>
      <c r="L7877"/>
      <c r="R7877"/>
      <c r="S7877"/>
      <c r="T7877"/>
      <c r="U7877"/>
    </row>
    <row r="7878" spans="1:21">
      <c r="A7878"/>
      <c r="C7878"/>
      <c r="D7878"/>
      <c r="L7878"/>
      <c r="R7878"/>
      <c r="S7878"/>
      <c r="T7878"/>
      <c r="U7878"/>
    </row>
    <row r="7879" spans="1:21">
      <c r="A7879"/>
      <c r="C7879"/>
      <c r="D7879"/>
      <c r="L7879"/>
      <c r="R7879"/>
      <c r="S7879"/>
      <c r="T7879"/>
      <c r="U7879"/>
    </row>
    <row r="7880" spans="1:21">
      <c r="A7880"/>
      <c r="C7880"/>
      <c r="D7880"/>
      <c r="L7880"/>
      <c r="R7880"/>
      <c r="S7880"/>
      <c r="T7880"/>
      <c r="U7880"/>
    </row>
    <row r="7881" spans="1:21">
      <c r="A7881"/>
      <c r="C7881"/>
      <c r="D7881"/>
      <c r="L7881"/>
      <c r="R7881"/>
      <c r="S7881"/>
      <c r="T7881"/>
      <c r="U7881"/>
    </row>
    <row r="7882" spans="1:21">
      <c r="A7882"/>
      <c r="C7882"/>
      <c r="D7882"/>
      <c r="L7882"/>
      <c r="R7882"/>
      <c r="S7882"/>
      <c r="T7882"/>
      <c r="U7882"/>
    </row>
    <row r="7883" spans="1:21">
      <c r="A7883"/>
      <c r="C7883"/>
      <c r="D7883"/>
      <c r="L7883"/>
      <c r="R7883"/>
      <c r="S7883"/>
      <c r="T7883"/>
      <c r="U7883"/>
    </row>
    <row r="7884" spans="1:21">
      <c r="A7884"/>
      <c r="C7884"/>
      <c r="D7884"/>
      <c r="L7884"/>
      <c r="R7884"/>
      <c r="S7884"/>
      <c r="T7884"/>
      <c r="U7884"/>
    </row>
    <row r="7885" spans="1:21">
      <c r="A7885"/>
      <c r="C7885"/>
      <c r="D7885"/>
      <c r="L7885"/>
      <c r="R7885"/>
      <c r="S7885"/>
      <c r="T7885"/>
      <c r="U7885"/>
    </row>
    <row r="7886" spans="1:21">
      <c r="A7886"/>
      <c r="C7886"/>
      <c r="D7886"/>
      <c r="L7886"/>
      <c r="R7886"/>
      <c r="S7886"/>
      <c r="T7886"/>
      <c r="U7886"/>
    </row>
    <row r="7887" spans="1:21">
      <c r="A7887"/>
      <c r="C7887"/>
      <c r="D7887"/>
      <c r="L7887"/>
      <c r="R7887"/>
      <c r="S7887"/>
      <c r="T7887"/>
      <c r="U7887"/>
    </row>
    <row r="7888" spans="1:21">
      <c r="A7888"/>
      <c r="C7888"/>
      <c r="D7888"/>
      <c r="L7888"/>
      <c r="R7888"/>
      <c r="S7888"/>
      <c r="T7888"/>
      <c r="U7888"/>
    </row>
    <row r="7889" spans="1:21">
      <c r="A7889"/>
      <c r="C7889"/>
      <c r="D7889"/>
      <c r="L7889"/>
      <c r="R7889"/>
      <c r="S7889"/>
      <c r="T7889"/>
      <c r="U7889"/>
    </row>
    <row r="7890" spans="1:21">
      <c r="A7890"/>
      <c r="C7890"/>
      <c r="D7890"/>
      <c r="L7890"/>
      <c r="R7890"/>
      <c r="S7890"/>
      <c r="T7890"/>
      <c r="U7890"/>
    </row>
    <row r="7891" spans="1:21">
      <c r="A7891"/>
      <c r="C7891"/>
      <c r="D7891"/>
      <c r="L7891"/>
      <c r="R7891"/>
      <c r="S7891"/>
      <c r="T7891"/>
      <c r="U7891"/>
    </row>
    <row r="7892" spans="1:21">
      <c r="A7892"/>
      <c r="C7892"/>
      <c r="D7892"/>
      <c r="L7892"/>
      <c r="R7892"/>
      <c r="S7892"/>
      <c r="T7892"/>
      <c r="U7892"/>
    </row>
    <row r="7893" spans="1:21">
      <c r="A7893"/>
      <c r="C7893"/>
      <c r="D7893"/>
      <c r="L7893"/>
      <c r="R7893"/>
      <c r="S7893"/>
      <c r="T7893"/>
      <c r="U7893"/>
    </row>
    <row r="7894" spans="1:21">
      <c r="A7894"/>
      <c r="C7894"/>
      <c r="D7894"/>
      <c r="L7894"/>
      <c r="R7894"/>
      <c r="S7894"/>
      <c r="T7894"/>
      <c r="U7894"/>
    </row>
    <row r="7895" spans="1:21">
      <c r="A7895"/>
      <c r="C7895"/>
      <c r="D7895"/>
      <c r="L7895"/>
      <c r="R7895"/>
      <c r="S7895"/>
      <c r="T7895"/>
      <c r="U7895"/>
    </row>
    <row r="7896" spans="1:21">
      <c r="A7896"/>
      <c r="C7896"/>
      <c r="D7896"/>
      <c r="L7896"/>
      <c r="R7896"/>
      <c r="S7896"/>
      <c r="T7896"/>
      <c r="U7896"/>
    </row>
    <row r="7897" spans="1:21">
      <c r="A7897"/>
      <c r="C7897"/>
      <c r="D7897"/>
      <c r="L7897"/>
      <c r="R7897"/>
      <c r="S7897"/>
      <c r="T7897"/>
      <c r="U7897"/>
    </row>
    <row r="7898" spans="1:21">
      <c r="A7898"/>
      <c r="C7898"/>
      <c r="D7898"/>
      <c r="L7898"/>
      <c r="R7898"/>
      <c r="S7898"/>
      <c r="T7898"/>
      <c r="U7898"/>
    </row>
    <row r="7899" spans="1:21">
      <c r="A7899"/>
      <c r="C7899"/>
      <c r="D7899"/>
      <c r="L7899"/>
      <c r="R7899"/>
      <c r="S7899"/>
      <c r="T7899"/>
      <c r="U7899"/>
    </row>
    <row r="7900" spans="1:21">
      <c r="A7900"/>
      <c r="C7900"/>
      <c r="D7900"/>
      <c r="L7900"/>
      <c r="R7900"/>
      <c r="S7900"/>
      <c r="T7900"/>
      <c r="U7900"/>
    </row>
    <row r="7901" spans="1:21">
      <c r="A7901"/>
      <c r="C7901"/>
      <c r="D7901"/>
      <c r="L7901"/>
      <c r="R7901"/>
      <c r="S7901"/>
      <c r="T7901"/>
      <c r="U7901"/>
    </row>
    <row r="7902" spans="1:21">
      <c r="A7902"/>
      <c r="C7902"/>
      <c r="D7902"/>
      <c r="L7902"/>
      <c r="R7902"/>
      <c r="S7902"/>
      <c r="T7902"/>
      <c r="U7902"/>
    </row>
    <row r="7903" spans="1:21">
      <c r="A7903"/>
      <c r="C7903"/>
      <c r="D7903"/>
      <c r="L7903"/>
      <c r="R7903"/>
      <c r="S7903"/>
      <c r="T7903"/>
      <c r="U7903"/>
    </row>
    <row r="7904" spans="1:21">
      <c r="A7904"/>
      <c r="C7904"/>
      <c r="D7904"/>
      <c r="L7904"/>
      <c r="R7904"/>
      <c r="S7904"/>
      <c r="T7904"/>
      <c r="U7904"/>
    </row>
    <row r="7905" spans="1:21">
      <c r="A7905"/>
      <c r="C7905"/>
      <c r="D7905"/>
      <c r="L7905"/>
      <c r="R7905"/>
      <c r="S7905"/>
      <c r="T7905"/>
      <c r="U7905"/>
    </row>
    <row r="7906" spans="1:21">
      <c r="A7906"/>
      <c r="C7906"/>
      <c r="D7906"/>
      <c r="L7906"/>
      <c r="R7906"/>
      <c r="S7906"/>
      <c r="T7906"/>
      <c r="U7906"/>
    </row>
    <row r="7907" spans="1:21">
      <c r="A7907"/>
      <c r="C7907"/>
      <c r="D7907"/>
      <c r="L7907"/>
      <c r="R7907"/>
      <c r="S7907"/>
      <c r="T7907"/>
      <c r="U7907"/>
    </row>
    <row r="7908" spans="1:21">
      <c r="A7908"/>
      <c r="C7908"/>
      <c r="D7908"/>
      <c r="L7908"/>
      <c r="R7908"/>
      <c r="S7908"/>
      <c r="T7908"/>
      <c r="U7908"/>
    </row>
    <row r="7909" spans="1:21">
      <c r="A7909"/>
      <c r="C7909"/>
      <c r="D7909"/>
      <c r="L7909"/>
      <c r="R7909"/>
      <c r="S7909"/>
      <c r="T7909"/>
      <c r="U7909"/>
    </row>
    <row r="7910" spans="1:21">
      <c r="A7910"/>
      <c r="C7910"/>
      <c r="D7910"/>
      <c r="L7910"/>
      <c r="R7910"/>
      <c r="S7910"/>
      <c r="T7910"/>
      <c r="U7910"/>
    </row>
    <row r="7911" spans="1:21">
      <c r="A7911"/>
      <c r="C7911"/>
      <c r="D7911"/>
      <c r="L7911"/>
      <c r="R7911"/>
      <c r="S7911"/>
      <c r="T7911"/>
      <c r="U7911"/>
    </row>
    <row r="7912" spans="1:21">
      <c r="A7912"/>
      <c r="C7912"/>
      <c r="D7912"/>
      <c r="L7912"/>
      <c r="R7912"/>
      <c r="S7912"/>
      <c r="T7912"/>
      <c r="U7912"/>
    </row>
    <row r="7913" spans="1:21">
      <c r="A7913"/>
      <c r="C7913"/>
      <c r="D7913"/>
      <c r="L7913"/>
      <c r="R7913"/>
      <c r="S7913"/>
      <c r="T7913"/>
      <c r="U7913"/>
    </row>
    <row r="7914" spans="1:21">
      <c r="A7914"/>
      <c r="C7914"/>
      <c r="D7914"/>
      <c r="L7914"/>
      <c r="R7914"/>
      <c r="S7914"/>
      <c r="T7914"/>
      <c r="U7914"/>
    </row>
    <row r="7915" spans="1:21">
      <c r="A7915"/>
      <c r="C7915"/>
      <c r="D7915"/>
      <c r="L7915"/>
      <c r="R7915"/>
      <c r="S7915"/>
      <c r="T7915"/>
      <c r="U7915"/>
    </row>
    <row r="7916" spans="1:21">
      <c r="A7916"/>
      <c r="C7916"/>
      <c r="D7916"/>
      <c r="L7916"/>
      <c r="R7916"/>
      <c r="S7916"/>
      <c r="T7916"/>
      <c r="U7916"/>
    </row>
    <row r="7917" spans="1:21">
      <c r="A7917"/>
      <c r="C7917"/>
      <c r="D7917"/>
      <c r="L7917"/>
      <c r="R7917"/>
      <c r="S7917"/>
      <c r="T7917"/>
      <c r="U7917"/>
    </row>
    <row r="7918" spans="1:21">
      <c r="A7918"/>
      <c r="C7918"/>
      <c r="D7918"/>
      <c r="L7918"/>
      <c r="R7918"/>
      <c r="S7918"/>
      <c r="T7918"/>
      <c r="U7918"/>
    </row>
    <row r="7919" spans="1:21">
      <c r="A7919"/>
      <c r="C7919"/>
      <c r="D7919"/>
      <c r="L7919"/>
      <c r="R7919"/>
      <c r="S7919"/>
      <c r="T7919"/>
      <c r="U7919"/>
    </row>
    <row r="7920" spans="1:21">
      <c r="A7920"/>
      <c r="C7920"/>
      <c r="D7920"/>
      <c r="L7920"/>
      <c r="R7920"/>
      <c r="S7920"/>
      <c r="T7920"/>
      <c r="U7920"/>
    </row>
    <row r="7921" spans="1:21">
      <c r="A7921"/>
      <c r="C7921"/>
      <c r="D7921"/>
      <c r="L7921"/>
      <c r="R7921"/>
      <c r="S7921"/>
      <c r="T7921"/>
      <c r="U7921"/>
    </row>
    <row r="7922" spans="1:21">
      <c r="A7922"/>
      <c r="C7922"/>
      <c r="D7922"/>
      <c r="L7922"/>
      <c r="R7922"/>
      <c r="S7922"/>
      <c r="T7922"/>
      <c r="U7922"/>
    </row>
    <row r="7923" spans="1:21">
      <c r="A7923"/>
      <c r="C7923"/>
      <c r="D7923"/>
      <c r="L7923"/>
      <c r="R7923"/>
      <c r="S7923"/>
      <c r="T7923"/>
      <c r="U7923"/>
    </row>
    <row r="7924" spans="1:21">
      <c r="A7924"/>
      <c r="C7924"/>
      <c r="D7924"/>
      <c r="L7924"/>
      <c r="R7924"/>
      <c r="S7924"/>
      <c r="T7924"/>
      <c r="U7924"/>
    </row>
    <row r="7925" spans="1:21">
      <c r="A7925"/>
      <c r="C7925"/>
      <c r="D7925"/>
      <c r="L7925"/>
      <c r="R7925"/>
      <c r="S7925"/>
      <c r="T7925"/>
      <c r="U7925"/>
    </row>
    <row r="7926" spans="1:21">
      <c r="A7926"/>
      <c r="C7926"/>
      <c r="D7926"/>
      <c r="L7926"/>
      <c r="R7926"/>
      <c r="S7926"/>
      <c r="T7926"/>
      <c r="U7926"/>
    </row>
    <row r="7927" spans="1:21">
      <c r="A7927"/>
      <c r="C7927"/>
      <c r="D7927"/>
      <c r="L7927"/>
      <c r="R7927"/>
      <c r="S7927"/>
      <c r="T7927"/>
      <c r="U7927"/>
    </row>
    <row r="7928" spans="1:21">
      <c r="A7928"/>
      <c r="C7928"/>
      <c r="D7928"/>
      <c r="L7928"/>
      <c r="R7928"/>
      <c r="S7928"/>
      <c r="T7928"/>
      <c r="U7928"/>
    </row>
    <row r="7929" spans="1:21">
      <c r="A7929"/>
      <c r="C7929"/>
      <c r="D7929"/>
      <c r="L7929"/>
      <c r="R7929"/>
      <c r="S7929"/>
      <c r="T7929"/>
      <c r="U7929"/>
    </row>
    <row r="7930" spans="1:21">
      <c r="A7930"/>
      <c r="C7930"/>
      <c r="D7930"/>
      <c r="L7930"/>
      <c r="R7930"/>
      <c r="S7930"/>
      <c r="T7930"/>
      <c r="U7930"/>
    </row>
    <row r="7931" spans="1:21">
      <c r="A7931"/>
      <c r="C7931"/>
      <c r="D7931"/>
      <c r="L7931"/>
      <c r="R7931"/>
      <c r="S7931"/>
      <c r="T7931"/>
      <c r="U7931"/>
    </row>
    <row r="7932" spans="1:21">
      <c r="A7932"/>
      <c r="C7932"/>
      <c r="D7932"/>
      <c r="L7932"/>
      <c r="R7932"/>
      <c r="S7932"/>
      <c r="T7932"/>
      <c r="U7932"/>
    </row>
    <row r="7933" spans="1:21">
      <c r="A7933"/>
      <c r="C7933"/>
      <c r="D7933"/>
      <c r="L7933"/>
      <c r="R7933"/>
      <c r="S7933"/>
      <c r="T7933"/>
      <c r="U7933"/>
    </row>
    <row r="7934" spans="1:21">
      <c r="A7934"/>
      <c r="C7934"/>
      <c r="D7934"/>
      <c r="L7934"/>
      <c r="R7934"/>
      <c r="S7934"/>
      <c r="T7934"/>
      <c r="U7934"/>
    </row>
    <row r="7935" spans="1:21">
      <c r="A7935"/>
      <c r="C7935"/>
      <c r="D7935"/>
      <c r="L7935"/>
      <c r="R7935"/>
      <c r="S7935"/>
      <c r="T7935"/>
      <c r="U7935"/>
    </row>
    <row r="7936" spans="1:21">
      <c r="A7936"/>
      <c r="C7936"/>
      <c r="D7936"/>
      <c r="L7936"/>
      <c r="R7936"/>
      <c r="S7936"/>
      <c r="T7936"/>
      <c r="U7936"/>
    </row>
    <row r="7937" spans="1:21">
      <c r="A7937"/>
      <c r="C7937"/>
      <c r="D7937"/>
      <c r="L7937"/>
      <c r="R7937"/>
      <c r="S7937"/>
      <c r="T7937"/>
      <c r="U7937"/>
    </row>
    <row r="7938" spans="1:21">
      <c r="A7938"/>
      <c r="C7938"/>
      <c r="D7938"/>
      <c r="L7938"/>
      <c r="R7938"/>
      <c r="S7938"/>
      <c r="T7938"/>
      <c r="U7938"/>
    </row>
    <row r="7939" spans="1:21">
      <c r="A7939"/>
      <c r="C7939"/>
      <c r="D7939"/>
      <c r="L7939"/>
      <c r="R7939"/>
      <c r="S7939"/>
      <c r="T7939"/>
      <c r="U7939"/>
    </row>
    <row r="7940" spans="1:21">
      <c r="A7940"/>
      <c r="C7940"/>
      <c r="D7940"/>
      <c r="L7940"/>
      <c r="R7940"/>
      <c r="S7940"/>
      <c r="T7940"/>
      <c r="U7940"/>
    </row>
    <row r="7941" spans="1:21">
      <c r="A7941"/>
      <c r="C7941"/>
      <c r="D7941"/>
      <c r="L7941"/>
      <c r="R7941"/>
      <c r="S7941"/>
      <c r="T7941"/>
      <c r="U7941"/>
    </row>
    <row r="7942" spans="1:21">
      <c r="A7942"/>
      <c r="C7942"/>
      <c r="D7942"/>
      <c r="L7942"/>
      <c r="R7942"/>
      <c r="S7942"/>
      <c r="T7942"/>
      <c r="U7942"/>
    </row>
    <row r="7943" spans="1:21">
      <c r="A7943"/>
      <c r="C7943"/>
      <c r="D7943"/>
      <c r="L7943"/>
      <c r="R7943"/>
      <c r="S7943"/>
      <c r="T7943"/>
      <c r="U7943"/>
    </row>
    <row r="7944" spans="1:21">
      <c r="A7944"/>
      <c r="C7944"/>
      <c r="D7944"/>
      <c r="L7944"/>
      <c r="R7944"/>
      <c r="S7944"/>
      <c r="T7944"/>
      <c r="U7944"/>
    </row>
    <row r="7945" spans="1:21">
      <c r="A7945"/>
      <c r="C7945"/>
      <c r="D7945"/>
      <c r="L7945"/>
      <c r="R7945"/>
      <c r="S7945"/>
      <c r="T7945"/>
      <c r="U7945"/>
    </row>
    <row r="7946" spans="1:21">
      <c r="A7946"/>
      <c r="C7946"/>
      <c r="D7946"/>
      <c r="L7946"/>
      <c r="R7946"/>
      <c r="S7946"/>
      <c r="T7946"/>
      <c r="U7946"/>
    </row>
    <row r="7947" spans="1:21">
      <c r="A7947"/>
      <c r="C7947"/>
      <c r="D7947"/>
      <c r="L7947"/>
      <c r="R7947"/>
      <c r="S7947"/>
      <c r="T7947"/>
      <c r="U7947"/>
    </row>
    <row r="7948" spans="1:21">
      <c r="A7948"/>
      <c r="C7948"/>
      <c r="D7948"/>
      <c r="L7948"/>
      <c r="R7948"/>
      <c r="S7948"/>
      <c r="T7948"/>
      <c r="U7948"/>
    </row>
    <row r="7949" spans="1:21">
      <c r="A7949"/>
      <c r="C7949"/>
      <c r="D7949"/>
      <c r="L7949"/>
      <c r="R7949"/>
      <c r="S7949"/>
      <c r="T7949"/>
      <c r="U7949"/>
    </row>
    <row r="7950" spans="1:21">
      <c r="A7950"/>
      <c r="C7950"/>
      <c r="D7950"/>
      <c r="L7950"/>
      <c r="R7950"/>
      <c r="S7950"/>
      <c r="T7950"/>
      <c r="U7950"/>
    </row>
    <row r="7951" spans="1:21">
      <c r="A7951"/>
      <c r="C7951"/>
      <c r="D7951"/>
      <c r="L7951"/>
      <c r="R7951"/>
      <c r="S7951"/>
      <c r="T7951"/>
      <c r="U7951"/>
    </row>
    <row r="7952" spans="1:21">
      <c r="A7952"/>
      <c r="C7952"/>
      <c r="D7952"/>
      <c r="L7952"/>
      <c r="R7952"/>
      <c r="S7952"/>
      <c r="T7952"/>
      <c r="U7952"/>
    </row>
    <row r="7953" spans="1:21">
      <c r="A7953"/>
      <c r="C7953"/>
      <c r="D7953"/>
      <c r="L7953"/>
      <c r="R7953"/>
      <c r="S7953"/>
      <c r="T7953"/>
      <c r="U7953"/>
    </row>
    <row r="7954" spans="1:21">
      <c r="A7954"/>
      <c r="C7954"/>
      <c r="D7954"/>
      <c r="L7954"/>
      <c r="R7954"/>
      <c r="S7954"/>
      <c r="T7954"/>
      <c r="U7954"/>
    </row>
    <row r="7955" spans="1:21">
      <c r="A7955"/>
      <c r="C7955"/>
      <c r="D7955"/>
      <c r="L7955"/>
      <c r="R7955"/>
      <c r="S7955"/>
      <c r="T7955"/>
      <c r="U7955"/>
    </row>
    <row r="7956" spans="1:21">
      <c r="A7956"/>
      <c r="C7956"/>
      <c r="D7956"/>
      <c r="L7956"/>
      <c r="R7956"/>
      <c r="S7956"/>
      <c r="T7956"/>
      <c r="U7956"/>
    </row>
    <row r="7957" spans="1:21">
      <c r="A7957"/>
      <c r="C7957"/>
      <c r="D7957"/>
      <c r="L7957"/>
      <c r="R7957"/>
      <c r="S7957"/>
      <c r="T7957"/>
      <c r="U7957"/>
    </row>
    <row r="7958" spans="1:21">
      <c r="A7958"/>
      <c r="C7958"/>
      <c r="D7958"/>
      <c r="L7958"/>
      <c r="R7958"/>
      <c r="S7958"/>
      <c r="T7958"/>
      <c r="U7958"/>
    </row>
    <row r="7959" spans="1:21">
      <c r="A7959"/>
      <c r="C7959"/>
      <c r="D7959"/>
      <c r="L7959"/>
      <c r="R7959"/>
      <c r="S7959"/>
      <c r="T7959"/>
      <c r="U7959"/>
    </row>
    <row r="7960" spans="1:21">
      <c r="A7960"/>
      <c r="C7960"/>
      <c r="D7960"/>
      <c r="L7960"/>
      <c r="R7960"/>
      <c r="S7960"/>
      <c r="T7960"/>
      <c r="U7960"/>
    </row>
    <row r="7961" spans="1:21">
      <c r="A7961"/>
      <c r="C7961"/>
      <c r="D7961"/>
      <c r="L7961"/>
      <c r="R7961"/>
      <c r="S7961"/>
      <c r="T7961"/>
      <c r="U7961"/>
    </row>
    <row r="7962" spans="1:21">
      <c r="A7962"/>
      <c r="C7962"/>
      <c r="D7962"/>
      <c r="L7962"/>
      <c r="R7962"/>
      <c r="S7962"/>
      <c r="T7962"/>
      <c r="U7962"/>
    </row>
    <row r="7963" spans="1:21">
      <c r="A7963"/>
      <c r="C7963"/>
      <c r="D7963"/>
      <c r="L7963"/>
      <c r="R7963"/>
      <c r="S7963"/>
      <c r="T7963"/>
      <c r="U7963"/>
    </row>
    <row r="7964" spans="1:21">
      <c r="A7964"/>
      <c r="C7964"/>
      <c r="D7964"/>
      <c r="L7964"/>
      <c r="R7964"/>
      <c r="S7964"/>
      <c r="T7964"/>
      <c r="U7964"/>
    </row>
    <row r="7965" spans="1:21">
      <c r="A7965"/>
      <c r="C7965"/>
      <c r="D7965"/>
      <c r="L7965"/>
      <c r="R7965"/>
      <c r="S7965"/>
      <c r="T7965"/>
      <c r="U7965"/>
    </row>
    <row r="7966" spans="1:21">
      <c r="A7966"/>
      <c r="C7966"/>
      <c r="D7966"/>
      <c r="L7966"/>
      <c r="R7966"/>
      <c r="S7966"/>
      <c r="T7966"/>
      <c r="U7966"/>
    </row>
    <row r="7967" spans="1:21">
      <c r="A7967"/>
      <c r="C7967"/>
      <c r="D7967"/>
      <c r="L7967"/>
      <c r="R7967"/>
      <c r="S7967"/>
      <c r="T7967"/>
      <c r="U7967"/>
    </row>
    <row r="7968" spans="1:21">
      <c r="A7968"/>
      <c r="C7968"/>
      <c r="D7968"/>
      <c r="L7968"/>
      <c r="R7968"/>
      <c r="S7968"/>
      <c r="T7968"/>
      <c r="U7968"/>
    </row>
    <row r="7969" spans="1:21">
      <c r="A7969"/>
      <c r="C7969"/>
      <c r="D7969"/>
      <c r="L7969"/>
      <c r="R7969"/>
      <c r="S7969"/>
      <c r="T7969"/>
      <c r="U7969"/>
    </row>
    <row r="7970" spans="1:21">
      <c r="A7970"/>
      <c r="C7970"/>
      <c r="D7970"/>
      <c r="L7970"/>
      <c r="R7970"/>
      <c r="S7970"/>
      <c r="T7970"/>
      <c r="U7970"/>
    </row>
    <row r="7971" spans="1:21">
      <c r="A7971"/>
      <c r="C7971"/>
      <c r="D7971"/>
      <c r="L7971"/>
      <c r="R7971"/>
      <c r="S7971"/>
      <c r="T7971"/>
      <c r="U7971"/>
    </row>
    <row r="7972" spans="1:21">
      <c r="A7972"/>
      <c r="C7972"/>
      <c r="D7972"/>
      <c r="L7972"/>
      <c r="R7972"/>
      <c r="S7972"/>
      <c r="T7972"/>
      <c r="U7972"/>
    </row>
    <row r="7973" spans="1:21">
      <c r="A7973"/>
      <c r="C7973"/>
      <c r="D7973"/>
      <c r="L7973"/>
      <c r="R7973"/>
      <c r="S7973"/>
      <c r="T7973"/>
      <c r="U7973"/>
    </row>
    <row r="7974" spans="1:21">
      <c r="A7974"/>
      <c r="C7974"/>
      <c r="D7974"/>
      <c r="L7974"/>
      <c r="R7974"/>
      <c r="S7974"/>
      <c r="T7974"/>
      <c r="U7974"/>
    </row>
    <row r="7975" spans="1:21">
      <c r="A7975"/>
      <c r="C7975"/>
      <c r="D7975"/>
      <c r="L7975"/>
      <c r="R7975"/>
      <c r="S7975"/>
      <c r="T7975"/>
      <c r="U7975"/>
    </row>
    <row r="7976" spans="1:21">
      <c r="A7976"/>
      <c r="C7976"/>
      <c r="D7976"/>
      <c r="L7976"/>
      <c r="R7976"/>
      <c r="S7976"/>
      <c r="T7976"/>
      <c r="U7976"/>
    </row>
    <row r="7977" spans="1:21">
      <c r="A7977"/>
      <c r="C7977"/>
      <c r="D7977"/>
      <c r="L7977"/>
      <c r="R7977"/>
      <c r="S7977"/>
      <c r="T7977"/>
      <c r="U7977"/>
    </row>
    <row r="7978" spans="1:21">
      <c r="A7978"/>
      <c r="C7978"/>
      <c r="D7978"/>
      <c r="L7978"/>
      <c r="R7978"/>
      <c r="S7978"/>
      <c r="T7978"/>
      <c r="U7978"/>
    </row>
    <row r="7979" spans="1:21">
      <c r="A7979"/>
      <c r="C7979"/>
      <c r="D7979"/>
      <c r="L7979"/>
      <c r="R7979"/>
      <c r="S7979"/>
      <c r="T7979"/>
      <c r="U7979"/>
    </row>
    <row r="7980" spans="1:21">
      <c r="A7980"/>
      <c r="C7980"/>
      <c r="D7980"/>
      <c r="L7980"/>
      <c r="R7980"/>
      <c r="S7980"/>
      <c r="T7980"/>
      <c r="U7980"/>
    </row>
    <row r="7981" spans="1:21">
      <c r="A7981"/>
      <c r="C7981"/>
      <c r="D7981"/>
      <c r="L7981"/>
      <c r="R7981"/>
      <c r="S7981"/>
      <c r="T7981"/>
      <c r="U7981"/>
    </row>
    <row r="7982" spans="1:21">
      <c r="A7982"/>
      <c r="C7982"/>
      <c r="D7982"/>
      <c r="L7982"/>
      <c r="R7982"/>
      <c r="S7982"/>
      <c r="T7982"/>
      <c r="U7982"/>
    </row>
    <row r="7983" spans="1:21">
      <c r="A7983"/>
      <c r="C7983"/>
      <c r="D7983"/>
      <c r="L7983"/>
      <c r="R7983"/>
      <c r="S7983"/>
      <c r="T7983"/>
      <c r="U7983"/>
    </row>
    <row r="7984" spans="1:21">
      <c r="A7984"/>
      <c r="C7984"/>
      <c r="D7984"/>
      <c r="L7984"/>
      <c r="R7984"/>
      <c r="S7984"/>
      <c r="T7984"/>
      <c r="U7984"/>
    </row>
    <row r="7985" spans="1:21">
      <c r="A7985"/>
      <c r="C7985"/>
      <c r="D7985"/>
      <c r="L7985"/>
      <c r="R7985"/>
      <c r="S7985"/>
      <c r="T7985"/>
      <c r="U7985"/>
    </row>
    <row r="7986" spans="1:21">
      <c r="A7986"/>
      <c r="C7986"/>
      <c r="D7986"/>
      <c r="L7986"/>
      <c r="R7986"/>
      <c r="S7986"/>
      <c r="T7986"/>
      <c r="U7986"/>
    </row>
    <row r="7987" spans="1:21">
      <c r="A7987"/>
      <c r="C7987"/>
      <c r="D7987"/>
      <c r="L7987"/>
      <c r="R7987"/>
      <c r="S7987"/>
      <c r="T7987"/>
      <c r="U7987"/>
    </row>
    <row r="7988" spans="1:21">
      <c r="A7988"/>
      <c r="C7988"/>
      <c r="D7988"/>
      <c r="L7988"/>
      <c r="R7988"/>
      <c r="S7988"/>
      <c r="T7988"/>
      <c r="U7988"/>
    </row>
    <row r="7989" spans="1:21">
      <c r="A7989"/>
      <c r="C7989"/>
      <c r="D7989"/>
      <c r="L7989"/>
      <c r="R7989"/>
      <c r="S7989"/>
      <c r="T7989"/>
      <c r="U7989"/>
    </row>
    <row r="7990" spans="1:21">
      <c r="A7990"/>
      <c r="C7990"/>
      <c r="D7990"/>
      <c r="L7990"/>
      <c r="R7990"/>
      <c r="S7990"/>
      <c r="T7990"/>
      <c r="U7990"/>
    </row>
    <row r="7991" spans="1:21">
      <c r="A7991"/>
      <c r="C7991"/>
      <c r="D7991"/>
      <c r="L7991"/>
      <c r="R7991"/>
      <c r="S7991"/>
      <c r="T7991"/>
      <c r="U7991"/>
    </row>
    <row r="7992" spans="1:21">
      <c r="A7992"/>
      <c r="C7992"/>
      <c r="D7992"/>
      <c r="L7992"/>
      <c r="R7992"/>
      <c r="S7992"/>
      <c r="T7992"/>
      <c r="U7992"/>
    </row>
    <row r="7993" spans="1:21">
      <c r="A7993"/>
      <c r="C7993"/>
      <c r="D7993"/>
      <c r="L7993"/>
      <c r="R7993"/>
      <c r="S7993"/>
      <c r="T7993"/>
      <c r="U7993"/>
    </row>
    <row r="7994" spans="1:21">
      <c r="A7994"/>
      <c r="C7994"/>
      <c r="D7994"/>
      <c r="L7994"/>
      <c r="R7994"/>
      <c r="S7994"/>
      <c r="T7994"/>
      <c r="U7994"/>
    </row>
    <row r="7995" spans="1:21">
      <c r="A7995"/>
      <c r="C7995"/>
      <c r="D7995"/>
      <c r="L7995"/>
      <c r="R7995"/>
      <c r="S7995"/>
      <c r="T7995"/>
      <c r="U7995"/>
    </row>
    <row r="7996" spans="1:21">
      <c r="A7996"/>
      <c r="C7996"/>
      <c r="D7996"/>
      <c r="L7996"/>
      <c r="R7996"/>
      <c r="S7996"/>
      <c r="T7996"/>
      <c r="U7996"/>
    </row>
    <row r="7997" spans="1:21">
      <c r="A7997"/>
      <c r="C7997"/>
      <c r="D7997"/>
      <c r="L7997"/>
      <c r="R7997"/>
      <c r="S7997"/>
      <c r="T7997"/>
      <c r="U7997"/>
    </row>
    <row r="7998" spans="1:21">
      <c r="A7998"/>
      <c r="C7998"/>
      <c r="D7998"/>
      <c r="L7998"/>
      <c r="R7998"/>
      <c r="S7998"/>
      <c r="T7998"/>
      <c r="U7998"/>
    </row>
    <row r="7999" spans="1:21">
      <c r="A7999"/>
      <c r="C7999"/>
      <c r="D7999"/>
      <c r="L7999"/>
      <c r="R7999"/>
      <c r="S7999"/>
      <c r="T7999"/>
      <c r="U7999"/>
    </row>
    <row r="8000" spans="1:21">
      <c r="A8000"/>
      <c r="C8000"/>
      <c r="D8000"/>
      <c r="L8000"/>
      <c r="R8000"/>
      <c r="S8000"/>
      <c r="T8000"/>
      <c r="U8000"/>
    </row>
    <row r="8001" spans="1:21">
      <c r="A8001"/>
      <c r="C8001"/>
      <c r="D8001"/>
      <c r="L8001"/>
      <c r="R8001"/>
      <c r="S8001"/>
      <c r="T8001"/>
      <c r="U8001"/>
    </row>
    <row r="8002" spans="1:21">
      <c r="A8002"/>
      <c r="C8002"/>
      <c r="D8002"/>
      <c r="L8002"/>
      <c r="R8002"/>
      <c r="S8002"/>
      <c r="T8002"/>
      <c r="U8002"/>
    </row>
    <row r="8003" spans="1:21">
      <c r="A8003"/>
      <c r="C8003"/>
      <c r="D8003"/>
      <c r="L8003"/>
      <c r="R8003"/>
      <c r="S8003"/>
      <c r="T8003"/>
      <c r="U8003"/>
    </row>
    <row r="8004" spans="1:21">
      <c r="A8004"/>
      <c r="C8004"/>
      <c r="D8004"/>
      <c r="L8004"/>
      <c r="R8004"/>
      <c r="S8004"/>
      <c r="T8004"/>
      <c r="U8004"/>
    </row>
    <row r="8005" spans="1:21">
      <c r="A8005"/>
      <c r="C8005"/>
      <c r="D8005"/>
      <c r="L8005"/>
      <c r="R8005"/>
      <c r="S8005"/>
      <c r="T8005"/>
      <c r="U8005"/>
    </row>
    <row r="8006" spans="1:21">
      <c r="A8006"/>
      <c r="C8006"/>
      <c r="D8006"/>
      <c r="L8006"/>
      <c r="R8006"/>
      <c r="S8006"/>
      <c r="T8006"/>
      <c r="U8006"/>
    </row>
    <row r="8007" spans="1:21">
      <c r="A8007"/>
      <c r="C8007"/>
      <c r="D8007"/>
      <c r="L8007"/>
      <c r="R8007"/>
      <c r="S8007"/>
      <c r="T8007"/>
      <c r="U8007"/>
    </row>
    <row r="8008" spans="1:21">
      <c r="A8008"/>
      <c r="C8008"/>
      <c r="D8008"/>
      <c r="L8008"/>
      <c r="R8008"/>
      <c r="S8008"/>
      <c r="T8008"/>
      <c r="U8008"/>
    </row>
    <row r="8009" spans="1:21">
      <c r="A8009"/>
      <c r="C8009"/>
      <c r="D8009"/>
      <c r="L8009"/>
      <c r="R8009"/>
      <c r="S8009"/>
      <c r="T8009"/>
      <c r="U8009"/>
    </row>
    <row r="8010" spans="1:21">
      <c r="A8010"/>
      <c r="C8010"/>
      <c r="D8010"/>
      <c r="L8010"/>
      <c r="R8010"/>
      <c r="S8010"/>
      <c r="T8010"/>
      <c r="U8010"/>
    </row>
    <row r="8011" spans="1:21">
      <c r="A8011"/>
      <c r="C8011"/>
      <c r="D8011"/>
      <c r="L8011"/>
      <c r="R8011"/>
      <c r="S8011"/>
      <c r="T8011"/>
      <c r="U8011"/>
    </row>
    <row r="8012" spans="1:21">
      <c r="A8012"/>
      <c r="C8012"/>
      <c r="D8012"/>
      <c r="L8012"/>
      <c r="R8012"/>
      <c r="S8012"/>
      <c r="T8012"/>
      <c r="U8012"/>
    </row>
    <row r="8013" spans="1:21">
      <c r="A8013"/>
      <c r="C8013"/>
      <c r="D8013"/>
      <c r="L8013"/>
      <c r="R8013"/>
      <c r="S8013"/>
      <c r="T8013"/>
      <c r="U8013"/>
    </row>
    <row r="8014" spans="1:21">
      <c r="A8014"/>
      <c r="C8014"/>
      <c r="D8014"/>
      <c r="L8014"/>
      <c r="R8014"/>
      <c r="S8014"/>
      <c r="T8014"/>
      <c r="U8014"/>
    </row>
    <row r="8015" spans="1:21">
      <c r="A8015"/>
      <c r="C8015"/>
      <c r="D8015"/>
      <c r="L8015"/>
      <c r="R8015"/>
      <c r="S8015"/>
      <c r="T8015"/>
      <c r="U8015"/>
    </row>
    <row r="8016" spans="1:21">
      <c r="A8016"/>
      <c r="C8016"/>
      <c r="D8016"/>
      <c r="L8016"/>
      <c r="R8016"/>
      <c r="S8016"/>
      <c r="T8016"/>
      <c r="U8016"/>
    </row>
    <row r="8017" spans="1:21">
      <c r="A8017"/>
      <c r="C8017"/>
      <c r="D8017"/>
      <c r="L8017"/>
      <c r="R8017"/>
      <c r="S8017"/>
      <c r="T8017"/>
      <c r="U8017"/>
    </row>
    <row r="8018" spans="1:21">
      <c r="A8018"/>
      <c r="C8018"/>
      <c r="D8018"/>
      <c r="L8018"/>
      <c r="R8018"/>
      <c r="S8018"/>
      <c r="T8018"/>
      <c r="U8018"/>
    </row>
    <row r="8019" spans="1:21">
      <c r="A8019"/>
      <c r="C8019"/>
      <c r="D8019"/>
      <c r="L8019"/>
      <c r="R8019"/>
      <c r="S8019"/>
      <c r="T8019"/>
      <c r="U8019"/>
    </row>
    <row r="8020" spans="1:21">
      <c r="A8020"/>
      <c r="C8020"/>
      <c r="D8020"/>
      <c r="L8020"/>
      <c r="R8020"/>
      <c r="S8020"/>
      <c r="T8020"/>
      <c r="U8020"/>
    </row>
    <row r="8021" spans="1:21">
      <c r="A8021"/>
      <c r="C8021"/>
      <c r="D8021"/>
      <c r="L8021"/>
      <c r="R8021"/>
      <c r="S8021"/>
      <c r="T8021"/>
      <c r="U8021"/>
    </row>
    <row r="8022" spans="1:21">
      <c r="A8022"/>
      <c r="C8022"/>
      <c r="D8022"/>
      <c r="L8022"/>
      <c r="R8022"/>
      <c r="S8022"/>
      <c r="T8022"/>
      <c r="U8022"/>
    </row>
    <row r="8023" spans="1:21">
      <c r="A8023"/>
      <c r="C8023"/>
      <c r="D8023"/>
      <c r="L8023"/>
      <c r="R8023"/>
      <c r="S8023"/>
      <c r="T8023"/>
      <c r="U8023"/>
    </row>
    <row r="8024" spans="1:21">
      <c r="A8024"/>
      <c r="C8024"/>
      <c r="D8024"/>
      <c r="L8024"/>
      <c r="R8024"/>
      <c r="S8024"/>
      <c r="T8024"/>
      <c r="U8024"/>
    </row>
    <row r="8025" spans="1:21">
      <c r="A8025"/>
      <c r="C8025"/>
      <c r="D8025"/>
      <c r="L8025"/>
      <c r="R8025"/>
      <c r="S8025"/>
      <c r="T8025"/>
      <c r="U8025"/>
    </row>
    <row r="8026" spans="1:21">
      <c r="A8026"/>
      <c r="C8026"/>
      <c r="D8026"/>
      <c r="L8026"/>
      <c r="R8026"/>
      <c r="S8026"/>
      <c r="T8026"/>
      <c r="U8026"/>
    </row>
    <row r="8027" spans="1:21">
      <c r="A8027"/>
      <c r="C8027"/>
      <c r="D8027"/>
      <c r="L8027"/>
      <c r="R8027"/>
      <c r="S8027"/>
      <c r="T8027"/>
      <c r="U8027"/>
    </row>
    <row r="8028" spans="1:21">
      <c r="A8028"/>
      <c r="C8028"/>
      <c r="D8028"/>
      <c r="L8028"/>
      <c r="R8028"/>
      <c r="S8028"/>
      <c r="T8028"/>
      <c r="U8028"/>
    </row>
    <row r="8029" spans="1:21">
      <c r="A8029"/>
      <c r="C8029"/>
      <c r="D8029"/>
      <c r="L8029"/>
      <c r="R8029"/>
      <c r="S8029"/>
      <c r="T8029"/>
      <c r="U8029"/>
    </row>
    <row r="8030" spans="1:21">
      <c r="A8030"/>
      <c r="C8030"/>
      <c r="D8030"/>
      <c r="L8030"/>
      <c r="R8030"/>
      <c r="S8030"/>
      <c r="T8030"/>
      <c r="U8030"/>
    </row>
    <row r="8031" spans="1:21">
      <c r="A8031"/>
      <c r="C8031"/>
      <c r="D8031"/>
      <c r="L8031"/>
      <c r="R8031"/>
      <c r="S8031"/>
      <c r="T8031"/>
      <c r="U8031"/>
    </row>
    <row r="8032" spans="1:21">
      <c r="A8032"/>
      <c r="C8032"/>
      <c r="D8032"/>
      <c r="L8032"/>
      <c r="R8032"/>
      <c r="S8032"/>
      <c r="T8032"/>
      <c r="U8032"/>
    </row>
    <row r="8033" spans="1:21">
      <c r="A8033"/>
      <c r="C8033"/>
      <c r="D8033"/>
      <c r="L8033"/>
      <c r="R8033"/>
      <c r="S8033"/>
      <c r="T8033"/>
      <c r="U8033"/>
    </row>
    <row r="8034" spans="1:21">
      <c r="A8034"/>
      <c r="C8034"/>
      <c r="D8034"/>
      <c r="L8034"/>
      <c r="R8034"/>
      <c r="S8034"/>
      <c r="T8034"/>
      <c r="U8034"/>
    </row>
    <row r="8035" spans="1:21">
      <c r="A8035"/>
      <c r="C8035"/>
      <c r="D8035"/>
      <c r="L8035"/>
      <c r="R8035"/>
      <c r="S8035"/>
      <c r="T8035"/>
      <c r="U8035"/>
    </row>
    <row r="8036" spans="1:21">
      <c r="A8036"/>
      <c r="C8036"/>
      <c r="D8036"/>
      <c r="L8036"/>
      <c r="R8036"/>
      <c r="S8036"/>
      <c r="T8036"/>
      <c r="U8036"/>
    </row>
    <row r="8037" spans="1:21">
      <c r="A8037"/>
      <c r="C8037"/>
      <c r="D8037"/>
      <c r="L8037"/>
      <c r="R8037"/>
      <c r="S8037"/>
      <c r="T8037"/>
      <c r="U8037"/>
    </row>
    <row r="8038" spans="1:21">
      <c r="A8038"/>
      <c r="C8038"/>
      <c r="D8038"/>
      <c r="L8038"/>
      <c r="R8038"/>
      <c r="S8038"/>
      <c r="T8038"/>
      <c r="U8038"/>
    </row>
    <row r="8039" spans="1:21">
      <c r="A8039"/>
      <c r="C8039"/>
      <c r="D8039"/>
      <c r="L8039"/>
      <c r="R8039"/>
      <c r="S8039"/>
      <c r="T8039"/>
      <c r="U8039"/>
    </row>
    <row r="8040" spans="1:21">
      <c r="A8040"/>
      <c r="C8040"/>
      <c r="D8040"/>
      <c r="L8040"/>
      <c r="R8040"/>
      <c r="S8040"/>
      <c r="T8040"/>
      <c r="U8040"/>
    </row>
    <row r="8041" spans="1:21">
      <c r="A8041"/>
      <c r="C8041"/>
      <c r="D8041"/>
      <c r="L8041"/>
      <c r="R8041"/>
      <c r="S8041"/>
      <c r="T8041"/>
      <c r="U8041"/>
    </row>
    <row r="8042" spans="1:21">
      <c r="A8042"/>
      <c r="C8042"/>
      <c r="D8042"/>
      <c r="L8042"/>
      <c r="R8042"/>
      <c r="S8042"/>
      <c r="T8042"/>
      <c r="U8042"/>
    </row>
    <row r="8043" spans="1:21">
      <c r="A8043"/>
      <c r="C8043"/>
      <c r="D8043"/>
      <c r="L8043"/>
      <c r="R8043"/>
      <c r="S8043"/>
      <c r="T8043"/>
      <c r="U8043"/>
    </row>
    <row r="8044" spans="1:21">
      <c r="A8044"/>
      <c r="C8044"/>
      <c r="D8044"/>
      <c r="L8044"/>
      <c r="R8044"/>
      <c r="S8044"/>
      <c r="T8044"/>
      <c r="U8044"/>
    </row>
    <row r="8045" spans="1:21">
      <c r="A8045"/>
      <c r="C8045"/>
      <c r="D8045"/>
      <c r="L8045"/>
      <c r="R8045"/>
      <c r="S8045"/>
      <c r="T8045"/>
      <c r="U8045"/>
    </row>
    <row r="8046" spans="1:21">
      <c r="A8046"/>
      <c r="C8046"/>
      <c r="D8046"/>
      <c r="L8046"/>
      <c r="R8046"/>
      <c r="S8046"/>
      <c r="T8046"/>
      <c r="U8046"/>
    </row>
    <row r="8047" spans="1:21">
      <c r="A8047"/>
      <c r="C8047"/>
      <c r="D8047"/>
      <c r="L8047"/>
      <c r="R8047"/>
      <c r="S8047"/>
      <c r="T8047"/>
      <c r="U8047"/>
    </row>
    <row r="8048" spans="1:21">
      <c r="A8048"/>
      <c r="C8048"/>
      <c r="D8048"/>
      <c r="L8048"/>
      <c r="R8048"/>
      <c r="S8048"/>
      <c r="T8048"/>
      <c r="U8048"/>
    </row>
    <row r="8049" spans="1:21">
      <c r="A8049"/>
      <c r="C8049"/>
      <c r="D8049"/>
      <c r="L8049"/>
      <c r="R8049"/>
      <c r="S8049"/>
      <c r="T8049"/>
      <c r="U8049"/>
    </row>
    <row r="8050" spans="1:21">
      <c r="A8050"/>
      <c r="C8050"/>
      <c r="D8050"/>
      <c r="L8050"/>
      <c r="R8050"/>
      <c r="S8050"/>
      <c r="T8050"/>
      <c r="U8050"/>
    </row>
    <row r="8051" spans="1:21">
      <c r="A8051"/>
      <c r="C8051"/>
      <c r="D8051"/>
      <c r="L8051"/>
      <c r="R8051"/>
      <c r="S8051"/>
      <c r="T8051"/>
      <c r="U8051"/>
    </row>
    <row r="8052" spans="1:21">
      <c r="A8052"/>
      <c r="C8052"/>
      <c r="D8052"/>
      <c r="L8052"/>
      <c r="R8052"/>
      <c r="S8052"/>
      <c r="T8052"/>
      <c r="U8052"/>
    </row>
    <row r="8053" spans="1:21">
      <c r="A8053"/>
      <c r="C8053"/>
      <c r="D8053"/>
      <c r="L8053"/>
      <c r="R8053"/>
      <c r="S8053"/>
      <c r="T8053"/>
      <c r="U8053"/>
    </row>
    <row r="8054" spans="1:21">
      <c r="A8054"/>
      <c r="C8054"/>
      <c r="D8054"/>
      <c r="L8054"/>
      <c r="R8054"/>
      <c r="S8054"/>
      <c r="T8054"/>
      <c r="U8054"/>
    </row>
    <row r="8055" spans="1:21">
      <c r="A8055"/>
      <c r="C8055"/>
      <c r="D8055"/>
      <c r="L8055"/>
      <c r="R8055"/>
      <c r="S8055"/>
      <c r="T8055"/>
      <c r="U8055"/>
    </row>
    <row r="8056" spans="1:21">
      <c r="A8056"/>
      <c r="C8056"/>
      <c r="D8056"/>
      <c r="L8056"/>
      <c r="R8056"/>
      <c r="S8056"/>
      <c r="T8056"/>
      <c r="U8056"/>
    </row>
    <row r="8057" spans="1:21">
      <c r="A8057"/>
      <c r="C8057"/>
      <c r="D8057"/>
      <c r="L8057"/>
      <c r="R8057"/>
      <c r="S8057"/>
      <c r="T8057"/>
      <c r="U8057"/>
    </row>
    <row r="8058" spans="1:21">
      <c r="A8058"/>
      <c r="C8058"/>
      <c r="D8058"/>
      <c r="L8058"/>
      <c r="R8058"/>
      <c r="S8058"/>
      <c r="T8058"/>
      <c r="U8058"/>
    </row>
    <row r="8059" spans="1:21">
      <c r="A8059"/>
      <c r="C8059"/>
      <c r="D8059"/>
      <c r="L8059"/>
      <c r="R8059"/>
      <c r="S8059"/>
      <c r="T8059"/>
      <c r="U8059"/>
    </row>
    <row r="8060" spans="1:21">
      <c r="A8060"/>
      <c r="C8060"/>
      <c r="D8060"/>
      <c r="L8060"/>
      <c r="R8060"/>
      <c r="S8060"/>
      <c r="T8060"/>
      <c r="U8060"/>
    </row>
    <row r="8061" spans="1:21">
      <c r="A8061"/>
      <c r="C8061"/>
      <c r="D8061"/>
      <c r="L8061"/>
      <c r="R8061"/>
      <c r="S8061"/>
      <c r="T8061"/>
      <c r="U8061"/>
    </row>
    <row r="8062" spans="1:21">
      <c r="A8062"/>
      <c r="C8062"/>
      <c r="D8062"/>
      <c r="L8062"/>
      <c r="R8062"/>
      <c r="S8062"/>
      <c r="T8062"/>
      <c r="U8062"/>
    </row>
    <row r="8063" spans="1:21">
      <c r="A8063"/>
      <c r="C8063"/>
      <c r="D8063"/>
      <c r="L8063"/>
      <c r="R8063"/>
      <c r="S8063"/>
      <c r="T8063"/>
      <c r="U8063"/>
    </row>
    <row r="8064" spans="1:21">
      <c r="A8064"/>
      <c r="C8064"/>
      <c r="D8064"/>
      <c r="L8064"/>
      <c r="R8064"/>
      <c r="S8064"/>
      <c r="T8064"/>
      <c r="U8064"/>
    </row>
    <row r="8065" spans="1:21">
      <c r="A8065"/>
      <c r="C8065"/>
      <c r="D8065"/>
      <c r="L8065"/>
      <c r="R8065"/>
      <c r="S8065"/>
      <c r="T8065"/>
      <c r="U8065"/>
    </row>
    <row r="8066" spans="1:21">
      <c r="A8066"/>
      <c r="C8066"/>
      <c r="D8066"/>
      <c r="L8066"/>
      <c r="R8066"/>
      <c r="S8066"/>
      <c r="T8066"/>
      <c r="U8066"/>
    </row>
    <row r="8067" spans="1:21">
      <c r="A8067"/>
      <c r="C8067"/>
      <c r="D8067"/>
      <c r="L8067"/>
      <c r="R8067"/>
      <c r="S8067"/>
      <c r="T8067"/>
      <c r="U8067"/>
    </row>
    <row r="8068" spans="1:21">
      <c r="A8068"/>
      <c r="C8068"/>
      <c r="D8068"/>
      <c r="L8068"/>
      <c r="R8068"/>
      <c r="S8068"/>
      <c r="T8068"/>
      <c r="U8068"/>
    </row>
    <row r="8069" spans="1:21">
      <c r="A8069"/>
      <c r="C8069"/>
      <c r="D8069"/>
      <c r="L8069"/>
      <c r="R8069"/>
      <c r="S8069"/>
      <c r="T8069"/>
      <c r="U8069"/>
    </row>
    <row r="8070" spans="1:21">
      <c r="A8070"/>
      <c r="C8070"/>
      <c r="D8070"/>
      <c r="L8070"/>
      <c r="R8070"/>
      <c r="S8070"/>
      <c r="T8070"/>
      <c r="U8070"/>
    </row>
    <row r="8071" spans="1:21">
      <c r="A8071"/>
      <c r="C8071"/>
      <c r="D8071"/>
      <c r="L8071"/>
      <c r="R8071"/>
      <c r="S8071"/>
      <c r="T8071"/>
      <c r="U8071"/>
    </row>
    <row r="8072" spans="1:21">
      <c r="A8072"/>
      <c r="C8072"/>
      <c r="D8072"/>
      <c r="L8072"/>
      <c r="R8072"/>
      <c r="S8072"/>
      <c r="T8072"/>
      <c r="U8072"/>
    </row>
    <row r="8073" spans="1:21">
      <c r="A8073"/>
      <c r="C8073"/>
      <c r="D8073"/>
      <c r="L8073"/>
      <c r="R8073"/>
      <c r="S8073"/>
      <c r="T8073"/>
      <c r="U8073"/>
    </row>
    <row r="8074" spans="1:21">
      <c r="A8074"/>
      <c r="C8074"/>
      <c r="D8074"/>
      <c r="L8074"/>
      <c r="R8074"/>
      <c r="S8074"/>
      <c r="T8074"/>
      <c r="U8074"/>
    </row>
    <row r="8075" spans="1:21">
      <c r="A8075"/>
      <c r="C8075"/>
      <c r="D8075"/>
      <c r="L8075"/>
      <c r="R8075"/>
      <c r="S8075"/>
      <c r="T8075"/>
      <c r="U8075"/>
    </row>
    <row r="8076" spans="1:21">
      <c r="A8076"/>
      <c r="C8076"/>
      <c r="D8076"/>
      <c r="L8076"/>
      <c r="R8076"/>
      <c r="S8076"/>
      <c r="T8076"/>
      <c r="U8076"/>
    </row>
    <row r="8077" spans="1:21">
      <c r="A8077"/>
      <c r="C8077"/>
      <c r="D8077"/>
      <c r="L8077"/>
      <c r="R8077"/>
      <c r="S8077"/>
      <c r="T8077"/>
      <c r="U8077"/>
    </row>
    <row r="8078" spans="1:21">
      <c r="A8078"/>
      <c r="C8078"/>
      <c r="D8078"/>
      <c r="L8078"/>
      <c r="R8078"/>
      <c r="S8078"/>
      <c r="T8078"/>
      <c r="U8078"/>
    </row>
    <row r="8079" spans="1:21">
      <c r="A8079"/>
      <c r="C8079"/>
      <c r="D8079"/>
      <c r="L8079"/>
      <c r="R8079"/>
      <c r="S8079"/>
      <c r="T8079"/>
      <c r="U8079"/>
    </row>
    <row r="8080" spans="1:21">
      <c r="A8080"/>
      <c r="C8080"/>
      <c r="D8080"/>
      <c r="L8080"/>
      <c r="R8080"/>
      <c r="S8080"/>
      <c r="T8080"/>
      <c r="U8080"/>
    </row>
    <row r="8081" spans="1:21">
      <c r="A8081"/>
      <c r="C8081"/>
      <c r="D8081"/>
      <c r="L8081"/>
      <c r="R8081"/>
      <c r="S8081"/>
      <c r="T8081"/>
      <c r="U8081"/>
    </row>
    <row r="8082" spans="1:21">
      <c r="A8082"/>
      <c r="C8082"/>
      <c r="D8082"/>
      <c r="L8082"/>
      <c r="R8082"/>
      <c r="S8082"/>
      <c r="T8082"/>
      <c r="U8082"/>
    </row>
    <row r="8083" spans="1:21">
      <c r="A8083"/>
      <c r="C8083"/>
      <c r="D8083"/>
      <c r="L8083"/>
      <c r="R8083"/>
      <c r="S8083"/>
      <c r="T8083"/>
      <c r="U8083"/>
    </row>
    <row r="8084" spans="1:21">
      <c r="A8084"/>
      <c r="C8084"/>
      <c r="D8084"/>
      <c r="L8084"/>
      <c r="R8084"/>
      <c r="S8084"/>
      <c r="T8084"/>
      <c r="U8084"/>
    </row>
    <row r="8085" spans="1:21">
      <c r="A8085"/>
      <c r="C8085"/>
      <c r="D8085"/>
      <c r="L8085"/>
      <c r="R8085"/>
      <c r="S8085"/>
      <c r="T8085"/>
      <c r="U8085"/>
    </row>
    <row r="8086" spans="1:21">
      <c r="A8086"/>
      <c r="C8086"/>
      <c r="D8086"/>
      <c r="L8086"/>
      <c r="R8086"/>
      <c r="S8086"/>
      <c r="T8086"/>
      <c r="U8086"/>
    </row>
    <row r="8087" spans="1:21">
      <c r="A8087"/>
      <c r="C8087"/>
      <c r="D8087"/>
      <c r="L8087"/>
      <c r="R8087"/>
      <c r="S8087"/>
      <c r="T8087"/>
      <c r="U8087"/>
    </row>
    <row r="8088" spans="1:21">
      <c r="A8088"/>
      <c r="C8088"/>
      <c r="D8088"/>
      <c r="L8088"/>
      <c r="R8088"/>
      <c r="S8088"/>
      <c r="T8088"/>
      <c r="U8088"/>
    </row>
    <row r="8089" spans="1:21">
      <c r="A8089"/>
      <c r="C8089"/>
      <c r="D8089"/>
      <c r="L8089"/>
      <c r="R8089"/>
      <c r="S8089"/>
      <c r="T8089"/>
      <c r="U8089"/>
    </row>
    <row r="8090" spans="1:21">
      <c r="A8090"/>
      <c r="C8090"/>
      <c r="D8090"/>
      <c r="L8090"/>
      <c r="R8090"/>
      <c r="S8090"/>
      <c r="T8090"/>
      <c r="U8090"/>
    </row>
    <row r="8091" spans="1:21">
      <c r="A8091"/>
      <c r="C8091"/>
      <c r="D8091"/>
      <c r="L8091"/>
      <c r="R8091"/>
      <c r="S8091"/>
      <c r="T8091"/>
      <c r="U8091"/>
    </row>
    <row r="8092" spans="1:21">
      <c r="A8092"/>
      <c r="C8092"/>
      <c r="D8092"/>
      <c r="L8092"/>
      <c r="R8092"/>
      <c r="S8092"/>
      <c r="T8092"/>
      <c r="U8092"/>
    </row>
    <row r="8093" spans="1:21">
      <c r="A8093"/>
      <c r="C8093"/>
      <c r="D8093"/>
      <c r="L8093"/>
      <c r="R8093"/>
      <c r="S8093"/>
      <c r="T8093"/>
      <c r="U8093"/>
    </row>
    <row r="8094" spans="1:21">
      <c r="A8094"/>
      <c r="C8094"/>
      <c r="D8094"/>
      <c r="L8094"/>
      <c r="R8094"/>
      <c r="S8094"/>
      <c r="T8094"/>
      <c r="U8094"/>
    </row>
    <row r="8095" spans="1:21">
      <c r="A8095"/>
      <c r="C8095"/>
      <c r="D8095"/>
      <c r="L8095"/>
      <c r="R8095"/>
      <c r="S8095"/>
      <c r="T8095"/>
      <c r="U8095"/>
    </row>
    <row r="8096" spans="1:21">
      <c r="A8096"/>
      <c r="C8096"/>
      <c r="D8096"/>
      <c r="L8096"/>
      <c r="R8096"/>
      <c r="S8096"/>
      <c r="T8096"/>
      <c r="U8096"/>
    </row>
    <row r="8097" spans="1:21">
      <c r="A8097"/>
      <c r="C8097"/>
      <c r="D8097"/>
      <c r="L8097"/>
      <c r="R8097"/>
      <c r="S8097"/>
      <c r="T8097"/>
      <c r="U8097"/>
    </row>
    <row r="8098" spans="1:21">
      <c r="A8098"/>
      <c r="C8098"/>
      <c r="D8098"/>
      <c r="L8098"/>
      <c r="R8098"/>
      <c r="S8098"/>
      <c r="T8098"/>
      <c r="U8098"/>
    </row>
    <row r="8099" spans="1:21">
      <c r="A8099"/>
      <c r="C8099"/>
      <c r="D8099"/>
      <c r="L8099"/>
      <c r="R8099"/>
      <c r="S8099"/>
      <c r="T8099"/>
      <c r="U8099"/>
    </row>
    <row r="8100" spans="1:21">
      <c r="A8100"/>
      <c r="C8100"/>
      <c r="D8100"/>
      <c r="L8100"/>
      <c r="R8100"/>
      <c r="S8100"/>
      <c r="T8100"/>
      <c r="U8100"/>
    </row>
    <row r="8101" spans="1:21">
      <c r="A8101"/>
      <c r="C8101"/>
      <c r="D8101"/>
      <c r="L8101"/>
      <c r="R8101"/>
      <c r="S8101"/>
      <c r="T8101"/>
      <c r="U8101"/>
    </row>
    <row r="8102" spans="1:21">
      <c r="A8102"/>
      <c r="C8102"/>
      <c r="D8102"/>
      <c r="L8102"/>
      <c r="R8102"/>
      <c r="S8102"/>
      <c r="T8102"/>
      <c r="U8102"/>
    </row>
    <row r="8103" spans="1:21">
      <c r="A8103"/>
      <c r="C8103"/>
      <c r="D8103"/>
      <c r="L8103"/>
      <c r="R8103"/>
      <c r="S8103"/>
      <c r="T8103"/>
      <c r="U8103"/>
    </row>
    <row r="8104" spans="1:21">
      <c r="A8104"/>
      <c r="C8104"/>
      <c r="D8104"/>
      <c r="L8104"/>
      <c r="R8104"/>
      <c r="S8104"/>
      <c r="T8104"/>
      <c r="U8104"/>
    </row>
    <row r="8105" spans="1:21">
      <c r="A8105"/>
      <c r="C8105"/>
      <c r="D8105"/>
      <c r="L8105"/>
      <c r="R8105"/>
      <c r="S8105"/>
      <c r="T8105"/>
      <c r="U8105"/>
    </row>
    <row r="8106" spans="1:21">
      <c r="A8106"/>
      <c r="C8106"/>
      <c r="D8106"/>
      <c r="L8106"/>
      <c r="R8106"/>
      <c r="S8106"/>
      <c r="T8106"/>
      <c r="U8106"/>
    </row>
    <row r="8107" spans="1:21">
      <c r="A8107"/>
      <c r="C8107"/>
      <c r="D8107"/>
      <c r="L8107"/>
      <c r="R8107"/>
      <c r="S8107"/>
      <c r="T8107"/>
      <c r="U8107"/>
    </row>
    <row r="8108" spans="1:21">
      <c r="A8108"/>
      <c r="C8108"/>
      <c r="D8108"/>
      <c r="L8108"/>
      <c r="R8108"/>
      <c r="S8108"/>
      <c r="T8108"/>
      <c r="U8108"/>
    </row>
    <row r="8109" spans="1:21">
      <c r="A8109"/>
      <c r="C8109"/>
      <c r="D8109"/>
      <c r="L8109"/>
      <c r="R8109"/>
      <c r="S8109"/>
      <c r="T8109"/>
      <c r="U8109"/>
    </row>
    <row r="8110" spans="1:21">
      <c r="A8110"/>
      <c r="C8110"/>
      <c r="D8110"/>
      <c r="L8110"/>
      <c r="R8110"/>
      <c r="S8110"/>
      <c r="T8110"/>
      <c r="U8110"/>
    </row>
    <row r="8111" spans="1:21">
      <c r="A8111"/>
      <c r="C8111"/>
      <c r="D8111"/>
      <c r="L8111"/>
      <c r="R8111"/>
      <c r="S8111"/>
      <c r="T8111"/>
      <c r="U8111"/>
    </row>
    <row r="8112" spans="1:21">
      <c r="A8112"/>
      <c r="C8112"/>
      <c r="D8112"/>
      <c r="L8112"/>
      <c r="R8112"/>
      <c r="S8112"/>
      <c r="T8112"/>
      <c r="U8112"/>
    </row>
    <row r="8113" spans="1:21">
      <c r="A8113"/>
      <c r="C8113"/>
      <c r="D8113"/>
      <c r="L8113"/>
      <c r="R8113"/>
      <c r="S8113"/>
      <c r="T8113"/>
      <c r="U8113"/>
    </row>
    <row r="8114" spans="1:21">
      <c r="A8114"/>
      <c r="C8114"/>
      <c r="D8114"/>
      <c r="L8114"/>
      <c r="R8114"/>
      <c r="S8114"/>
      <c r="T8114"/>
      <c r="U8114"/>
    </row>
    <row r="8115" spans="1:21">
      <c r="A8115"/>
      <c r="C8115"/>
      <c r="D8115"/>
      <c r="L8115"/>
      <c r="R8115"/>
      <c r="S8115"/>
      <c r="T8115"/>
      <c r="U8115"/>
    </row>
    <row r="8116" spans="1:21">
      <c r="A8116"/>
      <c r="C8116"/>
      <c r="D8116"/>
      <c r="L8116"/>
      <c r="R8116"/>
      <c r="S8116"/>
      <c r="T8116"/>
      <c r="U8116"/>
    </row>
    <row r="8117" spans="1:21">
      <c r="A8117"/>
      <c r="C8117"/>
      <c r="D8117"/>
      <c r="L8117"/>
      <c r="R8117"/>
      <c r="S8117"/>
      <c r="T8117"/>
      <c r="U8117"/>
    </row>
    <row r="8118" spans="1:21">
      <c r="A8118"/>
      <c r="C8118"/>
      <c r="D8118"/>
      <c r="L8118"/>
      <c r="R8118"/>
      <c r="S8118"/>
      <c r="T8118"/>
      <c r="U8118"/>
    </row>
    <row r="8119" spans="1:21">
      <c r="A8119"/>
      <c r="C8119"/>
      <c r="D8119"/>
      <c r="L8119"/>
      <c r="R8119"/>
      <c r="S8119"/>
      <c r="T8119"/>
      <c r="U8119"/>
    </row>
    <row r="8120" spans="1:21">
      <c r="A8120"/>
      <c r="C8120"/>
      <c r="D8120"/>
      <c r="L8120"/>
      <c r="R8120"/>
      <c r="S8120"/>
      <c r="T8120"/>
      <c r="U8120"/>
    </row>
    <row r="8121" spans="1:21">
      <c r="A8121"/>
      <c r="C8121"/>
      <c r="D8121"/>
      <c r="L8121"/>
      <c r="R8121"/>
      <c r="S8121"/>
      <c r="T8121"/>
      <c r="U8121"/>
    </row>
    <row r="8122" spans="1:21">
      <c r="A8122"/>
      <c r="C8122"/>
      <c r="D8122"/>
      <c r="L8122"/>
      <c r="R8122"/>
      <c r="S8122"/>
      <c r="T8122"/>
      <c r="U8122"/>
    </row>
    <row r="8123" spans="1:21">
      <c r="A8123"/>
      <c r="C8123"/>
      <c r="D8123"/>
      <c r="L8123"/>
      <c r="R8123"/>
      <c r="S8123"/>
      <c r="T8123"/>
      <c r="U8123"/>
    </row>
    <row r="8124" spans="1:21">
      <c r="A8124"/>
      <c r="C8124"/>
      <c r="D8124"/>
      <c r="L8124"/>
      <c r="R8124"/>
      <c r="S8124"/>
      <c r="T8124"/>
      <c r="U8124"/>
    </row>
    <row r="8125" spans="1:21">
      <c r="A8125"/>
      <c r="C8125"/>
      <c r="D8125"/>
      <c r="L8125"/>
      <c r="R8125"/>
      <c r="S8125"/>
      <c r="T8125"/>
      <c r="U8125"/>
    </row>
    <row r="8126" spans="1:21">
      <c r="A8126"/>
      <c r="C8126"/>
      <c r="D8126"/>
      <c r="L8126"/>
      <c r="R8126"/>
      <c r="S8126"/>
      <c r="T8126"/>
      <c r="U8126"/>
    </row>
    <row r="8127" spans="1:21">
      <c r="A8127"/>
      <c r="C8127"/>
      <c r="D8127"/>
      <c r="L8127"/>
      <c r="R8127"/>
      <c r="S8127"/>
      <c r="T8127"/>
      <c r="U8127"/>
    </row>
    <row r="8128" spans="1:21">
      <c r="A8128"/>
      <c r="C8128"/>
      <c r="D8128"/>
      <c r="L8128"/>
      <c r="R8128"/>
      <c r="S8128"/>
      <c r="T8128"/>
      <c r="U8128"/>
    </row>
    <row r="8129" spans="1:21">
      <c r="A8129"/>
      <c r="C8129"/>
      <c r="D8129"/>
      <c r="L8129"/>
      <c r="R8129"/>
      <c r="S8129"/>
      <c r="T8129"/>
      <c r="U8129"/>
    </row>
    <row r="8130" spans="1:21">
      <c r="A8130"/>
      <c r="C8130"/>
      <c r="D8130"/>
      <c r="L8130"/>
      <c r="R8130"/>
      <c r="S8130"/>
      <c r="T8130"/>
      <c r="U8130"/>
    </row>
    <row r="8131" spans="1:21">
      <c r="A8131"/>
      <c r="C8131"/>
      <c r="D8131"/>
      <c r="L8131"/>
      <c r="R8131"/>
      <c r="S8131"/>
      <c r="T8131"/>
      <c r="U8131"/>
    </row>
    <row r="8132" spans="1:21">
      <c r="A8132"/>
      <c r="C8132"/>
      <c r="D8132"/>
      <c r="L8132"/>
      <c r="R8132"/>
      <c r="S8132"/>
      <c r="T8132"/>
      <c r="U8132"/>
    </row>
    <row r="8133" spans="1:21">
      <c r="A8133"/>
      <c r="C8133"/>
      <c r="D8133"/>
      <c r="L8133"/>
      <c r="R8133"/>
      <c r="S8133"/>
      <c r="T8133"/>
      <c r="U8133"/>
    </row>
    <row r="8134" spans="1:21">
      <c r="A8134"/>
      <c r="C8134"/>
      <c r="D8134"/>
      <c r="L8134"/>
      <c r="R8134"/>
      <c r="S8134"/>
      <c r="T8134"/>
      <c r="U8134"/>
    </row>
    <row r="8135" spans="1:21">
      <c r="A8135"/>
      <c r="C8135"/>
      <c r="D8135"/>
      <c r="L8135"/>
      <c r="R8135"/>
      <c r="S8135"/>
      <c r="T8135"/>
      <c r="U8135"/>
    </row>
    <row r="8136" spans="1:21">
      <c r="A8136"/>
      <c r="C8136"/>
      <c r="D8136"/>
      <c r="L8136"/>
      <c r="R8136"/>
      <c r="S8136"/>
      <c r="T8136"/>
      <c r="U8136"/>
    </row>
    <row r="8137" spans="1:21">
      <c r="A8137"/>
      <c r="C8137"/>
      <c r="D8137"/>
      <c r="L8137"/>
      <c r="R8137"/>
      <c r="S8137"/>
      <c r="T8137"/>
      <c r="U8137"/>
    </row>
    <row r="8138" spans="1:21">
      <c r="A8138"/>
      <c r="C8138"/>
      <c r="D8138"/>
      <c r="L8138"/>
      <c r="R8138"/>
      <c r="S8138"/>
      <c r="T8138"/>
      <c r="U8138"/>
    </row>
    <row r="8139" spans="1:21">
      <c r="A8139"/>
      <c r="C8139"/>
      <c r="D8139"/>
      <c r="L8139"/>
      <c r="R8139"/>
      <c r="S8139"/>
      <c r="T8139"/>
      <c r="U8139"/>
    </row>
    <row r="8140" spans="1:21">
      <c r="A8140"/>
      <c r="C8140"/>
      <c r="D8140"/>
      <c r="L8140"/>
      <c r="R8140"/>
      <c r="S8140"/>
      <c r="T8140"/>
      <c r="U8140"/>
    </row>
    <row r="8141" spans="1:21">
      <c r="A8141"/>
      <c r="C8141"/>
      <c r="D8141"/>
      <c r="L8141"/>
      <c r="R8141"/>
      <c r="S8141"/>
      <c r="T8141"/>
      <c r="U8141"/>
    </row>
    <row r="8142" spans="1:21">
      <c r="A8142"/>
      <c r="C8142"/>
      <c r="D8142"/>
      <c r="L8142"/>
      <c r="R8142"/>
      <c r="S8142"/>
      <c r="T8142"/>
      <c r="U8142"/>
    </row>
    <row r="8143" spans="1:21">
      <c r="A8143"/>
      <c r="C8143"/>
      <c r="D8143"/>
      <c r="L8143"/>
      <c r="R8143"/>
      <c r="S8143"/>
      <c r="T8143"/>
      <c r="U8143"/>
    </row>
    <row r="8144" spans="1:21">
      <c r="A8144"/>
      <c r="C8144"/>
      <c r="D8144"/>
      <c r="L8144"/>
      <c r="R8144"/>
      <c r="S8144"/>
      <c r="T8144"/>
      <c r="U8144"/>
    </row>
    <row r="8145" spans="1:21">
      <c r="A8145"/>
      <c r="C8145"/>
      <c r="D8145"/>
      <c r="L8145"/>
      <c r="R8145"/>
      <c r="S8145"/>
      <c r="T8145"/>
      <c r="U8145"/>
    </row>
    <row r="8146" spans="1:21">
      <c r="A8146"/>
      <c r="C8146"/>
      <c r="D8146"/>
      <c r="L8146"/>
      <c r="R8146"/>
      <c r="S8146"/>
      <c r="T8146"/>
      <c r="U8146"/>
    </row>
    <row r="8147" spans="1:21">
      <c r="A8147"/>
      <c r="C8147"/>
      <c r="D8147"/>
      <c r="L8147"/>
      <c r="R8147"/>
      <c r="S8147"/>
      <c r="T8147"/>
      <c r="U8147"/>
    </row>
    <row r="8148" spans="1:21">
      <c r="A8148"/>
      <c r="C8148"/>
      <c r="D8148"/>
      <c r="L8148"/>
      <c r="R8148"/>
      <c r="S8148"/>
      <c r="T8148"/>
      <c r="U8148"/>
    </row>
    <row r="8149" spans="1:21">
      <c r="A8149"/>
      <c r="C8149"/>
      <c r="D8149"/>
      <c r="L8149"/>
      <c r="R8149"/>
      <c r="S8149"/>
      <c r="T8149"/>
      <c r="U8149"/>
    </row>
    <row r="8150" spans="1:21">
      <c r="A8150"/>
      <c r="C8150"/>
      <c r="D8150"/>
      <c r="L8150"/>
      <c r="R8150"/>
      <c r="S8150"/>
      <c r="T8150"/>
      <c r="U8150"/>
    </row>
    <row r="8151" spans="1:21">
      <c r="A8151"/>
      <c r="C8151"/>
      <c r="D8151"/>
      <c r="L8151"/>
      <c r="R8151"/>
      <c r="S8151"/>
      <c r="T8151"/>
      <c r="U8151"/>
    </row>
    <row r="8152" spans="1:21">
      <c r="A8152"/>
      <c r="C8152"/>
      <c r="D8152"/>
      <c r="L8152"/>
      <c r="R8152"/>
      <c r="S8152"/>
      <c r="T8152"/>
      <c r="U8152"/>
    </row>
    <row r="8153" spans="1:21">
      <c r="A8153"/>
      <c r="C8153"/>
      <c r="D8153"/>
      <c r="L8153"/>
      <c r="R8153"/>
      <c r="S8153"/>
      <c r="T8153"/>
      <c r="U8153"/>
    </row>
    <row r="8154" spans="1:21">
      <c r="A8154"/>
      <c r="C8154"/>
      <c r="D8154"/>
      <c r="L8154"/>
      <c r="R8154"/>
      <c r="S8154"/>
      <c r="T8154"/>
      <c r="U8154"/>
    </row>
    <row r="8155" spans="1:21">
      <c r="A8155"/>
      <c r="C8155"/>
      <c r="D8155"/>
      <c r="L8155"/>
      <c r="R8155"/>
      <c r="S8155"/>
      <c r="T8155"/>
      <c r="U8155"/>
    </row>
    <row r="8156" spans="1:21">
      <c r="A8156"/>
      <c r="C8156"/>
      <c r="D8156"/>
      <c r="L8156"/>
      <c r="R8156"/>
      <c r="S8156"/>
      <c r="T8156"/>
      <c r="U8156"/>
    </row>
    <row r="8157" spans="1:21">
      <c r="A8157"/>
      <c r="C8157"/>
      <c r="D8157"/>
      <c r="L8157"/>
      <c r="R8157"/>
      <c r="S8157"/>
      <c r="T8157"/>
      <c r="U8157"/>
    </row>
    <row r="8158" spans="1:21">
      <c r="A8158"/>
      <c r="C8158"/>
      <c r="D8158"/>
      <c r="L8158"/>
      <c r="R8158"/>
      <c r="S8158"/>
      <c r="T8158"/>
      <c r="U8158"/>
    </row>
    <row r="8159" spans="1:21">
      <c r="A8159"/>
      <c r="C8159"/>
      <c r="D8159"/>
      <c r="L8159"/>
      <c r="R8159"/>
      <c r="S8159"/>
      <c r="T8159"/>
      <c r="U8159"/>
    </row>
    <row r="8160" spans="1:21">
      <c r="A8160"/>
      <c r="C8160"/>
      <c r="D8160"/>
      <c r="L8160"/>
      <c r="R8160"/>
      <c r="S8160"/>
      <c r="T8160"/>
      <c r="U8160"/>
    </row>
    <row r="8161" spans="1:21">
      <c r="A8161"/>
      <c r="C8161"/>
      <c r="D8161"/>
      <c r="L8161"/>
      <c r="R8161"/>
      <c r="S8161"/>
      <c r="T8161"/>
      <c r="U8161"/>
    </row>
    <row r="8162" spans="1:21">
      <c r="A8162"/>
      <c r="C8162"/>
      <c r="D8162"/>
      <c r="L8162"/>
      <c r="R8162"/>
      <c r="S8162"/>
      <c r="T8162"/>
      <c r="U8162"/>
    </row>
    <row r="8163" spans="1:21">
      <c r="A8163"/>
      <c r="C8163"/>
      <c r="D8163"/>
      <c r="L8163"/>
      <c r="R8163"/>
      <c r="S8163"/>
      <c r="T8163"/>
      <c r="U8163"/>
    </row>
    <row r="8164" spans="1:21">
      <c r="A8164"/>
      <c r="C8164"/>
      <c r="D8164"/>
      <c r="L8164"/>
      <c r="R8164"/>
      <c r="S8164"/>
      <c r="T8164"/>
      <c r="U8164"/>
    </row>
    <row r="8165" spans="1:21">
      <c r="A8165"/>
      <c r="C8165"/>
      <c r="D8165"/>
      <c r="L8165"/>
      <c r="R8165"/>
      <c r="S8165"/>
      <c r="T8165"/>
      <c r="U8165"/>
    </row>
    <row r="8166" spans="1:21">
      <c r="A8166"/>
      <c r="C8166"/>
      <c r="D8166"/>
      <c r="L8166"/>
      <c r="R8166"/>
      <c r="S8166"/>
      <c r="T8166"/>
      <c r="U8166"/>
    </row>
    <row r="8167" spans="1:21">
      <c r="A8167"/>
      <c r="C8167"/>
      <c r="D8167"/>
      <c r="L8167"/>
      <c r="R8167"/>
      <c r="S8167"/>
      <c r="T8167"/>
      <c r="U8167"/>
    </row>
    <row r="8168" spans="1:21">
      <c r="A8168"/>
      <c r="C8168"/>
      <c r="D8168"/>
      <c r="L8168"/>
      <c r="R8168"/>
      <c r="S8168"/>
      <c r="T8168"/>
      <c r="U8168"/>
    </row>
    <row r="8169" spans="1:21">
      <c r="A8169"/>
      <c r="C8169"/>
      <c r="D8169"/>
      <c r="L8169"/>
      <c r="R8169"/>
      <c r="S8169"/>
      <c r="T8169"/>
      <c r="U8169"/>
    </row>
    <row r="8170" spans="1:21">
      <c r="A8170"/>
      <c r="C8170"/>
      <c r="D8170"/>
      <c r="L8170"/>
      <c r="R8170"/>
      <c r="S8170"/>
      <c r="T8170"/>
      <c r="U8170"/>
    </row>
    <row r="8171" spans="1:21">
      <c r="A8171"/>
      <c r="C8171"/>
      <c r="D8171"/>
      <c r="L8171"/>
      <c r="R8171"/>
      <c r="S8171"/>
      <c r="T8171"/>
      <c r="U8171"/>
    </row>
    <row r="8172" spans="1:21">
      <c r="A8172"/>
      <c r="C8172"/>
      <c r="D8172"/>
      <c r="L8172"/>
      <c r="R8172"/>
      <c r="S8172"/>
      <c r="T8172"/>
      <c r="U8172"/>
    </row>
    <row r="8173" spans="1:21">
      <c r="A8173"/>
      <c r="C8173"/>
      <c r="D8173"/>
      <c r="L8173"/>
      <c r="R8173"/>
      <c r="S8173"/>
      <c r="T8173"/>
      <c r="U8173"/>
    </row>
    <row r="8174" spans="1:21">
      <c r="A8174"/>
      <c r="C8174"/>
      <c r="D8174"/>
      <c r="L8174"/>
      <c r="R8174"/>
      <c r="S8174"/>
      <c r="T8174"/>
      <c r="U8174"/>
    </row>
    <row r="8175" spans="1:21">
      <c r="A8175"/>
      <c r="C8175"/>
      <c r="D8175"/>
      <c r="L8175"/>
      <c r="R8175"/>
      <c r="S8175"/>
      <c r="T8175"/>
      <c r="U8175"/>
    </row>
    <row r="8176" spans="1:21">
      <c r="A8176"/>
      <c r="C8176"/>
      <c r="D8176"/>
      <c r="L8176"/>
      <c r="R8176"/>
      <c r="S8176"/>
      <c r="T8176"/>
      <c r="U8176"/>
    </row>
    <row r="8177" spans="1:21">
      <c r="A8177"/>
      <c r="C8177"/>
      <c r="D8177"/>
      <c r="L8177"/>
      <c r="R8177"/>
      <c r="S8177"/>
      <c r="T8177"/>
      <c r="U8177"/>
    </row>
    <row r="8178" spans="1:21">
      <c r="A8178"/>
      <c r="C8178"/>
      <c r="D8178"/>
      <c r="L8178"/>
      <c r="R8178"/>
      <c r="S8178"/>
      <c r="T8178"/>
      <c r="U8178"/>
    </row>
    <row r="8179" spans="1:21">
      <c r="A8179"/>
      <c r="C8179"/>
      <c r="D8179"/>
      <c r="L8179"/>
      <c r="R8179"/>
      <c r="S8179"/>
      <c r="T8179"/>
      <c r="U8179"/>
    </row>
    <row r="8180" spans="1:21">
      <c r="A8180"/>
      <c r="C8180"/>
      <c r="D8180"/>
      <c r="L8180"/>
      <c r="R8180"/>
      <c r="S8180"/>
      <c r="T8180"/>
      <c r="U8180"/>
    </row>
    <row r="8181" spans="1:21">
      <c r="A8181"/>
      <c r="C8181"/>
      <c r="D8181"/>
      <c r="L8181"/>
      <c r="R8181"/>
      <c r="S8181"/>
      <c r="T8181"/>
      <c r="U8181"/>
    </row>
    <row r="8182" spans="1:21">
      <c r="A8182"/>
      <c r="C8182"/>
      <c r="D8182"/>
      <c r="L8182"/>
      <c r="R8182"/>
      <c r="S8182"/>
      <c r="T8182"/>
      <c r="U8182"/>
    </row>
    <row r="8183" spans="1:21">
      <c r="A8183"/>
      <c r="C8183"/>
      <c r="D8183"/>
      <c r="L8183"/>
      <c r="R8183"/>
      <c r="S8183"/>
      <c r="T8183"/>
      <c r="U8183"/>
    </row>
    <row r="8184" spans="1:21">
      <c r="A8184"/>
      <c r="C8184"/>
      <c r="D8184"/>
      <c r="L8184"/>
      <c r="R8184"/>
      <c r="S8184"/>
      <c r="T8184"/>
      <c r="U8184"/>
    </row>
    <row r="8185" spans="1:21">
      <c r="A8185"/>
      <c r="C8185"/>
      <c r="D8185"/>
      <c r="L8185"/>
      <c r="R8185"/>
      <c r="S8185"/>
      <c r="T8185"/>
      <c r="U8185"/>
    </row>
    <row r="8186" spans="1:21">
      <c r="A8186"/>
      <c r="C8186"/>
      <c r="D8186"/>
      <c r="L8186"/>
      <c r="R8186"/>
      <c r="S8186"/>
      <c r="T8186"/>
      <c r="U8186"/>
    </row>
    <row r="8187" spans="1:21">
      <c r="A8187"/>
      <c r="C8187"/>
      <c r="D8187"/>
      <c r="L8187"/>
      <c r="R8187"/>
      <c r="S8187"/>
      <c r="T8187"/>
      <c r="U8187"/>
    </row>
    <row r="8188" spans="1:21">
      <c r="A8188"/>
      <c r="C8188"/>
      <c r="D8188"/>
      <c r="L8188"/>
      <c r="R8188"/>
      <c r="S8188"/>
      <c r="T8188"/>
      <c r="U8188"/>
    </row>
    <row r="8189" spans="1:21">
      <c r="A8189"/>
      <c r="C8189"/>
      <c r="D8189"/>
      <c r="L8189"/>
      <c r="R8189"/>
      <c r="S8189"/>
      <c r="T8189"/>
      <c r="U8189"/>
    </row>
    <row r="8190" spans="1:21">
      <c r="A8190"/>
      <c r="C8190"/>
      <c r="D8190"/>
      <c r="L8190"/>
      <c r="R8190"/>
      <c r="S8190"/>
      <c r="T8190"/>
      <c r="U8190"/>
    </row>
    <row r="8191" spans="1:21">
      <c r="A8191"/>
      <c r="C8191"/>
      <c r="D8191"/>
      <c r="L8191"/>
      <c r="R8191"/>
      <c r="S8191"/>
      <c r="T8191"/>
      <c r="U8191"/>
    </row>
    <row r="8192" spans="1:21">
      <c r="A8192"/>
      <c r="C8192"/>
      <c r="D8192"/>
      <c r="L8192"/>
      <c r="R8192"/>
      <c r="S8192"/>
      <c r="T8192"/>
      <c r="U8192"/>
    </row>
    <row r="8193" spans="1:21">
      <c r="A8193"/>
      <c r="C8193"/>
      <c r="D8193"/>
      <c r="L8193"/>
      <c r="R8193"/>
      <c r="S8193"/>
      <c r="T8193"/>
      <c r="U8193"/>
    </row>
    <row r="8194" spans="1:21">
      <c r="A8194"/>
      <c r="C8194"/>
      <c r="D8194"/>
      <c r="L8194"/>
      <c r="R8194"/>
      <c r="S8194"/>
      <c r="T8194"/>
      <c r="U8194"/>
    </row>
    <row r="8195" spans="1:21">
      <c r="A8195"/>
      <c r="C8195"/>
      <c r="D8195"/>
      <c r="L8195"/>
      <c r="R8195"/>
      <c r="S8195"/>
      <c r="T8195"/>
      <c r="U8195"/>
    </row>
    <row r="8196" spans="1:21">
      <c r="A8196"/>
      <c r="C8196"/>
      <c r="D8196"/>
      <c r="L8196"/>
      <c r="R8196"/>
      <c r="S8196"/>
      <c r="T8196"/>
      <c r="U8196"/>
    </row>
    <row r="8197" spans="1:21">
      <c r="A8197"/>
      <c r="C8197"/>
      <c r="D8197"/>
      <c r="L8197"/>
      <c r="R8197"/>
      <c r="S8197"/>
      <c r="T8197"/>
      <c r="U8197"/>
    </row>
    <row r="8198" spans="1:21">
      <c r="A8198"/>
      <c r="C8198"/>
      <c r="D8198"/>
      <c r="L8198"/>
      <c r="R8198"/>
      <c r="S8198"/>
      <c r="T8198"/>
      <c r="U8198"/>
    </row>
    <row r="8199" spans="1:21">
      <c r="A8199"/>
      <c r="C8199"/>
      <c r="D8199"/>
      <c r="L8199"/>
      <c r="R8199"/>
      <c r="S8199"/>
      <c r="T8199"/>
      <c r="U8199"/>
    </row>
    <row r="8200" spans="1:21">
      <c r="A8200"/>
      <c r="C8200"/>
      <c r="D8200"/>
      <c r="L8200"/>
      <c r="R8200"/>
      <c r="S8200"/>
      <c r="T8200"/>
      <c r="U8200"/>
    </row>
    <row r="8201" spans="1:21">
      <c r="A8201"/>
      <c r="C8201"/>
      <c r="D8201"/>
      <c r="L8201"/>
      <c r="R8201"/>
      <c r="S8201"/>
      <c r="T8201"/>
      <c r="U8201"/>
    </row>
    <row r="8202" spans="1:21">
      <c r="A8202"/>
      <c r="C8202"/>
      <c r="D8202"/>
      <c r="L8202"/>
      <c r="R8202"/>
      <c r="S8202"/>
      <c r="T8202"/>
      <c r="U8202"/>
    </row>
    <row r="8203" spans="1:21">
      <c r="A8203"/>
      <c r="C8203"/>
      <c r="D8203"/>
      <c r="L8203"/>
      <c r="R8203"/>
      <c r="S8203"/>
      <c r="T8203"/>
      <c r="U8203"/>
    </row>
    <row r="8204" spans="1:21">
      <c r="A8204"/>
      <c r="C8204"/>
      <c r="D8204"/>
      <c r="L8204"/>
      <c r="R8204"/>
      <c r="S8204"/>
      <c r="T8204"/>
      <c r="U8204"/>
    </row>
    <row r="8205" spans="1:21">
      <c r="A8205"/>
      <c r="C8205"/>
      <c r="D8205"/>
      <c r="L8205"/>
      <c r="R8205"/>
      <c r="S8205"/>
      <c r="T8205"/>
      <c r="U8205"/>
    </row>
    <row r="8206" spans="1:21">
      <c r="A8206"/>
      <c r="C8206"/>
      <c r="D8206"/>
      <c r="L8206"/>
      <c r="R8206"/>
      <c r="S8206"/>
      <c r="T8206"/>
      <c r="U8206"/>
    </row>
    <row r="8207" spans="1:21">
      <c r="A8207"/>
      <c r="C8207"/>
      <c r="D8207"/>
      <c r="L8207"/>
      <c r="R8207"/>
      <c r="S8207"/>
      <c r="T8207"/>
      <c r="U8207"/>
    </row>
    <row r="8208" spans="1:21">
      <c r="A8208"/>
      <c r="C8208"/>
      <c r="D8208"/>
      <c r="L8208"/>
      <c r="R8208"/>
      <c r="S8208"/>
      <c r="T8208"/>
      <c r="U8208"/>
    </row>
    <row r="8209" spans="1:21">
      <c r="A8209"/>
      <c r="C8209"/>
      <c r="D8209"/>
      <c r="L8209"/>
      <c r="R8209"/>
      <c r="S8209"/>
      <c r="T8209"/>
      <c r="U8209"/>
    </row>
    <row r="8210" spans="1:21">
      <c r="A8210"/>
      <c r="C8210"/>
      <c r="D8210"/>
      <c r="L8210"/>
      <c r="R8210"/>
      <c r="S8210"/>
      <c r="T8210"/>
      <c r="U8210"/>
    </row>
    <row r="8211" spans="1:21">
      <c r="A8211"/>
      <c r="C8211"/>
      <c r="D8211"/>
      <c r="L8211"/>
      <c r="R8211"/>
      <c r="S8211"/>
      <c r="T8211"/>
      <c r="U8211"/>
    </row>
    <row r="8212" spans="1:21">
      <c r="A8212"/>
      <c r="C8212"/>
      <c r="D8212"/>
      <c r="L8212"/>
      <c r="R8212"/>
      <c r="S8212"/>
      <c r="T8212"/>
      <c r="U8212"/>
    </row>
    <row r="8213" spans="1:21">
      <c r="A8213"/>
      <c r="C8213"/>
      <c r="D8213"/>
      <c r="L8213"/>
      <c r="R8213"/>
      <c r="S8213"/>
      <c r="T8213"/>
      <c r="U8213"/>
    </row>
    <row r="8214" spans="1:21">
      <c r="A8214"/>
      <c r="C8214"/>
      <c r="D8214"/>
      <c r="L8214"/>
      <c r="R8214"/>
      <c r="S8214"/>
      <c r="T8214"/>
      <c r="U8214"/>
    </row>
    <row r="8215" spans="1:21">
      <c r="A8215"/>
      <c r="C8215"/>
      <c r="D8215"/>
      <c r="L8215"/>
      <c r="R8215"/>
      <c r="S8215"/>
      <c r="T8215"/>
      <c r="U8215"/>
    </row>
    <row r="8216" spans="1:21">
      <c r="A8216"/>
      <c r="C8216"/>
      <c r="D8216"/>
      <c r="L8216"/>
      <c r="R8216"/>
      <c r="S8216"/>
      <c r="T8216"/>
      <c r="U8216"/>
    </row>
    <row r="8217" spans="1:21">
      <c r="A8217"/>
      <c r="C8217"/>
      <c r="D8217"/>
      <c r="L8217"/>
      <c r="R8217"/>
      <c r="S8217"/>
      <c r="T8217"/>
      <c r="U8217"/>
    </row>
    <row r="8218" spans="1:21">
      <c r="A8218"/>
      <c r="C8218"/>
      <c r="D8218"/>
      <c r="L8218"/>
      <c r="R8218"/>
      <c r="S8218"/>
      <c r="T8218"/>
      <c r="U8218"/>
    </row>
    <row r="8219" spans="1:21">
      <c r="A8219"/>
      <c r="C8219"/>
      <c r="D8219"/>
      <c r="L8219"/>
      <c r="R8219"/>
      <c r="S8219"/>
      <c r="T8219"/>
      <c r="U8219"/>
    </row>
    <row r="8220" spans="1:21">
      <c r="A8220"/>
      <c r="C8220"/>
      <c r="D8220"/>
      <c r="L8220"/>
      <c r="R8220"/>
      <c r="S8220"/>
      <c r="T8220"/>
      <c r="U8220"/>
    </row>
    <row r="8221" spans="1:21">
      <c r="A8221"/>
      <c r="C8221"/>
      <c r="D8221"/>
      <c r="L8221"/>
      <c r="R8221"/>
      <c r="S8221"/>
      <c r="T8221"/>
      <c r="U8221"/>
    </row>
    <row r="8222" spans="1:21">
      <c r="A8222"/>
      <c r="C8222"/>
      <c r="D8222"/>
      <c r="L8222"/>
      <c r="R8222"/>
      <c r="S8222"/>
      <c r="T8222"/>
      <c r="U8222"/>
    </row>
    <row r="8223" spans="1:21">
      <c r="A8223"/>
      <c r="C8223"/>
      <c r="D8223"/>
      <c r="L8223"/>
      <c r="R8223"/>
      <c r="S8223"/>
      <c r="T8223"/>
      <c r="U8223"/>
    </row>
    <row r="8224" spans="1:21">
      <c r="A8224"/>
      <c r="C8224"/>
      <c r="D8224"/>
      <c r="L8224"/>
      <c r="R8224"/>
      <c r="S8224"/>
      <c r="T8224"/>
      <c r="U8224"/>
    </row>
    <row r="8225" spans="1:21">
      <c r="A8225"/>
      <c r="C8225"/>
      <c r="D8225"/>
      <c r="L8225"/>
      <c r="R8225"/>
      <c r="S8225"/>
      <c r="T8225"/>
      <c r="U8225"/>
    </row>
    <row r="8226" spans="1:21">
      <c r="A8226"/>
      <c r="C8226"/>
      <c r="D8226"/>
      <c r="L8226"/>
      <c r="R8226"/>
      <c r="S8226"/>
      <c r="T8226"/>
      <c r="U8226"/>
    </row>
    <row r="8227" spans="1:21">
      <c r="A8227"/>
      <c r="C8227"/>
      <c r="D8227"/>
      <c r="L8227"/>
      <c r="R8227"/>
      <c r="S8227"/>
      <c r="T8227"/>
      <c r="U8227"/>
    </row>
    <row r="8228" spans="1:21">
      <c r="A8228"/>
      <c r="C8228"/>
      <c r="D8228"/>
      <c r="L8228"/>
      <c r="R8228"/>
      <c r="S8228"/>
      <c r="T8228"/>
      <c r="U8228"/>
    </row>
    <row r="8229" spans="1:21">
      <c r="A8229"/>
      <c r="C8229"/>
      <c r="D8229"/>
      <c r="L8229"/>
      <c r="R8229"/>
      <c r="S8229"/>
      <c r="T8229"/>
      <c r="U8229"/>
    </row>
    <row r="8230" spans="1:21">
      <c r="A8230"/>
      <c r="C8230"/>
      <c r="D8230"/>
      <c r="L8230"/>
      <c r="R8230"/>
      <c r="S8230"/>
      <c r="T8230"/>
      <c r="U8230"/>
    </row>
    <row r="8231" spans="1:21">
      <c r="A8231"/>
      <c r="C8231"/>
      <c r="D8231"/>
      <c r="L8231"/>
      <c r="R8231"/>
      <c r="S8231"/>
      <c r="T8231"/>
      <c r="U8231"/>
    </row>
    <row r="8232" spans="1:21">
      <c r="A8232"/>
      <c r="C8232"/>
      <c r="D8232"/>
      <c r="L8232"/>
      <c r="R8232"/>
      <c r="S8232"/>
      <c r="T8232"/>
      <c r="U8232"/>
    </row>
    <row r="8233" spans="1:21">
      <c r="A8233"/>
      <c r="C8233"/>
      <c r="D8233"/>
      <c r="L8233"/>
      <c r="R8233"/>
      <c r="S8233"/>
      <c r="T8233"/>
      <c r="U8233"/>
    </row>
    <row r="8234" spans="1:21">
      <c r="A8234"/>
      <c r="C8234"/>
      <c r="D8234"/>
      <c r="L8234"/>
      <c r="R8234"/>
      <c r="S8234"/>
      <c r="T8234"/>
      <c r="U8234"/>
    </row>
    <row r="8235" spans="1:21">
      <c r="A8235"/>
      <c r="C8235"/>
      <c r="D8235"/>
      <c r="L8235"/>
      <c r="R8235"/>
      <c r="S8235"/>
      <c r="T8235"/>
      <c r="U8235"/>
    </row>
    <row r="8236" spans="1:21">
      <c r="A8236"/>
      <c r="C8236"/>
      <c r="D8236"/>
      <c r="L8236"/>
      <c r="R8236"/>
      <c r="S8236"/>
      <c r="T8236"/>
      <c r="U8236"/>
    </row>
    <row r="8237" spans="1:21">
      <c r="A8237"/>
      <c r="C8237"/>
      <c r="D8237"/>
      <c r="L8237"/>
      <c r="R8237"/>
      <c r="S8237"/>
      <c r="T8237"/>
      <c r="U8237"/>
    </row>
    <row r="8238" spans="1:21">
      <c r="A8238"/>
      <c r="C8238"/>
      <c r="D8238"/>
      <c r="L8238"/>
      <c r="R8238"/>
      <c r="S8238"/>
      <c r="T8238"/>
      <c r="U8238"/>
    </row>
    <row r="8239" spans="1:21">
      <c r="A8239"/>
      <c r="C8239"/>
      <c r="D8239"/>
      <c r="L8239"/>
      <c r="R8239"/>
      <c r="S8239"/>
      <c r="T8239"/>
      <c r="U8239"/>
    </row>
    <row r="8240" spans="1:21">
      <c r="A8240"/>
      <c r="C8240"/>
      <c r="D8240"/>
      <c r="L8240"/>
      <c r="R8240"/>
      <c r="S8240"/>
      <c r="T8240"/>
      <c r="U8240"/>
    </row>
    <row r="8241" spans="1:21">
      <c r="A8241"/>
      <c r="C8241"/>
      <c r="D8241"/>
      <c r="L8241"/>
      <c r="R8241"/>
      <c r="S8241"/>
      <c r="T8241"/>
      <c r="U8241"/>
    </row>
    <row r="8242" spans="1:21">
      <c r="A8242"/>
      <c r="C8242"/>
      <c r="D8242"/>
      <c r="L8242"/>
      <c r="R8242"/>
      <c r="S8242"/>
      <c r="T8242"/>
      <c r="U8242"/>
    </row>
    <row r="8243" spans="1:21">
      <c r="A8243"/>
      <c r="C8243"/>
      <c r="D8243"/>
      <c r="L8243"/>
      <c r="R8243"/>
      <c r="S8243"/>
      <c r="T8243"/>
      <c r="U8243"/>
    </row>
    <row r="8244" spans="1:21">
      <c r="A8244"/>
      <c r="C8244"/>
      <c r="D8244"/>
      <c r="L8244"/>
      <c r="R8244"/>
      <c r="S8244"/>
      <c r="T8244"/>
      <c r="U8244"/>
    </row>
    <row r="8245" spans="1:21">
      <c r="A8245"/>
      <c r="C8245"/>
      <c r="D8245"/>
      <c r="L8245"/>
      <c r="R8245"/>
      <c r="S8245"/>
      <c r="T8245"/>
      <c r="U8245"/>
    </row>
    <row r="8246" spans="1:21">
      <c r="A8246"/>
      <c r="C8246"/>
      <c r="D8246"/>
      <c r="L8246"/>
      <c r="R8246"/>
      <c r="S8246"/>
      <c r="T8246"/>
      <c r="U8246"/>
    </row>
    <row r="8247" spans="1:21">
      <c r="A8247"/>
      <c r="C8247"/>
      <c r="D8247"/>
      <c r="L8247"/>
      <c r="R8247"/>
      <c r="S8247"/>
      <c r="T8247"/>
      <c r="U8247"/>
    </row>
    <row r="8248" spans="1:21">
      <c r="A8248"/>
      <c r="C8248"/>
      <c r="D8248"/>
      <c r="L8248"/>
      <c r="R8248"/>
      <c r="S8248"/>
      <c r="T8248"/>
      <c r="U8248"/>
    </row>
    <row r="8249" spans="1:21">
      <c r="A8249"/>
      <c r="C8249"/>
      <c r="D8249"/>
      <c r="L8249"/>
      <c r="R8249"/>
      <c r="S8249"/>
      <c r="T8249"/>
      <c r="U8249"/>
    </row>
    <row r="8250" spans="1:21">
      <c r="A8250"/>
      <c r="C8250"/>
      <c r="D8250"/>
      <c r="L8250"/>
      <c r="R8250"/>
      <c r="S8250"/>
      <c r="T8250"/>
      <c r="U8250"/>
    </row>
    <row r="8251" spans="1:21">
      <c r="A8251"/>
      <c r="C8251"/>
      <c r="D8251"/>
      <c r="L8251"/>
      <c r="R8251"/>
      <c r="S8251"/>
      <c r="T8251"/>
      <c r="U8251"/>
    </row>
    <row r="8252" spans="1:21">
      <c r="A8252"/>
      <c r="C8252"/>
      <c r="D8252"/>
      <c r="L8252"/>
      <c r="R8252"/>
      <c r="S8252"/>
      <c r="T8252"/>
      <c r="U8252"/>
    </row>
    <row r="8253" spans="1:21">
      <c r="A8253"/>
      <c r="C8253"/>
      <c r="D8253"/>
      <c r="L8253"/>
      <c r="R8253"/>
      <c r="S8253"/>
      <c r="T8253"/>
      <c r="U8253"/>
    </row>
    <row r="8254" spans="1:21">
      <c r="A8254"/>
      <c r="C8254"/>
      <c r="D8254"/>
      <c r="L8254"/>
      <c r="R8254"/>
      <c r="S8254"/>
      <c r="T8254"/>
      <c r="U8254"/>
    </row>
    <row r="8255" spans="1:21">
      <c r="A8255"/>
      <c r="C8255"/>
      <c r="D8255"/>
      <c r="L8255"/>
      <c r="R8255"/>
      <c r="S8255"/>
      <c r="T8255"/>
      <c r="U8255"/>
    </row>
    <row r="8256" spans="1:21">
      <c r="A8256"/>
      <c r="C8256"/>
      <c r="D8256"/>
      <c r="L8256"/>
      <c r="R8256"/>
      <c r="S8256"/>
      <c r="T8256"/>
      <c r="U8256"/>
    </row>
    <row r="8257" spans="1:21">
      <c r="A8257"/>
      <c r="C8257"/>
      <c r="D8257"/>
      <c r="L8257"/>
      <c r="R8257"/>
      <c r="S8257"/>
      <c r="T8257"/>
      <c r="U8257"/>
    </row>
    <row r="8258" spans="1:21">
      <c r="A8258"/>
      <c r="C8258"/>
      <c r="D8258"/>
      <c r="L8258"/>
      <c r="R8258"/>
      <c r="S8258"/>
      <c r="T8258"/>
      <c r="U8258"/>
    </row>
    <row r="8259" spans="1:21">
      <c r="A8259"/>
      <c r="C8259"/>
      <c r="D8259"/>
      <c r="L8259"/>
      <c r="R8259"/>
      <c r="S8259"/>
      <c r="T8259"/>
      <c r="U8259"/>
    </row>
    <row r="8260" spans="1:21">
      <c r="A8260"/>
      <c r="C8260"/>
      <c r="D8260"/>
      <c r="L8260"/>
      <c r="R8260"/>
      <c r="S8260"/>
      <c r="T8260"/>
      <c r="U8260"/>
    </row>
    <row r="8261" spans="1:21">
      <c r="A8261"/>
      <c r="C8261"/>
      <c r="D8261"/>
      <c r="L8261"/>
      <c r="R8261"/>
      <c r="S8261"/>
      <c r="T8261"/>
      <c r="U8261"/>
    </row>
    <row r="8262" spans="1:21">
      <c r="A8262"/>
      <c r="C8262"/>
      <c r="D8262"/>
      <c r="L8262"/>
      <c r="R8262"/>
      <c r="S8262"/>
      <c r="T8262"/>
      <c r="U8262"/>
    </row>
    <row r="8263" spans="1:21">
      <c r="A8263"/>
      <c r="C8263"/>
      <c r="D8263"/>
      <c r="L8263"/>
      <c r="R8263"/>
      <c r="S8263"/>
      <c r="T8263"/>
      <c r="U8263"/>
    </row>
    <row r="8264" spans="1:21">
      <c r="A8264"/>
      <c r="C8264"/>
      <c r="D8264"/>
      <c r="L8264"/>
      <c r="R8264"/>
      <c r="S8264"/>
      <c r="T8264"/>
      <c r="U8264"/>
    </row>
    <row r="8265" spans="1:21">
      <c r="A8265"/>
      <c r="C8265"/>
      <c r="D8265"/>
      <c r="L8265"/>
      <c r="R8265"/>
      <c r="S8265"/>
      <c r="T8265"/>
      <c r="U8265"/>
    </row>
    <row r="8266" spans="1:21">
      <c r="A8266"/>
      <c r="C8266"/>
      <c r="D8266"/>
      <c r="L8266"/>
      <c r="R8266"/>
      <c r="S8266"/>
      <c r="T8266"/>
      <c r="U8266"/>
    </row>
    <row r="8267" spans="1:21">
      <c r="A8267"/>
      <c r="C8267"/>
      <c r="D8267"/>
      <c r="L8267"/>
      <c r="R8267"/>
      <c r="S8267"/>
      <c r="T8267"/>
      <c r="U8267"/>
    </row>
    <row r="8268" spans="1:21">
      <c r="A8268"/>
      <c r="C8268"/>
      <c r="D8268"/>
      <c r="L8268"/>
      <c r="R8268"/>
      <c r="S8268"/>
      <c r="T8268"/>
      <c r="U8268"/>
    </row>
    <row r="8269" spans="1:21">
      <c r="A8269"/>
      <c r="C8269"/>
      <c r="D8269"/>
      <c r="L8269"/>
      <c r="R8269"/>
      <c r="S8269"/>
      <c r="T8269"/>
      <c r="U8269"/>
    </row>
    <row r="8270" spans="1:21">
      <c r="A8270"/>
      <c r="C8270"/>
      <c r="D8270"/>
      <c r="L8270"/>
      <c r="R8270"/>
      <c r="S8270"/>
      <c r="T8270"/>
      <c r="U8270"/>
    </row>
    <row r="8271" spans="1:21">
      <c r="A8271"/>
      <c r="C8271"/>
      <c r="D8271"/>
      <c r="L8271"/>
      <c r="R8271"/>
      <c r="S8271"/>
      <c r="T8271"/>
      <c r="U8271"/>
    </row>
    <row r="8272" spans="1:21">
      <c r="A8272"/>
      <c r="C8272"/>
      <c r="D8272"/>
      <c r="L8272"/>
      <c r="R8272"/>
      <c r="S8272"/>
      <c r="T8272"/>
      <c r="U8272"/>
    </row>
    <row r="8273" spans="1:21">
      <c r="A8273"/>
      <c r="C8273"/>
      <c r="D8273"/>
      <c r="L8273"/>
      <c r="R8273"/>
      <c r="S8273"/>
      <c r="T8273"/>
      <c r="U8273"/>
    </row>
    <row r="8274" spans="1:21">
      <c r="A8274"/>
      <c r="C8274"/>
      <c r="D8274"/>
      <c r="L8274"/>
      <c r="R8274"/>
      <c r="S8274"/>
      <c r="T8274"/>
      <c r="U8274"/>
    </row>
    <row r="8275" spans="1:21">
      <c r="A8275"/>
      <c r="C8275"/>
      <c r="D8275"/>
      <c r="L8275"/>
      <c r="R8275"/>
      <c r="S8275"/>
      <c r="T8275"/>
      <c r="U8275"/>
    </row>
    <row r="8276" spans="1:21">
      <c r="A8276"/>
      <c r="C8276"/>
      <c r="D8276"/>
      <c r="L8276"/>
      <c r="R8276"/>
      <c r="S8276"/>
      <c r="T8276"/>
      <c r="U8276"/>
    </row>
    <row r="8277" spans="1:21">
      <c r="A8277"/>
      <c r="C8277"/>
      <c r="D8277"/>
      <c r="L8277"/>
      <c r="R8277"/>
      <c r="S8277"/>
      <c r="T8277"/>
      <c r="U8277"/>
    </row>
    <row r="8278" spans="1:21">
      <c r="A8278"/>
      <c r="C8278"/>
      <c r="D8278"/>
      <c r="L8278"/>
      <c r="R8278"/>
      <c r="S8278"/>
      <c r="T8278"/>
      <c r="U8278"/>
    </row>
    <row r="8279" spans="1:21">
      <c r="A8279"/>
      <c r="C8279"/>
      <c r="D8279"/>
      <c r="L8279"/>
      <c r="R8279"/>
      <c r="S8279"/>
      <c r="T8279"/>
      <c r="U8279"/>
    </row>
    <row r="8280" spans="1:21">
      <c r="A8280"/>
      <c r="C8280"/>
      <c r="D8280"/>
      <c r="L8280"/>
      <c r="R8280"/>
      <c r="S8280"/>
      <c r="T8280"/>
      <c r="U8280"/>
    </row>
    <row r="8281" spans="1:21">
      <c r="A8281"/>
      <c r="C8281"/>
      <c r="D8281"/>
      <c r="L8281"/>
      <c r="R8281"/>
      <c r="S8281"/>
      <c r="T8281"/>
      <c r="U8281"/>
    </row>
    <row r="8282" spans="1:21">
      <c r="A8282"/>
      <c r="C8282"/>
      <c r="D8282"/>
      <c r="L8282"/>
      <c r="R8282"/>
      <c r="S8282"/>
      <c r="T8282"/>
      <c r="U8282"/>
    </row>
    <row r="8283" spans="1:21">
      <c r="A8283"/>
      <c r="C8283"/>
      <c r="D8283"/>
      <c r="L8283"/>
      <c r="R8283"/>
      <c r="S8283"/>
      <c r="T8283"/>
      <c r="U8283"/>
    </row>
    <row r="8284" spans="1:21">
      <c r="A8284"/>
      <c r="C8284"/>
      <c r="D8284"/>
      <c r="L8284"/>
      <c r="R8284"/>
      <c r="S8284"/>
      <c r="T8284"/>
      <c r="U8284"/>
    </row>
    <row r="8285" spans="1:21">
      <c r="A8285"/>
      <c r="C8285"/>
      <c r="D8285"/>
      <c r="L8285"/>
      <c r="R8285"/>
      <c r="S8285"/>
      <c r="T8285"/>
      <c r="U8285"/>
    </row>
    <row r="8286" spans="1:21">
      <c r="A8286"/>
      <c r="C8286"/>
      <c r="D8286"/>
      <c r="L8286"/>
      <c r="R8286"/>
      <c r="S8286"/>
      <c r="T8286"/>
      <c r="U8286"/>
    </row>
    <row r="8287" spans="1:21">
      <c r="A8287"/>
      <c r="C8287"/>
      <c r="D8287"/>
      <c r="L8287"/>
      <c r="R8287"/>
      <c r="S8287"/>
      <c r="T8287"/>
      <c r="U8287"/>
    </row>
    <row r="8288" spans="1:21">
      <c r="A8288"/>
      <c r="C8288"/>
      <c r="D8288"/>
      <c r="L8288"/>
      <c r="R8288"/>
      <c r="S8288"/>
      <c r="T8288"/>
      <c r="U8288"/>
    </row>
    <row r="8289" spans="1:21">
      <c r="A8289"/>
      <c r="C8289"/>
      <c r="D8289"/>
      <c r="L8289"/>
      <c r="R8289"/>
      <c r="S8289"/>
      <c r="T8289"/>
      <c r="U8289"/>
    </row>
    <row r="8290" spans="1:21">
      <c r="A8290"/>
      <c r="C8290"/>
      <c r="D8290"/>
      <c r="L8290"/>
      <c r="R8290"/>
      <c r="S8290"/>
      <c r="T8290"/>
      <c r="U8290"/>
    </row>
    <row r="8291" spans="1:21">
      <c r="A8291"/>
      <c r="C8291"/>
      <c r="D8291"/>
      <c r="L8291"/>
      <c r="R8291"/>
      <c r="S8291"/>
      <c r="T8291"/>
      <c r="U8291"/>
    </row>
    <row r="8292" spans="1:21">
      <c r="A8292"/>
      <c r="C8292"/>
      <c r="D8292"/>
      <c r="L8292"/>
      <c r="R8292"/>
      <c r="S8292"/>
      <c r="T8292"/>
      <c r="U8292"/>
    </row>
    <row r="8293" spans="1:21">
      <c r="A8293"/>
      <c r="C8293"/>
      <c r="D8293"/>
      <c r="L8293"/>
      <c r="R8293"/>
      <c r="S8293"/>
      <c r="T8293"/>
      <c r="U8293"/>
    </row>
    <row r="8294" spans="1:21">
      <c r="A8294"/>
      <c r="C8294"/>
      <c r="D8294"/>
      <c r="L8294"/>
      <c r="R8294"/>
      <c r="S8294"/>
      <c r="T8294"/>
      <c r="U8294"/>
    </row>
    <row r="8295" spans="1:21">
      <c r="A8295"/>
      <c r="C8295"/>
      <c r="D8295"/>
      <c r="L8295"/>
      <c r="R8295"/>
      <c r="S8295"/>
      <c r="T8295"/>
      <c r="U8295"/>
    </row>
    <row r="8296" spans="1:21">
      <c r="A8296"/>
      <c r="C8296"/>
      <c r="D8296"/>
      <c r="L8296"/>
      <c r="R8296"/>
      <c r="S8296"/>
      <c r="T8296"/>
      <c r="U8296"/>
    </row>
    <row r="8297" spans="1:21">
      <c r="A8297"/>
      <c r="C8297"/>
      <c r="D8297"/>
      <c r="L8297"/>
      <c r="R8297"/>
      <c r="S8297"/>
      <c r="T8297"/>
      <c r="U8297"/>
    </row>
    <row r="8298" spans="1:21">
      <c r="A8298"/>
      <c r="C8298"/>
      <c r="D8298"/>
      <c r="L8298"/>
      <c r="R8298"/>
      <c r="S8298"/>
      <c r="T8298"/>
      <c r="U8298"/>
    </row>
    <row r="8299" spans="1:21">
      <c r="A8299"/>
      <c r="C8299"/>
      <c r="D8299"/>
      <c r="L8299"/>
      <c r="R8299"/>
      <c r="S8299"/>
      <c r="T8299"/>
      <c r="U8299"/>
    </row>
    <row r="8300" spans="1:21">
      <c r="A8300"/>
      <c r="C8300"/>
      <c r="D8300"/>
      <c r="L8300"/>
      <c r="R8300"/>
      <c r="S8300"/>
      <c r="T8300"/>
      <c r="U8300"/>
    </row>
    <row r="8301" spans="1:21">
      <c r="A8301"/>
      <c r="C8301"/>
      <c r="D8301"/>
      <c r="L8301"/>
      <c r="R8301"/>
      <c r="S8301"/>
      <c r="T8301"/>
      <c r="U8301"/>
    </row>
    <row r="8302" spans="1:21">
      <c r="A8302"/>
      <c r="C8302"/>
      <c r="D8302"/>
      <c r="L8302"/>
      <c r="R8302"/>
      <c r="S8302"/>
      <c r="T8302"/>
      <c r="U8302"/>
    </row>
    <row r="8303" spans="1:21">
      <c r="A8303"/>
      <c r="C8303"/>
      <c r="D8303"/>
      <c r="L8303"/>
      <c r="R8303"/>
      <c r="S8303"/>
      <c r="T8303"/>
      <c r="U8303"/>
    </row>
    <row r="8304" spans="1:21">
      <c r="A8304"/>
      <c r="C8304"/>
      <c r="D8304"/>
      <c r="L8304"/>
      <c r="R8304"/>
      <c r="S8304"/>
      <c r="T8304"/>
      <c r="U8304"/>
    </row>
    <row r="8305" spans="1:21">
      <c r="A8305"/>
      <c r="C8305"/>
      <c r="D8305"/>
      <c r="L8305"/>
      <c r="R8305"/>
      <c r="S8305"/>
      <c r="T8305"/>
      <c r="U8305"/>
    </row>
    <row r="8306" spans="1:21">
      <c r="A8306"/>
      <c r="C8306"/>
      <c r="D8306"/>
      <c r="L8306"/>
      <c r="R8306"/>
      <c r="S8306"/>
      <c r="T8306"/>
      <c r="U8306"/>
    </row>
    <row r="8307" spans="1:21">
      <c r="A8307"/>
      <c r="C8307"/>
      <c r="D8307"/>
      <c r="L8307"/>
      <c r="R8307"/>
      <c r="S8307"/>
      <c r="T8307"/>
      <c r="U8307"/>
    </row>
    <row r="8308" spans="1:21">
      <c r="A8308"/>
      <c r="C8308"/>
      <c r="D8308"/>
      <c r="L8308"/>
      <c r="R8308"/>
      <c r="S8308"/>
      <c r="T8308"/>
      <c r="U8308"/>
    </row>
    <row r="8309" spans="1:21">
      <c r="A8309"/>
      <c r="C8309"/>
      <c r="D8309"/>
      <c r="L8309"/>
      <c r="R8309"/>
      <c r="S8309"/>
      <c r="T8309"/>
      <c r="U8309"/>
    </row>
    <row r="8310" spans="1:21">
      <c r="A8310"/>
      <c r="C8310"/>
      <c r="D8310"/>
      <c r="L8310"/>
      <c r="R8310"/>
      <c r="S8310"/>
      <c r="T8310"/>
      <c r="U8310"/>
    </row>
    <row r="8311" spans="1:21">
      <c r="A8311"/>
      <c r="C8311"/>
      <c r="D8311"/>
      <c r="L8311"/>
      <c r="R8311"/>
      <c r="S8311"/>
      <c r="T8311"/>
      <c r="U8311"/>
    </row>
    <row r="8312" spans="1:21">
      <c r="A8312"/>
      <c r="C8312"/>
      <c r="D8312"/>
      <c r="L8312"/>
      <c r="R8312"/>
      <c r="S8312"/>
      <c r="T8312"/>
      <c r="U8312"/>
    </row>
    <row r="8313" spans="1:21">
      <c r="A8313"/>
      <c r="C8313"/>
      <c r="D8313"/>
      <c r="L8313"/>
      <c r="R8313"/>
      <c r="S8313"/>
      <c r="T8313"/>
      <c r="U8313"/>
    </row>
    <row r="8314" spans="1:21">
      <c r="A8314"/>
      <c r="C8314"/>
      <c r="D8314"/>
      <c r="L8314"/>
      <c r="R8314"/>
      <c r="S8314"/>
      <c r="T8314"/>
      <c r="U8314"/>
    </row>
    <row r="8315" spans="1:21">
      <c r="A8315"/>
      <c r="C8315"/>
      <c r="D8315"/>
      <c r="L8315"/>
      <c r="R8315"/>
      <c r="S8315"/>
      <c r="T8315"/>
      <c r="U8315"/>
    </row>
    <row r="8316" spans="1:21">
      <c r="A8316"/>
      <c r="C8316"/>
      <c r="D8316"/>
      <c r="L8316"/>
      <c r="R8316"/>
      <c r="S8316"/>
      <c r="T8316"/>
      <c r="U8316"/>
    </row>
    <row r="8317" spans="1:21">
      <c r="A8317"/>
      <c r="C8317"/>
      <c r="D8317"/>
      <c r="L8317"/>
      <c r="R8317"/>
      <c r="S8317"/>
      <c r="T8317"/>
      <c r="U8317"/>
    </row>
    <row r="8318" spans="1:21">
      <c r="A8318"/>
      <c r="C8318"/>
      <c r="D8318"/>
      <c r="L8318"/>
      <c r="R8318"/>
      <c r="S8318"/>
      <c r="T8318"/>
      <c r="U8318"/>
    </row>
    <row r="8319" spans="1:21">
      <c r="A8319"/>
      <c r="C8319"/>
      <c r="D8319"/>
      <c r="L8319"/>
      <c r="R8319"/>
      <c r="S8319"/>
      <c r="T8319"/>
      <c r="U8319"/>
    </row>
    <row r="8320" spans="1:21">
      <c r="A8320"/>
      <c r="C8320"/>
      <c r="D8320"/>
      <c r="L8320"/>
      <c r="R8320"/>
      <c r="S8320"/>
      <c r="T8320"/>
      <c r="U8320"/>
    </row>
    <row r="8321" spans="1:21">
      <c r="A8321"/>
      <c r="C8321"/>
      <c r="D8321"/>
      <c r="L8321"/>
      <c r="R8321"/>
      <c r="S8321"/>
      <c r="T8321"/>
      <c r="U8321"/>
    </row>
    <row r="8322" spans="1:21">
      <c r="A8322"/>
      <c r="C8322"/>
      <c r="D8322"/>
      <c r="L8322"/>
      <c r="R8322"/>
      <c r="S8322"/>
      <c r="T8322"/>
      <c r="U8322"/>
    </row>
    <row r="8323" spans="1:21">
      <c r="A8323"/>
      <c r="C8323"/>
      <c r="D8323"/>
      <c r="L8323"/>
      <c r="R8323"/>
      <c r="S8323"/>
      <c r="T8323"/>
      <c r="U8323"/>
    </row>
    <row r="8324" spans="1:21">
      <c r="A8324"/>
      <c r="C8324"/>
      <c r="D8324"/>
      <c r="L8324"/>
      <c r="R8324"/>
      <c r="S8324"/>
      <c r="T8324"/>
      <c r="U8324"/>
    </row>
    <row r="8325" spans="1:21">
      <c r="A8325"/>
      <c r="C8325"/>
      <c r="D8325"/>
      <c r="L8325"/>
      <c r="R8325"/>
      <c r="S8325"/>
      <c r="T8325"/>
      <c r="U8325"/>
    </row>
    <row r="8326" spans="1:21">
      <c r="A8326"/>
      <c r="C8326"/>
      <c r="D8326"/>
      <c r="L8326"/>
      <c r="R8326"/>
      <c r="S8326"/>
      <c r="T8326"/>
      <c r="U8326"/>
    </row>
    <row r="8327" spans="1:21">
      <c r="A8327"/>
      <c r="C8327"/>
      <c r="D8327"/>
      <c r="L8327"/>
      <c r="R8327"/>
      <c r="S8327"/>
      <c r="T8327"/>
      <c r="U8327"/>
    </row>
    <row r="8328" spans="1:21">
      <c r="A8328"/>
      <c r="C8328"/>
      <c r="D8328"/>
      <c r="L8328"/>
      <c r="R8328"/>
      <c r="S8328"/>
      <c r="T8328"/>
      <c r="U8328"/>
    </row>
    <row r="8329" spans="1:21">
      <c r="A8329"/>
      <c r="C8329"/>
      <c r="D8329"/>
      <c r="L8329"/>
      <c r="R8329"/>
      <c r="S8329"/>
      <c r="T8329"/>
      <c r="U8329"/>
    </row>
    <row r="8330" spans="1:21">
      <c r="A8330"/>
      <c r="C8330"/>
      <c r="D8330"/>
      <c r="L8330"/>
      <c r="R8330"/>
      <c r="S8330"/>
      <c r="T8330"/>
      <c r="U8330"/>
    </row>
    <row r="8331" spans="1:21">
      <c r="A8331"/>
      <c r="C8331"/>
      <c r="D8331"/>
      <c r="L8331"/>
      <c r="R8331"/>
      <c r="S8331"/>
      <c r="T8331"/>
      <c r="U8331"/>
    </row>
    <row r="8332" spans="1:21">
      <c r="A8332"/>
      <c r="C8332"/>
      <c r="D8332"/>
      <c r="L8332"/>
      <c r="R8332"/>
      <c r="S8332"/>
      <c r="T8332"/>
      <c r="U8332"/>
    </row>
    <row r="8333" spans="1:21">
      <c r="A8333"/>
      <c r="C8333"/>
      <c r="D8333"/>
      <c r="L8333"/>
      <c r="R8333"/>
      <c r="S8333"/>
      <c r="T8333"/>
      <c r="U8333"/>
    </row>
    <row r="8334" spans="1:21">
      <c r="A8334"/>
      <c r="C8334"/>
      <c r="D8334"/>
      <c r="L8334"/>
      <c r="R8334"/>
      <c r="S8334"/>
      <c r="T8334"/>
      <c r="U8334"/>
    </row>
    <row r="8335" spans="1:21">
      <c r="A8335"/>
      <c r="C8335"/>
      <c r="D8335"/>
      <c r="L8335"/>
      <c r="R8335"/>
      <c r="S8335"/>
      <c r="T8335"/>
      <c r="U8335"/>
    </row>
    <row r="8336" spans="1:21">
      <c r="A8336"/>
      <c r="C8336"/>
      <c r="D8336"/>
      <c r="L8336"/>
      <c r="R8336"/>
      <c r="S8336"/>
      <c r="T8336"/>
      <c r="U8336"/>
    </row>
    <row r="8337" spans="1:21">
      <c r="A8337"/>
      <c r="C8337"/>
      <c r="D8337"/>
      <c r="L8337"/>
      <c r="R8337"/>
      <c r="S8337"/>
      <c r="T8337"/>
      <c r="U8337"/>
    </row>
    <row r="8338" spans="1:21">
      <c r="A8338"/>
      <c r="C8338"/>
      <c r="D8338"/>
      <c r="L8338"/>
      <c r="R8338"/>
      <c r="S8338"/>
      <c r="T8338"/>
      <c r="U8338"/>
    </row>
    <row r="8339" spans="1:21">
      <c r="A8339"/>
      <c r="C8339"/>
      <c r="D8339"/>
      <c r="L8339"/>
      <c r="R8339"/>
      <c r="S8339"/>
      <c r="T8339"/>
      <c r="U8339"/>
    </row>
    <row r="8340" spans="1:21">
      <c r="A8340"/>
      <c r="C8340"/>
      <c r="D8340"/>
      <c r="L8340"/>
      <c r="R8340"/>
      <c r="S8340"/>
      <c r="T8340"/>
      <c r="U8340"/>
    </row>
    <row r="8341" spans="1:21">
      <c r="A8341"/>
      <c r="C8341"/>
      <c r="D8341"/>
      <c r="L8341"/>
      <c r="R8341"/>
      <c r="S8341"/>
      <c r="T8341"/>
      <c r="U8341"/>
    </row>
    <row r="8342" spans="1:21">
      <c r="A8342"/>
      <c r="C8342"/>
      <c r="D8342"/>
      <c r="L8342"/>
      <c r="R8342"/>
      <c r="S8342"/>
      <c r="T8342"/>
      <c r="U8342"/>
    </row>
    <row r="8343" spans="1:21">
      <c r="A8343"/>
      <c r="C8343"/>
      <c r="D8343"/>
      <c r="L8343"/>
      <c r="R8343"/>
      <c r="S8343"/>
      <c r="T8343"/>
      <c r="U8343"/>
    </row>
    <row r="8344" spans="1:21">
      <c r="A8344"/>
      <c r="C8344"/>
      <c r="D8344"/>
      <c r="L8344"/>
      <c r="R8344"/>
      <c r="S8344"/>
      <c r="T8344"/>
      <c r="U8344"/>
    </row>
    <row r="8345" spans="1:21">
      <c r="A8345"/>
      <c r="C8345"/>
      <c r="D8345"/>
      <c r="L8345"/>
      <c r="R8345"/>
      <c r="S8345"/>
      <c r="T8345"/>
      <c r="U8345"/>
    </row>
    <row r="8346" spans="1:21">
      <c r="A8346"/>
      <c r="C8346"/>
      <c r="D8346"/>
      <c r="L8346"/>
      <c r="R8346"/>
      <c r="S8346"/>
      <c r="T8346"/>
      <c r="U8346"/>
    </row>
    <row r="8347" spans="1:21">
      <c r="A8347"/>
      <c r="C8347"/>
      <c r="D8347"/>
      <c r="L8347"/>
      <c r="R8347"/>
      <c r="S8347"/>
      <c r="T8347"/>
      <c r="U8347"/>
    </row>
    <row r="8348" spans="1:21">
      <c r="A8348"/>
      <c r="C8348"/>
      <c r="D8348"/>
      <c r="L8348"/>
      <c r="R8348"/>
      <c r="S8348"/>
      <c r="T8348"/>
      <c r="U8348"/>
    </row>
    <row r="8349" spans="1:21">
      <c r="A8349"/>
      <c r="C8349"/>
      <c r="D8349"/>
      <c r="L8349"/>
      <c r="R8349"/>
      <c r="S8349"/>
      <c r="T8349"/>
      <c r="U8349"/>
    </row>
    <row r="8350" spans="1:21">
      <c r="A8350"/>
      <c r="C8350"/>
      <c r="D8350"/>
      <c r="L8350"/>
      <c r="R8350"/>
      <c r="S8350"/>
      <c r="T8350"/>
      <c r="U8350"/>
    </row>
    <row r="8351" spans="1:21">
      <c r="A8351"/>
      <c r="C8351"/>
      <c r="D8351"/>
      <c r="L8351"/>
      <c r="R8351"/>
      <c r="S8351"/>
      <c r="T8351"/>
      <c r="U8351"/>
    </row>
    <row r="8352" spans="1:21">
      <c r="A8352"/>
      <c r="C8352"/>
      <c r="D8352"/>
      <c r="L8352"/>
      <c r="R8352"/>
      <c r="S8352"/>
      <c r="T8352"/>
      <c r="U8352"/>
    </row>
    <row r="8353" spans="1:21">
      <c r="A8353"/>
      <c r="C8353"/>
      <c r="D8353"/>
      <c r="L8353"/>
      <c r="R8353"/>
      <c r="S8353"/>
      <c r="T8353"/>
      <c r="U8353"/>
    </row>
    <row r="8354" spans="1:21">
      <c r="A8354"/>
      <c r="C8354"/>
      <c r="D8354"/>
      <c r="L8354"/>
      <c r="R8354"/>
      <c r="S8354"/>
      <c r="T8354"/>
      <c r="U8354"/>
    </row>
    <row r="8355" spans="1:21">
      <c r="A8355"/>
      <c r="C8355"/>
      <c r="D8355"/>
      <c r="L8355"/>
      <c r="R8355"/>
      <c r="S8355"/>
      <c r="T8355"/>
      <c r="U8355"/>
    </row>
    <row r="8356" spans="1:21">
      <c r="A8356"/>
      <c r="C8356"/>
      <c r="D8356"/>
      <c r="L8356"/>
      <c r="R8356"/>
      <c r="S8356"/>
      <c r="T8356"/>
      <c r="U8356"/>
    </row>
    <row r="8357" spans="1:21">
      <c r="A8357"/>
      <c r="C8357"/>
      <c r="D8357"/>
      <c r="L8357"/>
      <c r="R8357"/>
      <c r="S8357"/>
      <c r="T8357"/>
      <c r="U8357"/>
    </row>
    <row r="8358" spans="1:21">
      <c r="A8358"/>
      <c r="C8358"/>
      <c r="D8358"/>
      <c r="L8358"/>
      <c r="R8358"/>
      <c r="S8358"/>
      <c r="T8358"/>
      <c r="U8358"/>
    </row>
    <row r="8359" spans="1:21">
      <c r="A8359"/>
      <c r="C8359"/>
      <c r="D8359"/>
      <c r="L8359"/>
      <c r="R8359"/>
      <c r="S8359"/>
      <c r="T8359"/>
      <c r="U8359"/>
    </row>
    <row r="8360" spans="1:21">
      <c r="A8360"/>
      <c r="C8360"/>
      <c r="D8360"/>
      <c r="L8360"/>
      <c r="R8360"/>
      <c r="S8360"/>
      <c r="T8360"/>
      <c r="U8360"/>
    </row>
    <row r="8361" spans="1:21">
      <c r="A8361"/>
      <c r="C8361"/>
      <c r="D8361"/>
      <c r="L8361"/>
      <c r="R8361"/>
      <c r="S8361"/>
      <c r="T8361"/>
      <c r="U8361"/>
    </row>
    <row r="8362" spans="1:21">
      <c r="A8362"/>
      <c r="C8362"/>
      <c r="D8362"/>
      <c r="L8362"/>
      <c r="R8362"/>
      <c r="S8362"/>
      <c r="T8362"/>
      <c r="U8362"/>
    </row>
    <row r="8363" spans="1:21">
      <c r="A8363"/>
      <c r="C8363"/>
      <c r="D8363"/>
      <c r="L8363"/>
      <c r="R8363"/>
      <c r="S8363"/>
      <c r="T8363"/>
      <c r="U8363"/>
    </row>
    <row r="8364" spans="1:21">
      <c r="A8364"/>
      <c r="C8364"/>
      <c r="D8364"/>
      <c r="L8364"/>
      <c r="R8364"/>
      <c r="S8364"/>
      <c r="T8364"/>
      <c r="U8364"/>
    </row>
    <row r="8365" spans="1:21">
      <c r="A8365"/>
      <c r="C8365"/>
      <c r="D8365"/>
      <c r="L8365"/>
      <c r="R8365"/>
      <c r="S8365"/>
      <c r="T8365"/>
      <c r="U8365"/>
    </row>
    <row r="8366" spans="1:21">
      <c r="A8366"/>
      <c r="C8366"/>
      <c r="D8366"/>
      <c r="L8366"/>
      <c r="R8366"/>
      <c r="S8366"/>
      <c r="T8366"/>
      <c r="U8366"/>
    </row>
    <row r="8367" spans="1:21">
      <c r="A8367"/>
      <c r="C8367"/>
      <c r="D8367"/>
      <c r="L8367"/>
      <c r="R8367"/>
      <c r="S8367"/>
      <c r="T8367"/>
      <c r="U8367"/>
    </row>
    <row r="8368" spans="1:21">
      <c r="A8368"/>
      <c r="C8368"/>
      <c r="D8368"/>
      <c r="L8368"/>
      <c r="R8368"/>
      <c r="S8368"/>
      <c r="T8368"/>
      <c r="U8368"/>
    </row>
    <row r="8369" spans="1:21">
      <c r="A8369"/>
      <c r="C8369"/>
      <c r="D8369"/>
      <c r="L8369"/>
      <c r="R8369"/>
      <c r="S8369"/>
      <c r="T8369"/>
      <c r="U8369"/>
    </row>
    <row r="8370" spans="1:21">
      <c r="A8370"/>
      <c r="C8370"/>
      <c r="D8370"/>
      <c r="L8370"/>
      <c r="R8370"/>
      <c r="S8370"/>
      <c r="T8370"/>
      <c r="U8370"/>
    </row>
    <row r="8371" spans="1:21">
      <c r="A8371"/>
      <c r="C8371"/>
      <c r="D8371"/>
      <c r="L8371"/>
      <c r="R8371"/>
      <c r="S8371"/>
      <c r="T8371"/>
      <c r="U8371"/>
    </row>
    <row r="8372" spans="1:21">
      <c r="A8372"/>
      <c r="C8372"/>
      <c r="D8372"/>
      <c r="L8372"/>
      <c r="R8372"/>
      <c r="S8372"/>
      <c r="T8372"/>
      <c r="U8372"/>
    </row>
    <row r="8373" spans="1:21">
      <c r="A8373"/>
      <c r="C8373"/>
      <c r="D8373"/>
      <c r="L8373"/>
      <c r="R8373"/>
      <c r="S8373"/>
      <c r="T8373"/>
      <c r="U8373"/>
    </row>
    <row r="8374" spans="1:21">
      <c r="A8374"/>
      <c r="C8374"/>
      <c r="D8374"/>
      <c r="L8374"/>
      <c r="R8374"/>
      <c r="S8374"/>
      <c r="T8374"/>
      <c r="U8374"/>
    </row>
    <row r="8375" spans="1:21">
      <c r="A8375"/>
      <c r="C8375"/>
      <c r="D8375"/>
      <c r="L8375"/>
      <c r="R8375"/>
      <c r="S8375"/>
      <c r="T8375"/>
      <c r="U8375"/>
    </row>
    <row r="8376" spans="1:21">
      <c r="A8376"/>
      <c r="C8376"/>
      <c r="D8376"/>
      <c r="L8376"/>
      <c r="R8376"/>
      <c r="S8376"/>
      <c r="T8376"/>
      <c r="U8376"/>
    </row>
    <row r="8377" spans="1:21">
      <c r="A8377"/>
      <c r="C8377"/>
      <c r="D8377"/>
      <c r="L8377"/>
      <c r="R8377"/>
      <c r="S8377"/>
      <c r="T8377"/>
      <c r="U8377"/>
    </row>
    <row r="8378" spans="1:21">
      <c r="A8378"/>
      <c r="C8378"/>
      <c r="D8378"/>
      <c r="L8378"/>
      <c r="R8378"/>
      <c r="S8378"/>
      <c r="T8378"/>
      <c r="U8378"/>
    </row>
    <row r="8379" spans="1:21">
      <c r="A8379"/>
      <c r="C8379"/>
      <c r="D8379"/>
      <c r="L8379"/>
      <c r="R8379"/>
      <c r="S8379"/>
      <c r="T8379"/>
      <c r="U8379"/>
    </row>
    <row r="8380" spans="1:21">
      <c r="A8380"/>
      <c r="C8380"/>
      <c r="D8380"/>
      <c r="L8380"/>
      <c r="R8380"/>
      <c r="S8380"/>
      <c r="T8380"/>
      <c r="U8380"/>
    </row>
    <row r="8381" spans="1:21">
      <c r="A8381"/>
      <c r="C8381"/>
      <c r="D8381"/>
      <c r="L8381"/>
      <c r="R8381"/>
      <c r="S8381"/>
      <c r="T8381"/>
      <c r="U8381"/>
    </row>
    <row r="8382" spans="1:21">
      <c r="A8382"/>
      <c r="C8382"/>
      <c r="D8382"/>
      <c r="L8382"/>
      <c r="R8382"/>
      <c r="S8382"/>
      <c r="T8382"/>
      <c r="U8382"/>
    </row>
    <row r="8383" spans="1:21">
      <c r="A8383"/>
      <c r="C8383"/>
      <c r="D8383"/>
      <c r="L8383"/>
      <c r="R8383"/>
      <c r="S8383"/>
      <c r="T8383"/>
      <c r="U8383"/>
    </row>
    <row r="8384" spans="1:21">
      <c r="A8384"/>
      <c r="C8384"/>
      <c r="D8384"/>
      <c r="L8384"/>
      <c r="R8384"/>
      <c r="S8384"/>
      <c r="T8384"/>
      <c r="U8384"/>
    </row>
    <row r="8385" spans="1:21">
      <c r="A8385"/>
      <c r="C8385"/>
      <c r="D8385"/>
      <c r="L8385"/>
      <c r="R8385"/>
      <c r="S8385"/>
      <c r="T8385"/>
      <c r="U8385"/>
    </row>
    <row r="8386" spans="1:21">
      <c r="A8386"/>
      <c r="C8386"/>
      <c r="D8386"/>
      <c r="L8386"/>
      <c r="R8386"/>
      <c r="S8386"/>
      <c r="T8386"/>
      <c r="U8386"/>
    </row>
    <row r="8387" spans="1:21">
      <c r="A8387"/>
      <c r="C8387"/>
      <c r="D8387"/>
      <c r="L8387"/>
      <c r="R8387"/>
      <c r="S8387"/>
      <c r="T8387"/>
      <c r="U8387"/>
    </row>
    <row r="8388" spans="1:21">
      <c r="A8388"/>
      <c r="C8388"/>
      <c r="D8388"/>
      <c r="L8388"/>
      <c r="R8388"/>
      <c r="S8388"/>
      <c r="T8388"/>
      <c r="U8388"/>
    </row>
    <row r="8389" spans="1:21">
      <c r="A8389"/>
      <c r="C8389"/>
      <c r="D8389"/>
      <c r="L8389"/>
      <c r="R8389"/>
      <c r="S8389"/>
      <c r="T8389"/>
      <c r="U8389"/>
    </row>
    <row r="8390" spans="1:21">
      <c r="A8390"/>
      <c r="C8390"/>
      <c r="D8390"/>
      <c r="L8390"/>
      <c r="R8390"/>
      <c r="S8390"/>
      <c r="T8390"/>
      <c r="U8390"/>
    </row>
    <row r="8391" spans="1:21">
      <c r="A8391"/>
      <c r="C8391"/>
      <c r="D8391"/>
      <c r="L8391"/>
      <c r="R8391"/>
      <c r="S8391"/>
      <c r="T8391"/>
      <c r="U8391"/>
    </row>
    <row r="8392" spans="1:21">
      <c r="A8392"/>
      <c r="C8392"/>
      <c r="D8392"/>
      <c r="L8392"/>
      <c r="R8392"/>
      <c r="S8392"/>
      <c r="T8392"/>
      <c r="U8392"/>
    </row>
    <row r="8393" spans="1:21">
      <c r="A8393"/>
      <c r="C8393"/>
      <c r="D8393"/>
      <c r="L8393"/>
      <c r="R8393"/>
      <c r="S8393"/>
      <c r="T8393"/>
      <c r="U8393"/>
    </row>
    <row r="8394" spans="1:21">
      <c r="A8394"/>
      <c r="C8394"/>
      <c r="D8394"/>
      <c r="L8394"/>
      <c r="R8394"/>
      <c r="S8394"/>
      <c r="T8394"/>
      <c r="U8394"/>
    </row>
    <row r="8395" spans="1:21">
      <c r="A8395"/>
      <c r="C8395"/>
      <c r="D8395"/>
      <c r="L8395"/>
      <c r="R8395"/>
      <c r="S8395"/>
      <c r="T8395"/>
      <c r="U8395"/>
    </row>
    <row r="8396" spans="1:21">
      <c r="A8396"/>
      <c r="C8396"/>
      <c r="D8396"/>
      <c r="L8396"/>
      <c r="R8396"/>
      <c r="S8396"/>
      <c r="T8396"/>
      <c r="U8396"/>
    </row>
    <row r="8397" spans="1:21">
      <c r="A8397"/>
      <c r="C8397"/>
      <c r="D8397"/>
      <c r="L8397"/>
      <c r="R8397"/>
      <c r="S8397"/>
      <c r="T8397"/>
      <c r="U8397"/>
    </row>
    <row r="8398" spans="1:21">
      <c r="A8398"/>
      <c r="C8398"/>
      <c r="D8398"/>
      <c r="L8398"/>
      <c r="R8398"/>
      <c r="S8398"/>
      <c r="T8398"/>
      <c r="U8398"/>
    </row>
    <row r="8399" spans="1:21">
      <c r="A8399"/>
      <c r="C8399"/>
      <c r="D8399"/>
      <c r="L8399"/>
      <c r="R8399"/>
      <c r="S8399"/>
      <c r="T8399"/>
      <c r="U8399"/>
    </row>
    <row r="8400" spans="1:21">
      <c r="A8400"/>
      <c r="C8400"/>
      <c r="D8400"/>
      <c r="L8400"/>
      <c r="R8400"/>
      <c r="S8400"/>
      <c r="T8400"/>
      <c r="U8400"/>
    </row>
    <row r="8401" spans="1:21">
      <c r="A8401"/>
      <c r="C8401"/>
      <c r="D8401"/>
      <c r="L8401"/>
      <c r="R8401"/>
      <c r="S8401"/>
      <c r="T8401"/>
      <c r="U8401"/>
    </row>
    <row r="8402" spans="1:21">
      <c r="A8402"/>
      <c r="C8402"/>
      <c r="D8402"/>
      <c r="L8402"/>
      <c r="R8402"/>
      <c r="S8402"/>
      <c r="T8402"/>
      <c r="U8402"/>
    </row>
    <row r="8403" spans="1:21">
      <c r="A8403"/>
      <c r="C8403"/>
      <c r="D8403"/>
      <c r="L8403"/>
      <c r="R8403"/>
      <c r="S8403"/>
      <c r="T8403"/>
      <c r="U8403"/>
    </row>
    <row r="8404" spans="1:21">
      <c r="A8404"/>
      <c r="C8404"/>
      <c r="D8404"/>
      <c r="L8404"/>
      <c r="R8404"/>
      <c r="S8404"/>
      <c r="T8404"/>
      <c r="U8404"/>
    </row>
    <row r="8405" spans="1:21">
      <c r="A8405"/>
      <c r="C8405"/>
      <c r="D8405"/>
      <c r="L8405"/>
      <c r="R8405"/>
      <c r="S8405"/>
      <c r="T8405"/>
      <c r="U8405"/>
    </row>
    <row r="8406" spans="1:21">
      <c r="A8406"/>
      <c r="C8406"/>
      <c r="D8406"/>
      <c r="L8406"/>
      <c r="R8406"/>
      <c r="S8406"/>
      <c r="T8406"/>
      <c r="U8406"/>
    </row>
    <row r="8407" spans="1:21">
      <c r="A8407"/>
      <c r="C8407"/>
      <c r="D8407"/>
      <c r="L8407"/>
      <c r="R8407"/>
      <c r="S8407"/>
      <c r="T8407"/>
      <c r="U8407"/>
    </row>
    <row r="8408" spans="1:21">
      <c r="A8408"/>
      <c r="C8408"/>
      <c r="D8408"/>
      <c r="L8408"/>
      <c r="R8408"/>
      <c r="S8408"/>
      <c r="T8408"/>
      <c r="U8408"/>
    </row>
    <row r="8409" spans="1:21">
      <c r="A8409"/>
      <c r="C8409"/>
      <c r="D8409"/>
      <c r="L8409"/>
      <c r="R8409"/>
      <c r="S8409"/>
      <c r="T8409"/>
      <c r="U8409"/>
    </row>
    <row r="8410" spans="1:21">
      <c r="A8410"/>
      <c r="C8410"/>
      <c r="D8410"/>
      <c r="L8410"/>
      <c r="R8410"/>
      <c r="S8410"/>
      <c r="T8410"/>
      <c r="U8410"/>
    </row>
    <row r="8411" spans="1:21">
      <c r="A8411"/>
      <c r="C8411"/>
      <c r="D8411"/>
      <c r="L8411"/>
      <c r="R8411"/>
      <c r="S8411"/>
      <c r="T8411"/>
      <c r="U8411"/>
    </row>
    <row r="8412" spans="1:21">
      <c r="A8412"/>
      <c r="C8412"/>
      <c r="D8412"/>
      <c r="L8412"/>
      <c r="R8412"/>
      <c r="S8412"/>
      <c r="T8412"/>
      <c r="U8412"/>
    </row>
    <row r="8413" spans="1:21">
      <c r="A8413"/>
      <c r="C8413"/>
      <c r="D8413"/>
      <c r="L8413"/>
      <c r="R8413"/>
      <c r="S8413"/>
      <c r="T8413"/>
      <c r="U8413"/>
    </row>
    <row r="8414" spans="1:21">
      <c r="A8414"/>
      <c r="C8414"/>
      <c r="D8414"/>
      <c r="L8414"/>
      <c r="R8414"/>
      <c r="S8414"/>
      <c r="T8414"/>
      <c r="U8414"/>
    </row>
    <row r="8415" spans="1:21">
      <c r="A8415"/>
      <c r="C8415"/>
      <c r="D8415"/>
      <c r="L8415"/>
      <c r="R8415"/>
      <c r="S8415"/>
      <c r="T8415"/>
      <c r="U8415"/>
    </row>
    <row r="8416" spans="1:21">
      <c r="A8416"/>
      <c r="C8416"/>
      <c r="D8416"/>
      <c r="L8416"/>
      <c r="R8416"/>
      <c r="S8416"/>
      <c r="T8416"/>
      <c r="U8416"/>
    </row>
    <row r="8417" spans="1:21">
      <c r="A8417"/>
      <c r="C8417"/>
      <c r="D8417"/>
      <c r="L8417"/>
      <c r="R8417"/>
      <c r="S8417"/>
      <c r="T8417"/>
      <c r="U8417"/>
    </row>
    <row r="8418" spans="1:21">
      <c r="A8418"/>
      <c r="C8418"/>
      <c r="D8418"/>
      <c r="L8418"/>
      <c r="R8418"/>
      <c r="S8418"/>
      <c r="T8418"/>
      <c r="U8418"/>
    </row>
    <row r="8419" spans="1:21">
      <c r="A8419"/>
      <c r="C8419"/>
      <c r="D8419"/>
      <c r="L8419"/>
      <c r="R8419"/>
      <c r="S8419"/>
      <c r="T8419"/>
      <c r="U8419"/>
    </row>
    <row r="8420" spans="1:21">
      <c r="A8420"/>
      <c r="C8420"/>
      <c r="D8420"/>
      <c r="L8420"/>
      <c r="R8420"/>
      <c r="S8420"/>
      <c r="T8420"/>
      <c r="U8420"/>
    </row>
    <row r="8421" spans="1:21">
      <c r="A8421"/>
      <c r="C8421"/>
      <c r="D8421"/>
      <c r="L8421"/>
      <c r="R8421"/>
      <c r="S8421"/>
      <c r="T8421"/>
      <c r="U8421"/>
    </row>
    <row r="8422" spans="1:21">
      <c r="A8422"/>
      <c r="C8422"/>
      <c r="D8422"/>
      <c r="L8422"/>
      <c r="R8422"/>
      <c r="S8422"/>
      <c r="T8422"/>
      <c r="U8422"/>
    </row>
    <row r="8423" spans="1:21">
      <c r="A8423"/>
      <c r="C8423"/>
      <c r="D8423"/>
      <c r="L8423"/>
      <c r="R8423"/>
      <c r="S8423"/>
      <c r="T8423"/>
      <c r="U8423"/>
    </row>
    <row r="8424" spans="1:21">
      <c r="A8424"/>
      <c r="C8424"/>
      <c r="D8424"/>
      <c r="L8424"/>
      <c r="R8424"/>
      <c r="S8424"/>
      <c r="T8424"/>
      <c r="U8424"/>
    </row>
    <row r="8425" spans="1:21">
      <c r="A8425"/>
      <c r="C8425"/>
      <c r="D8425"/>
      <c r="L8425"/>
      <c r="R8425"/>
      <c r="S8425"/>
      <c r="T8425"/>
      <c r="U8425"/>
    </row>
    <row r="8426" spans="1:21">
      <c r="A8426"/>
      <c r="C8426"/>
      <c r="D8426"/>
      <c r="L8426"/>
      <c r="R8426"/>
      <c r="S8426"/>
      <c r="T8426"/>
      <c r="U8426"/>
    </row>
    <row r="8427" spans="1:21">
      <c r="A8427"/>
      <c r="C8427"/>
      <c r="D8427"/>
      <c r="L8427"/>
      <c r="R8427"/>
      <c r="S8427"/>
      <c r="T8427"/>
      <c r="U8427"/>
    </row>
    <row r="8428" spans="1:21">
      <c r="A8428"/>
      <c r="C8428"/>
      <c r="D8428"/>
      <c r="L8428"/>
      <c r="R8428"/>
      <c r="S8428"/>
      <c r="T8428"/>
      <c r="U8428"/>
    </row>
    <row r="8429" spans="1:21">
      <c r="A8429"/>
      <c r="C8429"/>
      <c r="D8429"/>
      <c r="L8429"/>
      <c r="R8429"/>
      <c r="S8429"/>
      <c r="T8429"/>
      <c r="U8429"/>
    </row>
    <row r="8430" spans="1:21">
      <c r="A8430"/>
      <c r="C8430"/>
      <c r="D8430"/>
      <c r="L8430"/>
      <c r="R8430"/>
      <c r="S8430"/>
      <c r="T8430"/>
      <c r="U8430"/>
    </row>
    <row r="8431" spans="1:21">
      <c r="A8431"/>
      <c r="C8431"/>
      <c r="D8431"/>
      <c r="L8431"/>
      <c r="R8431"/>
      <c r="S8431"/>
      <c r="T8431"/>
      <c r="U8431"/>
    </row>
    <row r="8432" spans="1:21">
      <c r="A8432"/>
      <c r="C8432"/>
      <c r="D8432"/>
      <c r="L8432"/>
      <c r="R8432"/>
      <c r="S8432"/>
      <c r="T8432"/>
      <c r="U8432"/>
    </row>
    <row r="8433" spans="1:21">
      <c r="A8433"/>
      <c r="C8433"/>
      <c r="D8433"/>
      <c r="L8433"/>
      <c r="R8433"/>
      <c r="S8433"/>
      <c r="T8433"/>
      <c r="U8433"/>
    </row>
    <row r="8434" spans="1:21">
      <c r="A8434"/>
      <c r="C8434"/>
      <c r="D8434"/>
      <c r="L8434"/>
      <c r="R8434"/>
      <c r="S8434"/>
      <c r="T8434"/>
      <c r="U8434"/>
    </row>
    <row r="8435" spans="1:21">
      <c r="A8435"/>
      <c r="C8435"/>
      <c r="D8435"/>
      <c r="L8435"/>
      <c r="R8435"/>
      <c r="S8435"/>
      <c r="T8435"/>
      <c r="U8435"/>
    </row>
    <row r="8436" spans="1:21">
      <c r="A8436"/>
      <c r="C8436"/>
      <c r="D8436"/>
      <c r="L8436"/>
      <c r="R8436"/>
      <c r="S8436"/>
      <c r="T8436"/>
      <c r="U8436"/>
    </row>
    <row r="8437" spans="1:21">
      <c r="A8437"/>
      <c r="C8437"/>
      <c r="D8437"/>
      <c r="L8437"/>
      <c r="R8437"/>
      <c r="S8437"/>
      <c r="T8437"/>
      <c r="U8437"/>
    </row>
    <row r="8438" spans="1:21">
      <c r="A8438"/>
      <c r="C8438"/>
      <c r="D8438"/>
      <c r="L8438"/>
      <c r="R8438"/>
      <c r="S8438"/>
      <c r="T8438"/>
      <c r="U8438"/>
    </row>
    <row r="8439" spans="1:21">
      <c r="A8439"/>
      <c r="C8439"/>
      <c r="D8439"/>
      <c r="L8439"/>
      <c r="R8439"/>
      <c r="S8439"/>
      <c r="T8439"/>
      <c r="U8439"/>
    </row>
    <row r="8440" spans="1:21">
      <c r="A8440"/>
      <c r="C8440"/>
      <c r="D8440"/>
      <c r="L8440"/>
      <c r="R8440"/>
      <c r="S8440"/>
      <c r="T8440"/>
      <c r="U8440"/>
    </row>
    <row r="8441" spans="1:21">
      <c r="A8441"/>
      <c r="C8441"/>
      <c r="D8441"/>
      <c r="L8441"/>
      <c r="R8441"/>
      <c r="S8441"/>
      <c r="T8441"/>
      <c r="U8441"/>
    </row>
    <row r="8442" spans="1:21">
      <c r="A8442"/>
      <c r="C8442"/>
      <c r="D8442"/>
      <c r="L8442"/>
      <c r="R8442"/>
      <c r="S8442"/>
      <c r="T8442"/>
      <c r="U8442"/>
    </row>
    <row r="8443" spans="1:21">
      <c r="A8443"/>
      <c r="C8443"/>
      <c r="D8443"/>
      <c r="L8443"/>
      <c r="R8443"/>
      <c r="S8443"/>
      <c r="T8443"/>
      <c r="U8443"/>
    </row>
    <row r="8444" spans="1:21">
      <c r="A8444"/>
      <c r="C8444"/>
      <c r="D8444"/>
      <c r="L8444"/>
      <c r="R8444"/>
      <c r="S8444"/>
      <c r="T8444"/>
      <c r="U8444"/>
    </row>
    <row r="8445" spans="1:21">
      <c r="A8445"/>
      <c r="C8445"/>
      <c r="D8445"/>
      <c r="L8445"/>
      <c r="R8445"/>
      <c r="S8445"/>
      <c r="T8445"/>
      <c r="U8445"/>
    </row>
    <row r="8446" spans="1:21">
      <c r="A8446"/>
      <c r="C8446"/>
      <c r="D8446"/>
      <c r="L8446"/>
      <c r="R8446"/>
      <c r="S8446"/>
      <c r="T8446"/>
      <c r="U8446"/>
    </row>
    <row r="8447" spans="1:21">
      <c r="A8447"/>
      <c r="C8447"/>
      <c r="D8447"/>
      <c r="L8447"/>
      <c r="R8447"/>
      <c r="S8447"/>
      <c r="T8447"/>
      <c r="U8447"/>
    </row>
    <row r="8448" spans="1:21">
      <c r="A8448"/>
      <c r="C8448"/>
      <c r="D8448"/>
      <c r="L8448"/>
      <c r="R8448"/>
      <c r="S8448"/>
      <c r="T8448"/>
      <c r="U8448"/>
    </row>
    <row r="8449" spans="1:21">
      <c r="A8449"/>
      <c r="C8449"/>
      <c r="D8449"/>
      <c r="L8449"/>
      <c r="R8449"/>
      <c r="S8449"/>
      <c r="T8449"/>
      <c r="U8449"/>
    </row>
    <row r="8450" spans="1:21">
      <c r="A8450"/>
      <c r="C8450"/>
      <c r="D8450"/>
      <c r="L8450"/>
      <c r="R8450"/>
      <c r="S8450"/>
      <c r="T8450"/>
      <c r="U8450"/>
    </row>
    <row r="8451" spans="1:21">
      <c r="A8451"/>
      <c r="C8451"/>
      <c r="D8451"/>
      <c r="L8451"/>
      <c r="R8451"/>
      <c r="S8451"/>
      <c r="T8451"/>
      <c r="U8451"/>
    </row>
    <row r="8452" spans="1:21">
      <c r="A8452"/>
      <c r="C8452"/>
      <c r="D8452"/>
      <c r="L8452"/>
      <c r="R8452"/>
      <c r="S8452"/>
      <c r="T8452"/>
      <c r="U8452"/>
    </row>
    <row r="8453" spans="1:21">
      <c r="A8453"/>
      <c r="C8453"/>
      <c r="D8453"/>
      <c r="L8453"/>
      <c r="R8453"/>
      <c r="S8453"/>
      <c r="T8453"/>
      <c r="U8453"/>
    </row>
    <row r="8454" spans="1:21">
      <c r="A8454"/>
      <c r="C8454"/>
      <c r="D8454"/>
      <c r="L8454"/>
      <c r="R8454"/>
      <c r="S8454"/>
      <c r="T8454"/>
      <c r="U8454"/>
    </row>
    <row r="8455" spans="1:21">
      <c r="A8455"/>
      <c r="C8455"/>
      <c r="D8455"/>
      <c r="L8455"/>
      <c r="R8455"/>
      <c r="S8455"/>
      <c r="T8455"/>
      <c r="U8455"/>
    </row>
    <row r="8456" spans="1:21">
      <c r="A8456"/>
      <c r="C8456"/>
      <c r="D8456"/>
      <c r="L8456"/>
      <c r="R8456"/>
      <c r="S8456"/>
      <c r="T8456"/>
      <c r="U8456"/>
    </row>
    <row r="8457" spans="1:21">
      <c r="A8457"/>
      <c r="C8457"/>
      <c r="D8457"/>
      <c r="L8457"/>
      <c r="R8457"/>
      <c r="S8457"/>
      <c r="T8457"/>
      <c r="U8457"/>
    </row>
    <row r="8458" spans="1:21">
      <c r="A8458"/>
      <c r="C8458"/>
      <c r="D8458"/>
      <c r="L8458"/>
      <c r="R8458"/>
      <c r="S8458"/>
      <c r="T8458"/>
      <c r="U8458"/>
    </row>
    <row r="8459" spans="1:21">
      <c r="A8459"/>
      <c r="C8459"/>
      <c r="D8459"/>
      <c r="L8459"/>
      <c r="R8459"/>
      <c r="S8459"/>
      <c r="T8459"/>
      <c r="U8459"/>
    </row>
    <row r="8460" spans="1:21">
      <c r="A8460"/>
      <c r="C8460"/>
      <c r="D8460"/>
      <c r="L8460"/>
      <c r="R8460"/>
      <c r="S8460"/>
      <c r="T8460"/>
      <c r="U8460"/>
    </row>
    <row r="8461" spans="1:21">
      <c r="A8461"/>
      <c r="C8461"/>
      <c r="D8461"/>
      <c r="L8461"/>
      <c r="R8461"/>
      <c r="S8461"/>
      <c r="T8461"/>
      <c r="U8461"/>
    </row>
    <row r="8462" spans="1:21">
      <c r="A8462"/>
      <c r="C8462"/>
      <c r="D8462"/>
      <c r="L8462"/>
      <c r="R8462"/>
      <c r="S8462"/>
      <c r="T8462"/>
      <c r="U8462"/>
    </row>
    <row r="8463" spans="1:21">
      <c r="A8463"/>
      <c r="C8463"/>
      <c r="D8463"/>
      <c r="L8463"/>
      <c r="R8463"/>
      <c r="S8463"/>
      <c r="T8463"/>
      <c r="U8463"/>
    </row>
    <row r="8464" spans="1:21">
      <c r="A8464"/>
      <c r="C8464"/>
      <c r="D8464"/>
      <c r="L8464"/>
      <c r="R8464"/>
      <c r="S8464"/>
      <c r="T8464"/>
      <c r="U8464"/>
    </row>
    <row r="8465" spans="1:21">
      <c r="A8465"/>
      <c r="C8465"/>
      <c r="D8465"/>
      <c r="L8465"/>
      <c r="R8465"/>
      <c r="S8465"/>
      <c r="T8465"/>
      <c r="U8465"/>
    </row>
    <row r="8466" spans="1:21">
      <c r="A8466"/>
      <c r="C8466"/>
      <c r="D8466"/>
      <c r="L8466"/>
      <c r="R8466"/>
      <c r="S8466"/>
      <c r="T8466"/>
      <c r="U8466"/>
    </row>
    <row r="8467" spans="1:21">
      <c r="A8467"/>
      <c r="C8467"/>
      <c r="D8467"/>
      <c r="L8467"/>
      <c r="R8467"/>
      <c r="S8467"/>
      <c r="T8467"/>
      <c r="U8467"/>
    </row>
    <row r="8468" spans="1:21">
      <c r="A8468"/>
      <c r="C8468"/>
      <c r="D8468"/>
      <c r="L8468"/>
      <c r="R8468"/>
      <c r="S8468"/>
      <c r="T8468"/>
      <c r="U8468"/>
    </row>
    <row r="8469" spans="1:21">
      <c r="A8469"/>
      <c r="C8469"/>
      <c r="D8469"/>
      <c r="L8469"/>
      <c r="R8469"/>
      <c r="S8469"/>
      <c r="T8469"/>
      <c r="U8469"/>
    </row>
    <row r="8470" spans="1:21">
      <c r="A8470"/>
      <c r="C8470"/>
      <c r="D8470"/>
      <c r="L8470"/>
      <c r="R8470"/>
      <c r="S8470"/>
      <c r="T8470"/>
      <c r="U8470"/>
    </row>
    <row r="8471" spans="1:21">
      <c r="A8471"/>
      <c r="C8471"/>
      <c r="D8471"/>
      <c r="L8471"/>
      <c r="R8471"/>
      <c r="S8471"/>
      <c r="T8471"/>
      <c r="U8471"/>
    </row>
    <row r="8472" spans="1:21">
      <c r="A8472"/>
      <c r="C8472"/>
      <c r="D8472"/>
      <c r="L8472"/>
      <c r="R8472"/>
      <c r="S8472"/>
      <c r="T8472"/>
      <c r="U8472"/>
    </row>
    <row r="8473" spans="1:21">
      <c r="A8473"/>
      <c r="C8473"/>
      <c r="D8473"/>
      <c r="L8473"/>
      <c r="R8473"/>
      <c r="S8473"/>
      <c r="T8473"/>
      <c r="U8473"/>
    </row>
    <row r="8474" spans="1:21">
      <c r="A8474"/>
      <c r="C8474"/>
      <c r="D8474"/>
      <c r="L8474"/>
      <c r="R8474"/>
      <c r="S8474"/>
      <c r="T8474"/>
      <c r="U8474"/>
    </row>
    <row r="8475" spans="1:21">
      <c r="A8475"/>
      <c r="C8475"/>
      <c r="D8475"/>
      <c r="L8475"/>
      <c r="R8475"/>
      <c r="S8475"/>
      <c r="T8475"/>
      <c r="U8475"/>
    </row>
    <row r="8476" spans="1:21">
      <c r="A8476"/>
      <c r="C8476"/>
      <c r="D8476"/>
      <c r="L8476"/>
      <c r="R8476"/>
      <c r="S8476"/>
      <c r="T8476"/>
      <c r="U8476"/>
    </row>
    <row r="8477" spans="1:21">
      <c r="A8477"/>
      <c r="C8477"/>
      <c r="D8477"/>
      <c r="L8477"/>
      <c r="R8477"/>
      <c r="S8477"/>
      <c r="T8477"/>
      <c r="U8477"/>
    </row>
    <row r="8478" spans="1:21">
      <c r="A8478"/>
      <c r="C8478"/>
      <c r="D8478"/>
      <c r="L8478"/>
      <c r="R8478"/>
      <c r="S8478"/>
      <c r="T8478"/>
      <c r="U8478"/>
    </row>
    <row r="8479" spans="1:21">
      <c r="A8479"/>
      <c r="C8479"/>
      <c r="D8479"/>
      <c r="L8479"/>
      <c r="R8479"/>
      <c r="S8479"/>
      <c r="T8479"/>
      <c r="U8479"/>
    </row>
    <row r="8480" spans="1:21">
      <c r="A8480"/>
      <c r="C8480"/>
      <c r="D8480"/>
      <c r="L8480"/>
      <c r="R8480"/>
      <c r="S8480"/>
      <c r="T8480"/>
      <c r="U8480"/>
    </row>
    <row r="8481" spans="1:21">
      <c r="A8481"/>
      <c r="C8481"/>
      <c r="D8481"/>
      <c r="L8481"/>
      <c r="R8481"/>
      <c r="S8481"/>
      <c r="T8481"/>
      <c r="U8481"/>
    </row>
    <row r="8482" spans="1:21">
      <c r="A8482"/>
      <c r="C8482"/>
      <c r="D8482"/>
      <c r="L8482"/>
      <c r="R8482"/>
      <c r="S8482"/>
      <c r="T8482"/>
      <c r="U8482"/>
    </row>
    <row r="8483" spans="1:21">
      <c r="A8483"/>
      <c r="C8483"/>
      <c r="D8483"/>
      <c r="L8483"/>
      <c r="R8483"/>
      <c r="S8483"/>
      <c r="T8483"/>
      <c r="U8483"/>
    </row>
    <row r="8484" spans="1:21">
      <c r="A8484"/>
      <c r="C8484"/>
      <c r="D8484"/>
      <c r="L8484"/>
      <c r="R8484"/>
      <c r="S8484"/>
      <c r="T8484"/>
      <c r="U8484"/>
    </row>
    <row r="8485" spans="1:21">
      <c r="A8485"/>
      <c r="C8485"/>
      <c r="D8485"/>
      <c r="L8485"/>
      <c r="R8485"/>
      <c r="S8485"/>
      <c r="T8485"/>
      <c r="U8485"/>
    </row>
    <row r="8486" spans="1:21">
      <c r="A8486"/>
      <c r="C8486"/>
      <c r="D8486"/>
      <c r="L8486"/>
      <c r="R8486"/>
      <c r="S8486"/>
      <c r="T8486"/>
      <c r="U8486"/>
    </row>
    <row r="8487" spans="1:21">
      <c r="A8487"/>
      <c r="C8487"/>
      <c r="D8487"/>
      <c r="L8487"/>
      <c r="R8487"/>
      <c r="S8487"/>
      <c r="T8487"/>
      <c r="U8487"/>
    </row>
    <row r="8488" spans="1:21">
      <c r="A8488"/>
      <c r="C8488"/>
      <c r="D8488"/>
      <c r="L8488"/>
      <c r="R8488"/>
      <c r="S8488"/>
      <c r="T8488"/>
      <c r="U8488"/>
    </row>
    <row r="8489" spans="1:21">
      <c r="A8489"/>
      <c r="C8489"/>
      <c r="D8489"/>
      <c r="L8489"/>
      <c r="R8489"/>
      <c r="S8489"/>
      <c r="T8489"/>
      <c r="U8489"/>
    </row>
    <row r="8490" spans="1:21">
      <c r="A8490"/>
      <c r="C8490"/>
      <c r="D8490"/>
      <c r="L8490"/>
      <c r="R8490"/>
      <c r="S8490"/>
      <c r="T8490"/>
      <c r="U8490"/>
    </row>
    <row r="8491" spans="1:21">
      <c r="A8491"/>
      <c r="C8491"/>
      <c r="D8491"/>
      <c r="L8491"/>
      <c r="R8491"/>
      <c r="S8491"/>
      <c r="T8491"/>
      <c r="U8491"/>
    </row>
    <row r="8492" spans="1:21">
      <c r="A8492"/>
      <c r="C8492"/>
      <c r="D8492"/>
      <c r="L8492"/>
      <c r="R8492"/>
      <c r="S8492"/>
      <c r="T8492"/>
      <c r="U8492"/>
    </row>
    <row r="8493" spans="1:21">
      <c r="A8493"/>
      <c r="C8493"/>
      <c r="D8493"/>
      <c r="L8493"/>
      <c r="R8493"/>
      <c r="S8493"/>
      <c r="T8493"/>
      <c r="U8493"/>
    </row>
    <row r="8494" spans="1:21">
      <c r="A8494"/>
      <c r="C8494"/>
      <c r="D8494"/>
      <c r="L8494"/>
      <c r="R8494"/>
      <c r="S8494"/>
      <c r="T8494"/>
      <c r="U8494"/>
    </row>
    <row r="8495" spans="1:21">
      <c r="A8495"/>
      <c r="C8495"/>
      <c r="D8495"/>
      <c r="L8495"/>
      <c r="R8495"/>
      <c r="S8495"/>
      <c r="T8495"/>
      <c r="U8495"/>
    </row>
    <row r="8496" spans="1:21">
      <c r="A8496"/>
      <c r="C8496"/>
      <c r="D8496"/>
      <c r="L8496"/>
      <c r="R8496"/>
      <c r="S8496"/>
      <c r="T8496"/>
      <c r="U8496"/>
    </row>
    <row r="8497" spans="1:21">
      <c r="A8497"/>
      <c r="C8497"/>
      <c r="D8497"/>
      <c r="L8497"/>
      <c r="R8497"/>
      <c r="S8497"/>
      <c r="T8497"/>
      <c r="U8497"/>
    </row>
    <row r="8498" spans="1:21">
      <c r="A8498"/>
      <c r="C8498"/>
      <c r="D8498"/>
      <c r="L8498"/>
      <c r="R8498"/>
      <c r="S8498"/>
      <c r="T8498"/>
      <c r="U8498"/>
    </row>
    <row r="8499" spans="1:21">
      <c r="A8499"/>
      <c r="C8499"/>
      <c r="D8499"/>
      <c r="L8499"/>
      <c r="R8499"/>
      <c r="S8499"/>
      <c r="T8499"/>
      <c r="U8499"/>
    </row>
    <row r="8500" spans="1:21">
      <c r="A8500"/>
      <c r="C8500"/>
      <c r="D8500"/>
      <c r="L8500"/>
      <c r="R8500"/>
      <c r="S8500"/>
      <c r="T8500"/>
      <c r="U8500"/>
    </row>
    <row r="8501" spans="1:21">
      <c r="A8501"/>
      <c r="C8501"/>
      <c r="D8501"/>
      <c r="L8501"/>
      <c r="R8501"/>
      <c r="S8501"/>
      <c r="T8501"/>
      <c r="U8501"/>
    </row>
    <row r="8502" spans="1:21">
      <c r="A8502"/>
      <c r="C8502"/>
      <c r="D8502"/>
      <c r="L8502"/>
      <c r="R8502"/>
      <c r="S8502"/>
      <c r="T8502"/>
      <c r="U8502"/>
    </row>
    <row r="8503" spans="1:21">
      <c r="A8503"/>
      <c r="C8503"/>
      <c r="D8503"/>
      <c r="L8503"/>
      <c r="R8503"/>
      <c r="S8503"/>
      <c r="T8503"/>
      <c r="U8503"/>
    </row>
    <row r="8504" spans="1:21">
      <c r="A8504"/>
      <c r="C8504"/>
      <c r="D8504"/>
      <c r="L8504"/>
      <c r="R8504"/>
      <c r="S8504"/>
      <c r="T8504"/>
      <c r="U8504"/>
    </row>
    <row r="8505" spans="1:21">
      <c r="A8505"/>
      <c r="C8505"/>
      <c r="D8505"/>
      <c r="L8505"/>
      <c r="R8505"/>
      <c r="S8505"/>
      <c r="T8505"/>
      <c r="U8505"/>
    </row>
    <row r="8506" spans="1:21">
      <c r="A8506"/>
      <c r="C8506"/>
      <c r="D8506"/>
      <c r="L8506"/>
      <c r="R8506"/>
      <c r="S8506"/>
      <c r="T8506"/>
      <c r="U8506"/>
    </row>
    <row r="8507" spans="1:21">
      <c r="A8507"/>
      <c r="C8507"/>
      <c r="D8507"/>
      <c r="L8507"/>
      <c r="R8507"/>
      <c r="S8507"/>
      <c r="T8507"/>
      <c r="U8507"/>
    </row>
    <row r="8508" spans="1:21">
      <c r="A8508"/>
      <c r="C8508"/>
      <c r="D8508"/>
      <c r="L8508"/>
      <c r="R8508"/>
      <c r="S8508"/>
      <c r="T8508"/>
      <c r="U8508"/>
    </row>
    <row r="8509" spans="1:21">
      <c r="A8509"/>
      <c r="C8509"/>
      <c r="D8509"/>
      <c r="L8509"/>
      <c r="R8509"/>
      <c r="S8509"/>
      <c r="T8509"/>
      <c r="U8509"/>
    </row>
    <row r="8510" spans="1:21">
      <c r="A8510"/>
      <c r="C8510"/>
      <c r="D8510"/>
      <c r="L8510"/>
      <c r="R8510"/>
      <c r="S8510"/>
      <c r="T8510"/>
      <c r="U8510"/>
    </row>
    <row r="8511" spans="1:21">
      <c r="A8511"/>
      <c r="C8511"/>
      <c r="D8511"/>
      <c r="L8511"/>
      <c r="R8511"/>
      <c r="S8511"/>
      <c r="T8511"/>
      <c r="U8511"/>
    </row>
    <row r="8512" spans="1:21">
      <c r="A8512"/>
      <c r="C8512"/>
      <c r="D8512"/>
      <c r="L8512"/>
      <c r="R8512"/>
      <c r="S8512"/>
      <c r="T8512"/>
      <c r="U8512"/>
    </row>
    <row r="8513" spans="1:21">
      <c r="A8513"/>
      <c r="C8513"/>
      <c r="D8513"/>
      <c r="L8513"/>
      <c r="R8513"/>
      <c r="S8513"/>
      <c r="T8513"/>
      <c r="U8513"/>
    </row>
    <row r="8514" spans="1:21">
      <c r="A8514"/>
      <c r="C8514"/>
      <c r="D8514"/>
      <c r="L8514"/>
      <c r="R8514"/>
      <c r="S8514"/>
      <c r="T8514"/>
      <c r="U8514"/>
    </row>
    <row r="8515" spans="1:21">
      <c r="A8515"/>
      <c r="C8515"/>
      <c r="D8515"/>
      <c r="L8515"/>
      <c r="R8515"/>
      <c r="S8515"/>
      <c r="T8515"/>
      <c r="U8515"/>
    </row>
    <row r="8516" spans="1:21">
      <c r="A8516"/>
      <c r="C8516"/>
      <c r="D8516"/>
      <c r="L8516"/>
      <c r="R8516"/>
      <c r="S8516"/>
      <c r="T8516"/>
      <c r="U8516"/>
    </row>
    <row r="8517" spans="1:21">
      <c r="A8517"/>
      <c r="C8517"/>
      <c r="D8517"/>
      <c r="L8517"/>
      <c r="R8517"/>
      <c r="S8517"/>
      <c r="T8517"/>
      <c r="U8517"/>
    </row>
    <row r="8518" spans="1:21">
      <c r="A8518"/>
      <c r="C8518"/>
      <c r="D8518"/>
      <c r="L8518"/>
      <c r="R8518"/>
      <c r="S8518"/>
      <c r="T8518"/>
      <c r="U8518"/>
    </row>
    <row r="8519" spans="1:21">
      <c r="A8519"/>
      <c r="C8519"/>
      <c r="D8519"/>
      <c r="L8519"/>
      <c r="R8519"/>
      <c r="S8519"/>
      <c r="T8519"/>
      <c r="U8519"/>
    </row>
    <row r="8520" spans="1:21">
      <c r="A8520"/>
      <c r="C8520"/>
      <c r="D8520"/>
      <c r="L8520"/>
      <c r="R8520"/>
      <c r="S8520"/>
      <c r="T8520"/>
      <c r="U8520"/>
    </row>
    <row r="8521" spans="1:21">
      <c r="A8521"/>
      <c r="C8521"/>
      <c r="D8521"/>
      <c r="L8521"/>
      <c r="R8521"/>
      <c r="S8521"/>
      <c r="T8521"/>
      <c r="U8521"/>
    </row>
    <row r="8522" spans="1:21">
      <c r="A8522"/>
      <c r="C8522"/>
      <c r="D8522"/>
      <c r="L8522"/>
      <c r="R8522"/>
      <c r="S8522"/>
      <c r="T8522"/>
      <c r="U8522"/>
    </row>
    <row r="8523" spans="1:21">
      <c r="A8523"/>
      <c r="C8523"/>
      <c r="D8523"/>
      <c r="L8523"/>
      <c r="R8523"/>
      <c r="S8523"/>
      <c r="T8523"/>
      <c r="U8523"/>
    </row>
    <row r="8524" spans="1:21">
      <c r="A8524"/>
      <c r="C8524"/>
      <c r="D8524"/>
      <c r="L8524"/>
      <c r="R8524"/>
      <c r="S8524"/>
      <c r="T8524"/>
      <c r="U8524"/>
    </row>
    <row r="8525" spans="1:21">
      <c r="A8525"/>
      <c r="C8525"/>
      <c r="D8525"/>
      <c r="L8525"/>
      <c r="R8525"/>
      <c r="S8525"/>
      <c r="T8525"/>
      <c r="U8525"/>
    </row>
    <row r="8526" spans="1:21">
      <c r="A8526"/>
      <c r="C8526"/>
      <c r="D8526"/>
      <c r="L8526"/>
      <c r="R8526"/>
      <c r="S8526"/>
      <c r="T8526"/>
      <c r="U8526"/>
    </row>
    <row r="8527" spans="1:21">
      <c r="A8527"/>
      <c r="C8527"/>
      <c r="D8527"/>
      <c r="L8527"/>
      <c r="R8527"/>
      <c r="S8527"/>
      <c r="T8527"/>
      <c r="U8527"/>
    </row>
    <row r="8528" spans="1:21">
      <c r="A8528"/>
      <c r="C8528"/>
      <c r="D8528"/>
      <c r="L8528"/>
      <c r="R8528"/>
      <c r="S8528"/>
      <c r="T8528"/>
      <c r="U8528"/>
    </row>
    <row r="8529" spans="1:21">
      <c r="A8529"/>
      <c r="C8529"/>
      <c r="D8529"/>
      <c r="L8529"/>
      <c r="R8529"/>
      <c r="S8529"/>
      <c r="T8529"/>
      <c r="U8529"/>
    </row>
    <row r="8530" spans="1:21">
      <c r="A8530"/>
      <c r="C8530"/>
      <c r="D8530"/>
      <c r="L8530"/>
      <c r="R8530"/>
      <c r="S8530"/>
      <c r="T8530"/>
      <c r="U8530"/>
    </row>
    <row r="8531" spans="1:21">
      <c r="A8531"/>
      <c r="C8531"/>
      <c r="D8531"/>
      <c r="L8531"/>
      <c r="R8531"/>
      <c r="S8531"/>
      <c r="T8531"/>
      <c r="U8531"/>
    </row>
    <row r="8532" spans="1:21">
      <c r="A8532"/>
      <c r="C8532"/>
      <c r="D8532"/>
      <c r="L8532"/>
      <c r="R8532"/>
      <c r="S8532"/>
      <c r="T8532"/>
      <c r="U8532"/>
    </row>
    <row r="8533" spans="1:21">
      <c r="A8533"/>
      <c r="C8533"/>
      <c r="D8533"/>
      <c r="L8533"/>
      <c r="R8533"/>
      <c r="S8533"/>
      <c r="T8533"/>
      <c r="U8533"/>
    </row>
    <row r="8534" spans="1:21">
      <c r="A8534"/>
      <c r="C8534"/>
      <c r="D8534"/>
      <c r="L8534"/>
      <c r="R8534"/>
      <c r="S8534"/>
      <c r="T8534"/>
      <c r="U8534"/>
    </row>
    <row r="8535" spans="1:21">
      <c r="A8535"/>
      <c r="C8535"/>
      <c r="D8535"/>
      <c r="L8535"/>
      <c r="R8535"/>
      <c r="S8535"/>
      <c r="T8535"/>
      <c r="U8535"/>
    </row>
    <row r="8536" spans="1:21">
      <c r="A8536"/>
      <c r="C8536"/>
      <c r="D8536"/>
      <c r="L8536"/>
      <c r="R8536"/>
      <c r="S8536"/>
      <c r="T8536"/>
      <c r="U8536"/>
    </row>
    <row r="8537" spans="1:21">
      <c r="A8537"/>
      <c r="C8537"/>
      <c r="D8537"/>
      <c r="L8537"/>
      <c r="R8537"/>
      <c r="S8537"/>
      <c r="T8537"/>
      <c r="U8537"/>
    </row>
    <row r="8538" spans="1:21">
      <c r="A8538"/>
      <c r="C8538"/>
      <c r="D8538"/>
      <c r="L8538"/>
      <c r="R8538"/>
      <c r="S8538"/>
      <c r="T8538"/>
      <c r="U8538"/>
    </row>
    <row r="8539" spans="1:21">
      <c r="A8539"/>
      <c r="C8539"/>
      <c r="D8539"/>
      <c r="L8539"/>
      <c r="R8539"/>
      <c r="S8539"/>
      <c r="T8539"/>
      <c r="U8539"/>
    </row>
    <row r="8540" spans="1:21">
      <c r="A8540"/>
      <c r="C8540"/>
      <c r="D8540"/>
      <c r="L8540"/>
      <c r="R8540"/>
      <c r="S8540"/>
      <c r="T8540"/>
      <c r="U8540"/>
    </row>
    <row r="8541" spans="1:21">
      <c r="A8541"/>
      <c r="C8541"/>
      <c r="D8541"/>
      <c r="L8541"/>
      <c r="R8541"/>
      <c r="S8541"/>
      <c r="T8541"/>
      <c r="U8541"/>
    </row>
    <row r="8542" spans="1:21">
      <c r="A8542"/>
      <c r="C8542"/>
      <c r="D8542"/>
      <c r="L8542"/>
      <c r="R8542"/>
      <c r="S8542"/>
      <c r="T8542"/>
      <c r="U8542"/>
    </row>
    <row r="8543" spans="1:21">
      <c r="A8543"/>
      <c r="C8543"/>
      <c r="D8543"/>
      <c r="L8543"/>
      <c r="R8543"/>
      <c r="S8543"/>
      <c r="T8543"/>
      <c r="U8543"/>
    </row>
    <row r="8544" spans="1:21">
      <c r="A8544"/>
      <c r="C8544"/>
      <c r="D8544"/>
      <c r="L8544"/>
      <c r="R8544"/>
      <c r="S8544"/>
      <c r="T8544"/>
      <c r="U8544"/>
    </row>
    <row r="8545" spans="1:21">
      <c r="A8545"/>
      <c r="C8545"/>
      <c r="D8545"/>
      <c r="L8545"/>
      <c r="R8545"/>
      <c r="S8545"/>
      <c r="T8545"/>
      <c r="U8545"/>
    </row>
    <row r="8546" spans="1:21">
      <c r="A8546"/>
      <c r="C8546"/>
      <c r="D8546"/>
      <c r="L8546"/>
      <c r="R8546"/>
      <c r="S8546"/>
      <c r="T8546"/>
      <c r="U8546"/>
    </row>
    <row r="8547" spans="1:21">
      <c r="A8547"/>
      <c r="C8547"/>
      <c r="D8547"/>
      <c r="L8547"/>
      <c r="R8547"/>
      <c r="S8547"/>
      <c r="T8547"/>
      <c r="U8547"/>
    </row>
    <row r="8548" spans="1:21">
      <c r="A8548"/>
      <c r="C8548"/>
      <c r="D8548"/>
      <c r="L8548"/>
      <c r="R8548"/>
      <c r="S8548"/>
      <c r="T8548"/>
      <c r="U8548"/>
    </row>
    <row r="8549" spans="1:21">
      <c r="A8549"/>
      <c r="C8549"/>
      <c r="D8549"/>
      <c r="L8549"/>
      <c r="R8549"/>
      <c r="S8549"/>
      <c r="T8549"/>
      <c r="U8549"/>
    </row>
    <row r="8550" spans="1:21">
      <c r="A8550"/>
      <c r="C8550"/>
      <c r="D8550"/>
      <c r="L8550"/>
      <c r="R8550"/>
      <c r="S8550"/>
      <c r="T8550"/>
      <c r="U8550"/>
    </row>
    <row r="8551" spans="1:21">
      <c r="A8551"/>
      <c r="C8551"/>
      <c r="D8551"/>
      <c r="L8551"/>
      <c r="R8551"/>
      <c r="S8551"/>
      <c r="T8551"/>
      <c r="U8551"/>
    </row>
    <row r="8552" spans="1:21">
      <c r="A8552"/>
      <c r="C8552"/>
      <c r="D8552"/>
      <c r="L8552"/>
      <c r="R8552"/>
      <c r="S8552"/>
      <c r="T8552"/>
      <c r="U8552"/>
    </row>
    <row r="8553" spans="1:21">
      <c r="A8553"/>
      <c r="C8553"/>
      <c r="D8553"/>
      <c r="L8553"/>
      <c r="R8553"/>
      <c r="S8553"/>
      <c r="T8553"/>
      <c r="U8553"/>
    </row>
    <row r="8554" spans="1:21">
      <c r="A8554"/>
      <c r="C8554"/>
      <c r="D8554"/>
      <c r="L8554"/>
      <c r="R8554"/>
      <c r="S8554"/>
      <c r="T8554"/>
      <c r="U8554"/>
    </row>
    <row r="8555" spans="1:21">
      <c r="A8555"/>
      <c r="C8555"/>
      <c r="D8555"/>
      <c r="L8555"/>
      <c r="R8555"/>
      <c r="S8555"/>
      <c r="T8555"/>
      <c r="U8555"/>
    </row>
    <row r="8556" spans="1:21">
      <c r="A8556"/>
      <c r="C8556"/>
      <c r="D8556"/>
      <c r="L8556"/>
      <c r="R8556"/>
      <c r="S8556"/>
      <c r="T8556"/>
      <c r="U8556"/>
    </row>
    <row r="8557" spans="1:21">
      <c r="A8557"/>
      <c r="C8557"/>
      <c r="D8557"/>
      <c r="L8557"/>
      <c r="R8557"/>
      <c r="S8557"/>
      <c r="T8557"/>
      <c r="U8557"/>
    </row>
    <row r="8558" spans="1:21">
      <c r="A8558"/>
      <c r="C8558"/>
      <c r="D8558"/>
      <c r="L8558"/>
      <c r="R8558"/>
      <c r="S8558"/>
      <c r="T8558"/>
      <c r="U8558"/>
    </row>
    <row r="8559" spans="1:21">
      <c r="A8559"/>
      <c r="C8559"/>
      <c r="D8559"/>
      <c r="L8559"/>
      <c r="R8559"/>
      <c r="S8559"/>
      <c r="T8559"/>
      <c r="U8559"/>
    </row>
    <row r="8560" spans="1:21">
      <c r="A8560"/>
      <c r="C8560"/>
      <c r="D8560"/>
      <c r="L8560"/>
      <c r="R8560"/>
      <c r="S8560"/>
      <c r="T8560"/>
      <c r="U8560"/>
    </row>
    <row r="8561" spans="1:21">
      <c r="A8561"/>
      <c r="C8561"/>
      <c r="D8561"/>
      <c r="L8561"/>
      <c r="R8561"/>
      <c r="S8561"/>
      <c r="T8561"/>
      <c r="U8561"/>
    </row>
    <row r="8562" spans="1:21">
      <c r="A8562"/>
      <c r="C8562"/>
      <c r="D8562"/>
      <c r="L8562"/>
      <c r="R8562"/>
      <c r="S8562"/>
      <c r="T8562"/>
      <c r="U8562"/>
    </row>
    <row r="8563" spans="1:21">
      <c r="A8563"/>
      <c r="C8563"/>
      <c r="D8563"/>
      <c r="L8563"/>
      <c r="R8563"/>
      <c r="S8563"/>
      <c r="T8563"/>
      <c r="U8563"/>
    </row>
    <row r="8564" spans="1:21">
      <c r="A8564"/>
      <c r="C8564"/>
      <c r="D8564"/>
      <c r="L8564"/>
      <c r="R8564"/>
      <c r="S8564"/>
      <c r="T8564"/>
      <c r="U8564"/>
    </row>
    <row r="8565" spans="1:21">
      <c r="A8565"/>
      <c r="C8565"/>
      <c r="D8565"/>
      <c r="L8565"/>
      <c r="R8565"/>
      <c r="S8565"/>
      <c r="T8565"/>
      <c r="U8565"/>
    </row>
    <row r="8566" spans="1:21">
      <c r="A8566"/>
      <c r="C8566"/>
      <c r="D8566"/>
      <c r="L8566"/>
      <c r="R8566"/>
      <c r="S8566"/>
      <c r="T8566"/>
      <c r="U8566"/>
    </row>
    <row r="8567" spans="1:21">
      <c r="A8567"/>
      <c r="C8567"/>
      <c r="D8567"/>
      <c r="L8567"/>
      <c r="R8567"/>
      <c r="S8567"/>
      <c r="T8567"/>
      <c r="U8567"/>
    </row>
    <row r="8568" spans="1:21">
      <c r="A8568"/>
      <c r="C8568"/>
      <c r="D8568"/>
      <c r="L8568"/>
      <c r="R8568"/>
      <c r="S8568"/>
      <c r="T8568"/>
      <c r="U8568"/>
    </row>
    <row r="8569" spans="1:21">
      <c r="A8569"/>
      <c r="C8569"/>
      <c r="D8569"/>
      <c r="L8569"/>
      <c r="R8569"/>
      <c r="S8569"/>
      <c r="T8569"/>
      <c r="U8569"/>
    </row>
    <row r="8570" spans="1:21">
      <c r="A8570"/>
      <c r="C8570"/>
      <c r="D8570"/>
      <c r="L8570"/>
      <c r="R8570"/>
      <c r="S8570"/>
      <c r="T8570"/>
      <c r="U8570"/>
    </row>
    <row r="8571" spans="1:21">
      <c r="A8571"/>
      <c r="C8571"/>
      <c r="D8571"/>
      <c r="L8571"/>
      <c r="R8571"/>
      <c r="S8571"/>
      <c r="T8571"/>
      <c r="U8571"/>
    </row>
    <row r="8572" spans="1:21">
      <c r="A8572"/>
      <c r="C8572"/>
      <c r="D8572"/>
      <c r="L8572"/>
      <c r="R8572"/>
      <c r="S8572"/>
      <c r="T8572"/>
      <c r="U8572"/>
    </row>
    <row r="8573" spans="1:21">
      <c r="A8573"/>
      <c r="C8573"/>
      <c r="D8573"/>
      <c r="L8573"/>
      <c r="R8573"/>
      <c r="S8573"/>
      <c r="T8573"/>
      <c r="U8573"/>
    </row>
    <row r="8574" spans="1:21">
      <c r="A8574"/>
      <c r="C8574"/>
      <c r="D8574"/>
      <c r="L8574"/>
      <c r="R8574"/>
      <c r="S8574"/>
      <c r="T8574"/>
      <c r="U8574"/>
    </row>
    <row r="8575" spans="1:21">
      <c r="A8575"/>
      <c r="C8575"/>
      <c r="D8575"/>
      <c r="L8575"/>
      <c r="R8575"/>
      <c r="S8575"/>
      <c r="T8575"/>
      <c r="U8575"/>
    </row>
    <row r="8576" spans="1:21">
      <c r="A8576"/>
      <c r="C8576"/>
      <c r="D8576"/>
      <c r="L8576"/>
      <c r="R8576"/>
      <c r="S8576"/>
      <c r="T8576"/>
      <c r="U8576"/>
    </row>
    <row r="8577" spans="1:21">
      <c r="A8577"/>
      <c r="C8577"/>
      <c r="D8577"/>
      <c r="L8577"/>
      <c r="R8577"/>
      <c r="S8577"/>
      <c r="T8577"/>
      <c r="U8577"/>
    </row>
    <row r="8578" spans="1:21">
      <c r="A8578"/>
      <c r="C8578"/>
      <c r="D8578"/>
      <c r="L8578"/>
      <c r="R8578"/>
      <c r="S8578"/>
      <c r="T8578"/>
      <c r="U8578"/>
    </row>
    <row r="8579" spans="1:21">
      <c r="A8579"/>
      <c r="C8579"/>
      <c r="D8579"/>
      <c r="L8579"/>
      <c r="R8579"/>
      <c r="S8579"/>
      <c r="T8579"/>
      <c r="U8579"/>
    </row>
    <row r="8580" spans="1:21">
      <c r="A8580"/>
      <c r="C8580"/>
      <c r="D8580"/>
      <c r="L8580"/>
      <c r="R8580"/>
      <c r="S8580"/>
      <c r="T8580"/>
      <c r="U8580"/>
    </row>
    <row r="8581" spans="1:21">
      <c r="A8581"/>
      <c r="C8581"/>
      <c r="D8581"/>
      <c r="L8581"/>
      <c r="R8581"/>
      <c r="S8581"/>
      <c r="T8581"/>
      <c r="U8581"/>
    </row>
    <row r="8582" spans="1:21">
      <c r="A8582"/>
      <c r="C8582"/>
      <c r="D8582"/>
      <c r="L8582"/>
      <c r="R8582"/>
      <c r="S8582"/>
      <c r="T8582"/>
      <c r="U8582"/>
    </row>
    <row r="8583" spans="1:21">
      <c r="A8583"/>
      <c r="C8583"/>
      <c r="D8583"/>
      <c r="L8583"/>
      <c r="R8583"/>
      <c r="S8583"/>
      <c r="T8583"/>
      <c r="U8583"/>
    </row>
    <row r="8584" spans="1:21">
      <c r="A8584"/>
      <c r="C8584"/>
      <c r="D8584"/>
      <c r="L8584"/>
      <c r="R8584"/>
      <c r="S8584"/>
      <c r="T8584"/>
      <c r="U8584"/>
    </row>
    <row r="8585" spans="1:21">
      <c r="A8585"/>
      <c r="C8585"/>
      <c r="D8585"/>
      <c r="L8585"/>
      <c r="R8585"/>
      <c r="S8585"/>
      <c r="T8585"/>
      <c r="U8585"/>
    </row>
    <row r="8586" spans="1:21">
      <c r="A8586"/>
      <c r="C8586"/>
      <c r="D8586"/>
      <c r="L8586"/>
      <c r="R8586"/>
      <c r="S8586"/>
      <c r="T8586"/>
      <c r="U8586"/>
    </row>
    <row r="8587" spans="1:21">
      <c r="A8587"/>
      <c r="C8587"/>
      <c r="D8587"/>
      <c r="L8587"/>
      <c r="R8587"/>
      <c r="S8587"/>
      <c r="T8587"/>
      <c r="U8587"/>
    </row>
    <row r="8588" spans="1:21">
      <c r="A8588"/>
      <c r="C8588"/>
      <c r="D8588"/>
      <c r="L8588"/>
      <c r="R8588"/>
      <c r="S8588"/>
      <c r="T8588"/>
      <c r="U8588"/>
    </row>
    <row r="8589" spans="1:21">
      <c r="A8589"/>
      <c r="C8589"/>
      <c r="D8589"/>
      <c r="L8589"/>
      <c r="R8589"/>
      <c r="S8589"/>
      <c r="T8589"/>
      <c r="U8589"/>
    </row>
    <row r="8590" spans="1:21">
      <c r="A8590"/>
      <c r="C8590"/>
      <c r="D8590"/>
      <c r="L8590"/>
      <c r="R8590"/>
      <c r="S8590"/>
      <c r="T8590"/>
      <c r="U8590"/>
    </row>
    <row r="8591" spans="1:21">
      <c r="A8591"/>
      <c r="C8591"/>
      <c r="D8591"/>
      <c r="L8591"/>
      <c r="R8591"/>
      <c r="S8591"/>
      <c r="T8591"/>
      <c r="U8591"/>
    </row>
    <row r="8592" spans="1:21">
      <c r="A8592"/>
      <c r="C8592"/>
      <c r="D8592"/>
      <c r="L8592"/>
      <c r="R8592"/>
      <c r="S8592"/>
      <c r="T8592"/>
      <c r="U8592"/>
    </row>
    <row r="8593" spans="1:21">
      <c r="A8593"/>
      <c r="C8593"/>
      <c r="D8593"/>
      <c r="L8593"/>
      <c r="R8593"/>
      <c r="S8593"/>
      <c r="T8593"/>
      <c r="U8593"/>
    </row>
    <row r="8594" spans="1:21">
      <c r="A8594"/>
      <c r="C8594"/>
      <c r="D8594"/>
      <c r="L8594"/>
      <c r="R8594"/>
      <c r="S8594"/>
      <c r="T8594"/>
      <c r="U8594"/>
    </row>
    <row r="8595" spans="1:21">
      <c r="A8595"/>
      <c r="C8595"/>
      <c r="D8595"/>
      <c r="L8595"/>
      <c r="R8595"/>
      <c r="S8595"/>
      <c r="T8595"/>
      <c r="U8595"/>
    </row>
    <row r="8596" spans="1:21">
      <c r="A8596"/>
      <c r="C8596"/>
      <c r="D8596"/>
      <c r="L8596"/>
      <c r="R8596"/>
      <c r="S8596"/>
      <c r="T8596"/>
      <c r="U8596"/>
    </row>
    <row r="8597" spans="1:21">
      <c r="A8597"/>
      <c r="C8597"/>
      <c r="D8597"/>
      <c r="L8597"/>
      <c r="R8597"/>
      <c r="S8597"/>
      <c r="T8597"/>
      <c r="U8597"/>
    </row>
    <row r="8598" spans="1:21">
      <c r="A8598"/>
      <c r="C8598"/>
      <c r="D8598"/>
      <c r="L8598"/>
      <c r="R8598"/>
      <c r="S8598"/>
      <c r="T8598"/>
      <c r="U8598"/>
    </row>
    <row r="8599" spans="1:21">
      <c r="A8599"/>
      <c r="C8599"/>
      <c r="D8599"/>
      <c r="L8599"/>
      <c r="R8599"/>
      <c r="S8599"/>
      <c r="T8599"/>
      <c r="U8599"/>
    </row>
    <row r="8600" spans="1:21">
      <c r="A8600"/>
      <c r="C8600"/>
      <c r="D8600"/>
      <c r="L8600"/>
      <c r="R8600"/>
      <c r="S8600"/>
      <c r="T8600"/>
      <c r="U8600"/>
    </row>
    <row r="8601" spans="1:21">
      <c r="A8601"/>
      <c r="C8601"/>
      <c r="D8601"/>
      <c r="L8601"/>
      <c r="R8601"/>
      <c r="S8601"/>
      <c r="T8601"/>
      <c r="U8601"/>
    </row>
    <row r="8602" spans="1:21">
      <c r="A8602"/>
      <c r="C8602"/>
      <c r="D8602"/>
      <c r="L8602"/>
      <c r="R8602"/>
      <c r="S8602"/>
      <c r="T8602"/>
      <c r="U8602"/>
    </row>
    <row r="8603" spans="1:21">
      <c r="A8603"/>
      <c r="C8603"/>
      <c r="D8603"/>
      <c r="L8603"/>
      <c r="R8603"/>
      <c r="S8603"/>
      <c r="T8603"/>
      <c r="U8603"/>
    </row>
    <row r="8604" spans="1:21">
      <c r="A8604"/>
      <c r="C8604"/>
      <c r="D8604"/>
      <c r="L8604"/>
      <c r="R8604"/>
      <c r="S8604"/>
      <c r="T8604"/>
      <c r="U8604"/>
    </row>
    <row r="8605" spans="1:21">
      <c r="A8605"/>
      <c r="C8605"/>
      <c r="D8605"/>
      <c r="L8605"/>
      <c r="R8605"/>
      <c r="S8605"/>
      <c r="T8605"/>
      <c r="U8605"/>
    </row>
    <row r="8606" spans="1:21">
      <c r="A8606"/>
      <c r="C8606"/>
      <c r="D8606"/>
      <c r="L8606"/>
      <c r="R8606"/>
      <c r="S8606"/>
      <c r="T8606"/>
      <c r="U8606"/>
    </row>
    <row r="8607" spans="1:21">
      <c r="A8607"/>
      <c r="C8607"/>
      <c r="D8607"/>
      <c r="L8607"/>
      <c r="R8607"/>
      <c r="S8607"/>
      <c r="T8607"/>
      <c r="U8607"/>
    </row>
    <row r="8608" spans="1:21">
      <c r="A8608"/>
      <c r="C8608"/>
      <c r="D8608"/>
      <c r="L8608"/>
      <c r="R8608"/>
      <c r="S8608"/>
      <c r="T8608"/>
      <c r="U8608"/>
    </row>
    <row r="8609" spans="1:21">
      <c r="A8609"/>
      <c r="C8609"/>
      <c r="D8609"/>
      <c r="L8609"/>
      <c r="R8609"/>
      <c r="S8609"/>
      <c r="T8609"/>
      <c r="U8609"/>
    </row>
    <row r="8610" spans="1:21">
      <c r="A8610"/>
      <c r="C8610"/>
      <c r="D8610"/>
      <c r="L8610"/>
      <c r="R8610"/>
      <c r="S8610"/>
      <c r="T8610"/>
      <c r="U8610"/>
    </row>
    <row r="8611" spans="1:21">
      <c r="A8611"/>
      <c r="C8611"/>
      <c r="D8611"/>
      <c r="L8611"/>
      <c r="R8611"/>
      <c r="S8611"/>
      <c r="T8611"/>
      <c r="U8611"/>
    </row>
    <row r="8612" spans="1:21">
      <c r="A8612"/>
      <c r="C8612"/>
      <c r="D8612"/>
      <c r="L8612"/>
      <c r="R8612"/>
      <c r="S8612"/>
      <c r="T8612"/>
      <c r="U8612"/>
    </row>
    <row r="8613" spans="1:21">
      <c r="A8613"/>
      <c r="C8613"/>
      <c r="D8613"/>
      <c r="L8613"/>
      <c r="R8613"/>
      <c r="S8613"/>
      <c r="T8613"/>
      <c r="U8613"/>
    </row>
    <row r="8614" spans="1:21">
      <c r="A8614"/>
      <c r="C8614"/>
      <c r="D8614"/>
      <c r="L8614"/>
      <c r="R8614"/>
      <c r="S8614"/>
      <c r="T8614"/>
      <c r="U8614"/>
    </row>
    <row r="8615" spans="1:21">
      <c r="A8615"/>
      <c r="C8615"/>
      <c r="D8615"/>
      <c r="L8615"/>
      <c r="R8615"/>
      <c r="S8615"/>
      <c r="T8615"/>
      <c r="U8615"/>
    </row>
    <row r="8616" spans="1:21">
      <c r="A8616"/>
      <c r="C8616"/>
      <c r="D8616"/>
      <c r="L8616"/>
      <c r="R8616"/>
      <c r="S8616"/>
      <c r="T8616"/>
      <c r="U8616"/>
    </row>
    <row r="8617" spans="1:21">
      <c r="A8617"/>
      <c r="C8617"/>
      <c r="D8617"/>
      <c r="L8617"/>
      <c r="R8617"/>
      <c r="S8617"/>
      <c r="T8617"/>
      <c r="U8617"/>
    </row>
    <row r="8618" spans="1:21">
      <c r="A8618"/>
      <c r="C8618"/>
      <c r="D8618"/>
      <c r="L8618"/>
      <c r="R8618"/>
      <c r="S8618"/>
      <c r="T8618"/>
      <c r="U8618"/>
    </row>
    <row r="8619" spans="1:21">
      <c r="A8619"/>
      <c r="C8619"/>
      <c r="D8619"/>
      <c r="L8619"/>
      <c r="R8619"/>
      <c r="S8619"/>
      <c r="T8619"/>
      <c r="U8619"/>
    </row>
    <row r="8620" spans="1:21">
      <c r="A8620"/>
      <c r="C8620"/>
      <c r="D8620"/>
      <c r="L8620"/>
      <c r="R8620"/>
      <c r="S8620"/>
      <c r="T8620"/>
      <c r="U8620"/>
    </row>
    <row r="8621" spans="1:21">
      <c r="A8621"/>
      <c r="C8621"/>
      <c r="D8621"/>
      <c r="L8621"/>
      <c r="R8621"/>
      <c r="S8621"/>
      <c r="T8621"/>
      <c r="U8621"/>
    </row>
    <row r="8622" spans="1:21">
      <c r="A8622"/>
      <c r="C8622"/>
      <c r="D8622"/>
      <c r="L8622"/>
      <c r="R8622"/>
      <c r="S8622"/>
      <c r="T8622"/>
      <c r="U8622"/>
    </row>
    <row r="8623" spans="1:21">
      <c r="A8623"/>
      <c r="C8623"/>
      <c r="D8623"/>
      <c r="L8623"/>
      <c r="R8623"/>
      <c r="S8623"/>
      <c r="T8623"/>
      <c r="U8623"/>
    </row>
    <row r="8624" spans="1:21">
      <c r="A8624"/>
      <c r="C8624"/>
      <c r="D8624"/>
      <c r="L8624"/>
      <c r="R8624"/>
      <c r="S8624"/>
      <c r="T8624"/>
      <c r="U8624"/>
    </row>
    <row r="8625" spans="1:21">
      <c r="A8625"/>
      <c r="C8625"/>
      <c r="D8625"/>
      <c r="L8625"/>
      <c r="R8625"/>
      <c r="S8625"/>
      <c r="T8625"/>
      <c r="U8625"/>
    </row>
    <row r="8626" spans="1:21">
      <c r="A8626"/>
      <c r="C8626"/>
      <c r="D8626"/>
      <c r="L8626"/>
      <c r="R8626"/>
      <c r="S8626"/>
      <c r="T8626"/>
      <c r="U8626"/>
    </row>
    <row r="8627" spans="1:21">
      <c r="A8627"/>
      <c r="C8627"/>
      <c r="D8627"/>
      <c r="L8627"/>
      <c r="R8627"/>
      <c r="S8627"/>
      <c r="T8627"/>
      <c r="U8627"/>
    </row>
    <row r="8628" spans="1:21">
      <c r="A8628"/>
      <c r="C8628"/>
      <c r="D8628"/>
      <c r="L8628"/>
      <c r="R8628"/>
      <c r="S8628"/>
      <c r="T8628"/>
      <c r="U8628"/>
    </row>
    <row r="8629" spans="1:21">
      <c r="A8629"/>
      <c r="C8629"/>
      <c r="D8629"/>
      <c r="L8629"/>
      <c r="R8629"/>
      <c r="S8629"/>
      <c r="T8629"/>
      <c r="U8629"/>
    </row>
    <row r="8630" spans="1:21">
      <c r="A8630"/>
      <c r="C8630"/>
      <c r="D8630"/>
      <c r="L8630"/>
      <c r="R8630"/>
      <c r="S8630"/>
      <c r="T8630"/>
      <c r="U8630"/>
    </row>
    <row r="8631" spans="1:21">
      <c r="A8631"/>
      <c r="C8631"/>
      <c r="D8631"/>
      <c r="L8631"/>
      <c r="R8631"/>
      <c r="S8631"/>
      <c r="T8631"/>
      <c r="U8631"/>
    </row>
    <row r="8632" spans="1:21">
      <c r="A8632"/>
      <c r="C8632"/>
      <c r="D8632"/>
      <c r="L8632"/>
      <c r="R8632"/>
      <c r="S8632"/>
      <c r="T8632"/>
      <c r="U8632"/>
    </row>
    <row r="8633" spans="1:21">
      <c r="A8633"/>
      <c r="C8633"/>
      <c r="D8633"/>
      <c r="L8633"/>
      <c r="R8633"/>
      <c r="S8633"/>
      <c r="T8633"/>
      <c r="U8633"/>
    </row>
    <row r="8634" spans="1:21">
      <c r="A8634"/>
      <c r="C8634"/>
      <c r="D8634"/>
      <c r="L8634"/>
      <c r="R8634"/>
      <c r="S8634"/>
      <c r="T8634"/>
      <c r="U8634"/>
    </row>
    <row r="8635" spans="1:21">
      <c r="A8635"/>
      <c r="C8635"/>
      <c r="D8635"/>
      <c r="L8635"/>
      <c r="R8635"/>
      <c r="S8635"/>
      <c r="T8635"/>
      <c r="U8635"/>
    </row>
    <row r="8636" spans="1:21">
      <c r="A8636"/>
      <c r="C8636"/>
      <c r="D8636"/>
      <c r="L8636"/>
      <c r="R8636"/>
      <c r="S8636"/>
      <c r="T8636"/>
      <c r="U8636"/>
    </row>
    <row r="8637" spans="1:21">
      <c r="A8637"/>
      <c r="C8637"/>
      <c r="D8637"/>
      <c r="L8637"/>
      <c r="R8637"/>
      <c r="S8637"/>
      <c r="T8637"/>
      <c r="U8637"/>
    </row>
    <row r="8638" spans="1:21">
      <c r="A8638"/>
      <c r="C8638"/>
      <c r="D8638"/>
      <c r="L8638"/>
      <c r="R8638"/>
      <c r="S8638"/>
      <c r="T8638"/>
      <c r="U8638"/>
    </row>
    <row r="8639" spans="1:21">
      <c r="A8639"/>
      <c r="C8639"/>
      <c r="D8639"/>
      <c r="L8639"/>
      <c r="R8639"/>
      <c r="S8639"/>
      <c r="T8639"/>
      <c r="U8639"/>
    </row>
    <row r="8640" spans="1:21">
      <c r="A8640"/>
      <c r="C8640"/>
      <c r="D8640"/>
      <c r="L8640"/>
      <c r="R8640"/>
      <c r="S8640"/>
      <c r="T8640"/>
      <c r="U8640"/>
    </row>
    <row r="8641" spans="1:21">
      <c r="A8641"/>
      <c r="C8641"/>
      <c r="D8641"/>
      <c r="L8641"/>
      <c r="R8641"/>
      <c r="S8641"/>
      <c r="T8641"/>
      <c r="U8641"/>
    </row>
    <row r="8642" spans="1:21">
      <c r="A8642"/>
      <c r="C8642"/>
      <c r="D8642"/>
      <c r="L8642"/>
      <c r="R8642"/>
      <c r="S8642"/>
      <c r="T8642"/>
      <c r="U8642"/>
    </row>
    <row r="8643" spans="1:21">
      <c r="A8643"/>
      <c r="C8643"/>
      <c r="D8643"/>
      <c r="L8643"/>
      <c r="R8643"/>
      <c r="S8643"/>
      <c r="T8643"/>
      <c r="U8643"/>
    </row>
    <row r="8644" spans="1:21">
      <c r="A8644"/>
      <c r="C8644"/>
      <c r="D8644"/>
      <c r="L8644"/>
      <c r="R8644"/>
      <c r="S8644"/>
      <c r="T8644"/>
      <c r="U8644"/>
    </row>
    <row r="8645" spans="1:21">
      <c r="A8645"/>
      <c r="C8645"/>
      <c r="D8645"/>
      <c r="L8645"/>
      <c r="R8645"/>
      <c r="S8645"/>
      <c r="T8645"/>
      <c r="U8645"/>
    </row>
    <row r="8646" spans="1:21">
      <c r="A8646"/>
      <c r="C8646"/>
      <c r="D8646"/>
      <c r="L8646"/>
      <c r="R8646"/>
      <c r="S8646"/>
      <c r="T8646"/>
      <c r="U8646"/>
    </row>
    <row r="8647" spans="1:21">
      <c r="A8647"/>
      <c r="C8647"/>
      <c r="D8647"/>
      <c r="L8647"/>
      <c r="R8647"/>
      <c r="S8647"/>
      <c r="T8647"/>
      <c r="U8647"/>
    </row>
    <row r="8648" spans="1:21">
      <c r="A8648"/>
      <c r="C8648"/>
      <c r="D8648"/>
      <c r="L8648"/>
      <c r="R8648"/>
      <c r="S8648"/>
      <c r="T8648"/>
      <c r="U8648"/>
    </row>
    <row r="8649" spans="1:21">
      <c r="A8649"/>
      <c r="C8649"/>
      <c r="D8649"/>
      <c r="L8649"/>
      <c r="R8649"/>
      <c r="S8649"/>
      <c r="T8649"/>
      <c r="U8649"/>
    </row>
    <row r="8650" spans="1:21">
      <c r="A8650"/>
      <c r="C8650"/>
      <c r="D8650"/>
      <c r="L8650"/>
      <c r="R8650"/>
      <c r="S8650"/>
      <c r="T8650"/>
      <c r="U8650"/>
    </row>
    <row r="8651" spans="1:21">
      <c r="A8651"/>
      <c r="C8651"/>
      <c r="D8651"/>
      <c r="L8651"/>
      <c r="R8651"/>
      <c r="S8651"/>
      <c r="T8651"/>
      <c r="U8651"/>
    </row>
    <row r="8652" spans="1:21">
      <c r="A8652"/>
      <c r="C8652"/>
      <c r="D8652"/>
      <c r="L8652"/>
      <c r="R8652"/>
      <c r="S8652"/>
      <c r="T8652"/>
      <c r="U8652"/>
    </row>
    <row r="8653" spans="1:21">
      <c r="A8653"/>
      <c r="C8653"/>
      <c r="D8653"/>
      <c r="L8653"/>
      <c r="R8653"/>
      <c r="S8653"/>
      <c r="T8653"/>
      <c r="U8653"/>
    </row>
    <row r="8654" spans="1:21">
      <c r="A8654"/>
      <c r="C8654"/>
      <c r="D8654"/>
      <c r="L8654"/>
      <c r="R8654"/>
      <c r="S8654"/>
      <c r="T8654"/>
      <c r="U8654"/>
    </row>
    <row r="8655" spans="1:21">
      <c r="A8655"/>
      <c r="C8655"/>
      <c r="D8655"/>
      <c r="L8655"/>
      <c r="R8655"/>
      <c r="S8655"/>
      <c r="T8655"/>
      <c r="U8655"/>
    </row>
    <row r="8656" spans="1:21">
      <c r="A8656"/>
      <c r="C8656"/>
      <c r="D8656"/>
      <c r="L8656"/>
      <c r="R8656"/>
      <c r="S8656"/>
      <c r="T8656"/>
      <c r="U8656"/>
    </row>
    <row r="8657" spans="1:21">
      <c r="A8657"/>
      <c r="C8657"/>
      <c r="D8657"/>
      <c r="L8657"/>
      <c r="R8657"/>
      <c r="S8657"/>
      <c r="T8657"/>
      <c r="U8657"/>
    </row>
    <row r="8658" spans="1:21">
      <c r="A8658"/>
      <c r="C8658"/>
      <c r="D8658"/>
      <c r="L8658"/>
      <c r="R8658"/>
      <c r="S8658"/>
      <c r="T8658"/>
      <c r="U8658"/>
    </row>
    <row r="8659" spans="1:21">
      <c r="A8659"/>
      <c r="C8659"/>
      <c r="D8659"/>
      <c r="L8659"/>
      <c r="R8659"/>
      <c r="S8659"/>
      <c r="T8659"/>
      <c r="U8659"/>
    </row>
    <row r="8660" spans="1:21">
      <c r="A8660"/>
      <c r="C8660"/>
      <c r="D8660"/>
      <c r="L8660"/>
      <c r="R8660"/>
      <c r="S8660"/>
      <c r="T8660"/>
      <c r="U8660"/>
    </row>
    <row r="8661" spans="1:21">
      <c r="A8661"/>
      <c r="C8661"/>
      <c r="D8661"/>
      <c r="L8661"/>
      <c r="R8661"/>
      <c r="S8661"/>
      <c r="T8661"/>
      <c r="U8661"/>
    </row>
    <row r="8662" spans="1:21">
      <c r="A8662"/>
      <c r="C8662"/>
      <c r="D8662"/>
      <c r="L8662"/>
      <c r="R8662"/>
      <c r="S8662"/>
      <c r="T8662"/>
      <c r="U8662"/>
    </row>
    <row r="8663" spans="1:21">
      <c r="A8663"/>
      <c r="C8663"/>
      <c r="D8663"/>
      <c r="L8663"/>
      <c r="R8663"/>
      <c r="S8663"/>
      <c r="T8663"/>
      <c r="U8663"/>
    </row>
    <row r="8664" spans="1:21">
      <c r="A8664"/>
      <c r="C8664"/>
      <c r="D8664"/>
      <c r="L8664"/>
      <c r="R8664"/>
      <c r="S8664"/>
      <c r="T8664"/>
      <c r="U8664"/>
    </row>
    <row r="8665" spans="1:21">
      <c r="A8665"/>
      <c r="C8665"/>
      <c r="D8665"/>
      <c r="L8665"/>
      <c r="R8665"/>
      <c r="S8665"/>
      <c r="T8665"/>
      <c r="U8665"/>
    </row>
    <row r="8666" spans="1:21">
      <c r="A8666"/>
      <c r="C8666"/>
      <c r="D8666"/>
      <c r="L8666"/>
      <c r="R8666"/>
      <c r="S8666"/>
      <c r="T8666"/>
      <c r="U8666"/>
    </row>
    <row r="8667" spans="1:21">
      <c r="A8667"/>
      <c r="C8667"/>
      <c r="D8667"/>
      <c r="L8667"/>
      <c r="R8667"/>
      <c r="S8667"/>
      <c r="T8667"/>
      <c r="U8667"/>
    </row>
    <row r="8668" spans="1:21">
      <c r="A8668"/>
      <c r="C8668"/>
      <c r="D8668"/>
      <c r="L8668"/>
      <c r="R8668"/>
      <c r="S8668"/>
      <c r="T8668"/>
      <c r="U8668"/>
    </row>
    <row r="8669" spans="1:21">
      <c r="A8669"/>
      <c r="C8669"/>
      <c r="D8669"/>
      <c r="L8669"/>
      <c r="R8669"/>
      <c r="S8669"/>
      <c r="T8669"/>
      <c r="U8669"/>
    </row>
    <row r="8670" spans="1:21">
      <c r="A8670"/>
      <c r="C8670"/>
      <c r="D8670"/>
      <c r="L8670"/>
      <c r="R8670"/>
      <c r="S8670"/>
      <c r="T8670"/>
      <c r="U8670"/>
    </row>
    <row r="8671" spans="1:21">
      <c r="A8671"/>
      <c r="C8671"/>
      <c r="D8671"/>
      <c r="L8671"/>
      <c r="R8671"/>
      <c r="S8671"/>
      <c r="T8671"/>
      <c r="U8671"/>
    </row>
    <row r="8672" spans="1:21">
      <c r="A8672"/>
      <c r="C8672"/>
      <c r="D8672"/>
      <c r="L8672"/>
      <c r="R8672"/>
      <c r="S8672"/>
      <c r="T8672"/>
      <c r="U8672"/>
    </row>
    <row r="8673" spans="1:21">
      <c r="A8673"/>
      <c r="C8673"/>
      <c r="D8673"/>
      <c r="L8673"/>
      <c r="R8673"/>
      <c r="S8673"/>
      <c r="T8673"/>
      <c r="U8673"/>
    </row>
    <row r="8674" spans="1:21">
      <c r="A8674"/>
      <c r="C8674"/>
      <c r="D8674"/>
      <c r="L8674"/>
      <c r="R8674"/>
      <c r="S8674"/>
      <c r="T8674"/>
      <c r="U8674"/>
    </row>
    <row r="8675" spans="1:21">
      <c r="A8675"/>
      <c r="C8675"/>
      <c r="D8675"/>
      <c r="L8675"/>
      <c r="R8675"/>
      <c r="S8675"/>
      <c r="T8675"/>
      <c r="U8675"/>
    </row>
    <row r="8676" spans="1:21">
      <c r="A8676"/>
      <c r="C8676"/>
      <c r="D8676"/>
      <c r="L8676"/>
      <c r="R8676"/>
      <c r="S8676"/>
      <c r="T8676"/>
      <c r="U8676"/>
    </row>
    <row r="8677" spans="1:21">
      <c r="A8677"/>
      <c r="C8677"/>
      <c r="D8677"/>
      <c r="L8677"/>
      <c r="R8677"/>
      <c r="S8677"/>
      <c r="T8677"/>
      <c r="U8677"/>
    </row>
    <row r="8678" spans="1:21">
      <c r="A8678"/>
      <c r="C8678"/>
      <c r="D8678"/>
      <c r="L8678"/>
      <c r="R8678"/>
      <c r="S8678"/>
      <c r="T8678"/>
      <c r="U8678"/>
    </row>
    <row r="8679" spans="1:21">
      <c r="A8679"/>
      <c r="C8679"/>
      <c r="D8679"/>
      <c r="L8679"/>
      <c r="R8679"/>
      <c r="S8679"/>
      <c r="T8679"/>
      <c r="U8679"/>
    </row>
    <row r="8680" spans="1:21">
      <c r="A8680"/>
      <c r="C8680"/>
      <c r="D8680"/>
      <c r="L8680"/>
      <c r="R8680"/>
      <c r="S8680"/>
      <c r="T8680"/>
      <c r="U8680"/>
    </row>
    <row r="8681" spans="1:21">
      <c r="A8681"/>
      <c r="C8681"/>
      <c r="D8681"/>
      <c r="L8681"/>
      <c r="R8681"/>
      <c r="S8681"/>
      <c r="T8681"/>
      <c r="U8681"/>
    </row>
    <row r="8682" spans="1:21">
      <c r="A8682"/>
      <c r="C8682"/>
      <c r="D8682"/>
      <c r="L8682"/>
      <c r="R8682"/>
      <c r="S8682"/>
      <c r="T8682"/>
      <c r="U8682"/>
    </row>
    <row r="8683" spans="1:21">
      <c r="A8683"/>
      <c r="C8683"/>
      <c r="D8683"/>
      <c r="L8683"/>
      <c r="R8683"/>
      <c r="S8683"/>
      <c r="T8683"/>
      <c r="U8683"/>
    </row>
    <row r="8684" spans="1:21">
      <c r="A8684"/>
      <c r="C8684"/>
      <c r="D8684"/>
      <c r="L8684"/>
      <c r="R8684"/>
      <c r="S8684"/>
      <c r="T8684"/>
      <c r="U8684"/>
    </row>
    <row r="8685" spans="1:21">
      <c r="A8685"/>
      <c r="C8685"/>
      <c r="D8685"/>
      <c r="L8685"/>
      <c r="R8685"/>
      <c r="S8685"/>
      <c r="T8685"/>
      <c r="U8685"/>
    </row>
    <row r="8686" spans="1:21">
      <c r="A8686"/>
      <c r="C8686"/>
      <c r="D8686"/>
      <c r="L8686"/>
      <c r="R8686"/>
      <c r="S8686"/>
      <c r="T8686"/>
      <c r="U8686"/>
    </row>
    <row r="8687" spans="1:21">
      <c r="A8687"/>
      <c r="C8687"/>
      <c r="D8687"/>
      <c r="L8687"/>
      <c r="R8687"/>
      <c r="S8687"/>
      <c r="T8687"/>
      <c r="U8687"/>
    </row>
    <row r="8688" spans="1:21">
      <c r="A8688"/>
      <c r="C8688"/>
      <c r="D8688"/>
      <c r="L8688"/>
      <c r="R8688"/>
      <c r="S8688"/>
      <c r="T8688"/>
      <c r="U8688"/>
    </row>
    <row r="8689" spans="1:21">
      <c r="A8689"/>
      <c r="C8689"/>
      <c r="D8689"/>
      <c r="L8689"/>
      <c r="R8689"/>
      <c r="S8689"/>
      <c r="T8689"/>
      <c r="U8689"/>
    </row>
    <row r="8690" spans="1:21">
      <c r="A8690"/>
      <c r="C8690"/>
      <c r="D8690"/>
      <c r="L8690"/>
      <c r="R8690"/>
      <c r="S8690"/>
      <c r="T8690"/>
      <c r="U8690"/>
    </row>
    <row r="8691" spans="1:21">
      <c r="A8691"/>
      <c r="C8691"/>
      <c r="D8691"/>
      <c r="L8691"/>
      <c r="R8691"/>
      <c r="S8691"/>
      <c r="T8691"/>
      <c r="U8691"/>
    </row>
    <row r="8692" spans="1:21">
      <c r="A8692"/>
      <c r="C8692"/>
      <c r="D8692"/>
      <c r="L8692"/>
      <c r="R8692"/>
      <c r="S8692"/>
      <c r="T8692"/>
      <c r="U8692"/>
    </row>
    <row r="8693" spans="1:21">
      <c r="A8693"/>
      <c r="C8693"/>
      <c r="D8693"/>
      <c r="L8693"/>
      <c r="R8693"/>
      <c r="S8693"/>
      <c r="T8693"/>
      <c r="U8693"/>
    </row>
    <row r="8694" spans="1:21">
      <c r="A8694"/>
      <c r="C8694"/>
      <c r="D8694"/>
      <c r="L8694"/>
      <c r="R8694"/>
      <c r="S8694"/>
      <c r="T8694"/>
      <c r="U8694"/>
    </row>
    <row r="8695" spans="1:21">
      <c r="A8695"/>
      <c r="C8695"/>
      <c r="D8695"/>
      <c r="L8695"/>
      <c r="R8695"/>
      <c r="S8695"/>
      <c r="T8695"/>
      <c r="U8695"/>
    </row>
    <row r="8696" spans="1:21">
      <c r="A8696"/>
      <c r="C8696"/>
      <c r="D8696"/>
      <c r="L8696"/>
      <c r="R8696"/>
      <c r="S8696"/>
      <c r="T8696"/>
      <c r="U8696"/>
    </row>
    <row r="8697" spans="1:21">
      <c r="A8697"/>
      <c r="C8697"/>
      <c r="D8697"/>
      <c r="L8697"/>
      <c r="R8697"/>
      <c r="S8697"/>
      <c r="T8697"/>
      <c r="U8697"/>
    </row>
    <row r="8698" spans="1:21">
      <c r="A8698"/>
      <c r="C8698"/>
      <c r="D8698"/>
      <c r="L8698"/>
      <c r="R8698"/>
      <c r="S8698"/>
      <c r="T8698"/>
      <c r="U8698"/>
    </row>
    <row r="8699" spans="1:21">
      <c r="A8699"/>
      <c r="C8699"/>
      <c r="D8699"/>
      <c r="L8699"/>
      <c r="R8699"/>
      <c r="S8699"/>
      <c r="T8699"/>
      <c r="U8699"/>
    </row>
    <row r="8700" spans="1:21">
      <c r="A8700"/>
      <c r="C8700"/>
      <c r="D8700"/>
      <c r="L8700"/>
      <c r="R8700"/>
      <c r="S8700"/>
      <c r="T8700"/>
      <c r="U8700"/>
    </row>
    <row r="8701" spans="1:21">
      <c r="A8701"/>
      <c r="C8701"/>
      <c r="D8701"/>
      <c r="L8701"/>
      <c r="R8701"/>
      <c r="S8701"/>
      <c r="T8701"/>
      <c r="U8701"/>
    </row>
    <row r="8702" spans="1:21">
      <c r="A8702"/>
      <c r="C8702"/>
      <c r="D8702"/>
      <c r="L8702"/>
      <c r="R8702"/>
      <c r="S8702"/>
      <c r="T8702"/>
      <c r="U8702"/>
    </row>
    <row r="8703" spans="1:21">
      <c r="A8703"/>
      <c r="C8703"/>
      <c r="D8703"/>
      <c r="L8703"/>
      <c r="R8703"/>
      <c r="S8703"/>
      <c r="T8703"/>
      <c r="U8703"/>
    </row>
    <row r="8704" spans="1:21">
      <c r="A8704"/>
      <c r="C8704"/>
      <c r="D8704"/>
      <c r="L8704"/>
      <c r="R8704"/>
      <c r="S8704"/>
      <c r="T8704"/>
      <c r="U8704"/>
    </row>
    <row r="8705" spans="1:21">
      <c r="A8705"/>
      <c r="C8705"/>
      <c r="D8705"/>
      <c r="L8705"/>
      <c r="R8705"/>
      <c r="S8705"/>
      <c r="T8705"/>
      <c r="U8705"/>
    </row>
    <row r="8706" spans="1:21">
      <c r="A8706"/>
      <c r="C8706"/>
      <c r="D8706"/>
      <c r="L8706"/>
      <c r="R8706"/>
      <c r="S8706"/>
      <c r="T8706"/>
      <c r="U8706"/>
    </row>
    <row r="8707" spans="1:21">
      <c r="A8707"/>
      <c r="C8707"/>
      <c r="D8707"/>
      <c r="L8707"/>
      <c r="R8707"/>
      <c r="S8707"/>
      <c r="T8707"/>
      <c r="U8707"/>
    </row>
    <row r="8708" spans="1:21">
      <c r="A8708"/>
      <c r="C8708"/>
      <c r="D8708"/>
      <c r="L8708"/>
      <c r="R8708"/>
      <c r="S8708"/>
      <c r="T8708"/>
      <c r="U8708"/>
    </row>
    <row r="8709" spans="1:21">
      <c r="A8709"/>
      <c r="C8709"/>
      <c r="D8709"/>
      <c r="L8709"/>
      <c r="R8709"/>
      <c r="S8709"/>
      <c r="T8709"/>
      <c r="U8709"/>
    </row>
    <row r="8710" spans="1:21">
      <c r="A8710"/>
      <c r="C8710"/>
      <c r="D8710"/>
      <c r="L8710"/>
      <c r="R8710"/>
      <c r="S8710"/>
      <c r="T8710"/>
      <c r="U8710"/>
    </row>
    <row r="8711" spans="1:21">
      <c r="A8711"/>
      <c r="C8711"/>
      <c r="D8711"/>
      <c r="L8711"/>
      <c r="R8711"/>
      <c r="S8711"/>
      <c r="T8711"/>
      <c r="U8711"/>
    </row>
    <row r="8712" spans="1:21">
      <c r="A8712"/>
      <c r="C8712"/>
      <c r="D8712"/>
      <c r="L8712"/>
      <c r="R8712"/>
      <c r="S8712"/>
      <c r="T8712"/>
      <c r="U8712"/>
    </row>
    <row r="8713" spans="1:21">
      <c r="A8713"/>
      <c r="C8713"/>
      <c r="D8713"/>
      <c r="L8713"/>
      <c r="R8713"/>
      <c r="S8713"/>
      <c r="T8713"/>
      <c r="U8713"/>
    </row>
    <row r="8714" spans="1:21">
      <c r="A8714"/>
      <c r="C8714"/>
      <c r="D8714"/>
      <c r="L8714"/>
      <c r="R8714"/>
      <c r="S8714"/>
      <c r="T8714"/>
      <c r="U8714"/>
    </row>
    <row r="8715" spans="1:21">
      <c r="A8715"/>
      <c r="C8715"/>
      <c r="D8715"/>
      <c r="L8715"/>
      <c r="R8715"/>
      <c r="S8715"/>
      <c r="T8715"/>
      <c r="U8715"/>
    </row>
    <row r="8716" spans="1:21">
      <c r="A8716"/>
      <c r="C8716"/>
      <c r="D8716"/>
      <c r="L8716"/>
      <c r="R8716"/>
      <c r="S8716"/>
      <c r="T8716"/>
      <c r="U8716"/>
    </row>
    <row r="8717" spans="1:21">
      <c r="A8717"/>
      <c r="C8717"/>
      <c r="D8717"/>
      <c r="L8717"/>
      <c r="R8717"/>
      <c r="S8717"/>
      <c r="T8717"/>
      <c r="U8717"/>
    </row>
    <row r="8718" spans="1:21">
      <c r="A8718"/>
      <c r="C8718"/>
      <c r="D8718"/>
      <c r="L8718"/>
      <c r="R8718"/>
      <c r="S8718"/>
      <c r="T8718"/>
      <c r="U8718"/>
    </row>
    <row r="8719" spans="1:21">
      <c r="A8719"/>
      <c r="C8719"/>
      <c r="D8719"/>
      <c r="L8719"/>
      <c r="R8719"/>
      <c r="S8719"/>
      <c r="T8719"/>
      <c r="U8719"/>
    </row>
    <row r="8720" spans="1:21">
      <c r="A8720"/>
      <c r="C8720"/>
      <c r="D8720"/>
      <c r="L8720"/>
      <c r="R8720"/>
      <c r="S8720"/>
      <c r="T8720"/>
      <c r="U8720"/>
    </row>
    <row r="8721" spans="1:21">
      <c r="A8721"/>
      <c r="C8721"/>
      <c r="D8721"/>
      <c r="L8721"/>
      <c r="R8721"/>
      <c r="S8721"/>
      <c r="T8721"/>
      <c r="U8721"/>
    </row>
    <row r="8722" spans="1:21">
      <c r="A8722"/>
      <c r="C8722"/>
      <c r="D8722"/>
      <c r="L8722"/>
      <c r="R8722"/>
      <c r="S8722"/>
      <c r="T8722"/>
      <c r="U8722"/>
    </row>
    <row r="8723" spans="1:21">
      <c r="A8723"/>
      <c r="C8723"/>
      <c r="D8723"/>
      <c r="L8723"/>
      <c r="R8723"/>
      <c r="S8723"/>
      <c r="T8723"/>
      <c r="U8723"/>
    </row>
    <row r="8724" spans="1:21">
      <c r="A8724"/>
      <c r="C8724"/>
      <c r="D8724"/>
      <c r="L8724"/>
      <c r="R8724"/>
      <c r="S8724"/>
      <c r="T8724"/>
      <c r="U8724"/>
    </row>
    <row r="8725" spans="1:21">
      <c r="A8725"/>
      <c r="C8725"/>
      <c r="D8725"/>
      <c r="L8725"/>
      <c r="R8725"/>
      <c r="S8725"/>
      <c r="T8725"/>
      <c r="U8725"/>
    </row>
    <row r="8726" spans="1:21">
      <c r="A8726"/>
      <c r="C8726"/>
      <c r="D8726"/>
      <c r="L8726"/>
      <c r="R8726"/>
      <c r="S8726"/>
      <c r="T8726"/>
      <c r="U8726"/>
    </row>
    <row r="8727" spans="1:21">
      <c r="A8727"/>
      <c r="C8727"/>
      <c r="D8727"/>
      <c r="L8727"/>
      <c r="R8727"/>
      <c r="S8727"/>
      <c r="T8727"/>
      <c r="U8727"/>
    </row>
    <row r="8728" spans="1:21">
      <c r="A8728"/>
      <c r="C8728"/>
      <c r="D8728"/>
      <c r="L8728"/>
      <c r="R8728"/>
      <c r="S8728"/>
      <c r="T8728"/>
      <c r="U8728"/>
    </row>
    <row r="8729" spans="1:21">
      <c r="A8729"/>
      <c r="C8729"/>
      <c r="D8729"/>
      <c r="L8729"/>
      <c r="R8729"/>
      <c r="S8729"/>
      <c r="T8729"/>
      <c r="U8729"/>
    </row>
    <row r="8730" spans="1:21">
      <c r="A8730"/>
      <c r="C8730"/>
      <c r="D8730"/>
      <c r="L8730"/>
      <c r="R8730"/>
      <c r="S8730"/>
      <c r="T8730"/>
      <c r="U8730"/>
    </row>
    <row r="8731" spans="1:21">
      <c r="A8731"/>
      <c r="C8731"/>
      <c r="D8731"/>
      <c r="L8731"/>
      <c r="R8731"/>
      <c r="S8731"/>
      <c r="T8731"/>
      <c r="U8731"/>
    </row>
    <row r="8732" spans="1:21">
      <c r="A8732"/>
      <c r="C8732"/>
      <c r="D8732"/>
      <c r="L8732"/>
      <c r="R8732"/>
      <c r="S8732"/>
      <c r="T8732"/>
      <c r="U8732"/>
    </row>
    <row r="8733" spans="1:21">
      <c r="A8733"/>
      <c r="C8733"/>
      <c r="D8733"/>
      <c r="L8733"/>
      <c r="R8733"/>
      <c r="S8733"/>
      <c r="T8733"/>
      <c r="U8733"/>
    </row>
    <row r="8734" spans="1:21">
      <c r="A8734"/>
      <c r="C8734"/>
      <c r="D8734"/>
      <c r="L8734"/>
      <c r="R8734"/>
      <c r="S8734"/>
      <c r="T8734"/>
      <c r="U8734"/>
    </row>
    <row r="8735" spans="1:21">
      <c r="A8735"/>
      <c r="C8735"/>
      <c r="D8735"/>
      <c r="L8735"/>
      <c r="R8735"/>
      <c r="S8735"/>
      <c r="T8735"/>
      <c r="U8735"/>
    </row>
    <row r="8736" spans="1:21">
      <c r="A8736"/>
      <c r="C8736"/>
      <c r="D8736"/>
      <c r="L8736"/>
      <c r="R8736"/>
      <c r="S8736"/>
      <c r="T8736"/>
      <c r="U8736"/>
    </row>
    <row r="8737" spans="1:21">
      <c r="A8737"/>
      <c r="C8737"/>
      <c r="D8737"/>
      <c r="L8737"/>
      <c r="R8737"/>
      <c r="S8737"/>
      <c r="T8737"/>
      <c r="U8737"/>
    </row>
    <row r="8738" spans="1:21">
      <c r="A8738"/>
      <c r="C8738"/>
      <c r="D8738"/>
      <c r="L8738"/>
      <c r="R8738"/>
      <c r="S8738"/>
      <c r="T8738"/>
      <c r="U8738"/>
    </row>
    <row r="8739" spans="1:21">
      <c r="A8739"/>
      <c r="C8739"/>
      <c r="D8739"/>
      <c r="L8739"/>
      <c r="R8739"/>
      <c r="S8739"/>
      <c r="T8739"/>
      <c r="U8739"/>
    </row>
    <row r="8740" spans="1:21">
      <c r="A8740"/>
      <c r="C8740"/>
      <c r="D8740"/>
      <c r="L8740"/>
      <c r="R8740"/>
      <c r="S8740"/>
      <c r="T8740"/>
      <c r="U8740"/>
    </row>
    <row r="8741" spans="1:21">
      <c r="A8741"/>
      <c r="C8741"/>
      <c r="D8741"/>
      <c r="L8741"/>
      <c r="R8741"/>
      <c r="S8741"/>
      <c r="T8741"/>
      <c r="U8741"/>
    </row>
    <row r="8742" spans="1:21">
      <c r="A8742"/>
      <c r="C8742"/>
      <c r="D8742"/>
      <c r="L8742"/>
      <c r="R8742"/>
      <c r="S8742"/>
      <c r="T8742"/>
      <c r="U8742"/>
    </row>
    <row r="8743" spans="1:21">
      <c r="A8743"/>
      <c r="C8743"/>
      <c r="D8743"/>
      <c r="L8743"/>
      <c r="R8743"/>
      <c r="S8743"/>
      <c r="T8743"/>
      <c r="U8743"/>
    </row>
    <row r="8744" spans="1:21">
      <c r="A8744"/>
      <c r="C8744"/>
      <c r="D8744"/>
      <c r="L8744"/>
      <c r="R8744"/>
      <c r="S8744"/>
      <c r="T8744"/>
      <c r="U8744"/>
    </row>
    <row r="8745" spans="1:21">
      <c r="A8745"/>
      <c r="C8745"/>
      <c r="D8745"/>
      <c r="L8745"/>
      <c r="R8745"/>
      <c r="S8745"/>
      <c r="T8745"/>
      <c r="U8745"/>
    </row>
    <row r="8746" spans="1:21">
      <c r="A8746"/>
      <c r="C8746"/>
      <c r="D8746"/>
      <c r="L8746"/>
      <c r="R8746"/>
      <c r="S8746"/>
      <c r="T8746"/>
      <c r="U8746"/>
    </row>
    <row r="8747" spans="1:21">
      <c r="A8747"/>
      <c r="C8747"/>
      <c r="D8747"/>
      <c r="L8747"/>
      <c r="R8747"/>
      <c r="S8747"/>
      <c r="T8747"/>
      <c r="U8747"/>
    </row>
    <row r="8748" spans="1:21">
      <c r="A8748"/>
      <c r="C8748"/>
      <c r="D8748"/>
      <c r="L8748"/>
      <c r="R8748"/>
      <c r="S8748"/>
      <c r="T8748"/>
      <c r="U8748"/>
    </row>
    <row r="8749" spans="1:21">
      <c r="A8749"/>
      <c r="C8749"/>
      <c r="D8749"/>
      <c r="L8749"/>
      <c r="R8749"/>
      <c r="S8749"/>
      <c r="T8749"/>
      <c r="U8749"/>
    </row>
    <row r="8750" spans="1:21">
      <c r="A8750"/>
      <c r="C8750"/>
      <c r="D8750"/>
      <c r="L8750"/>
      <c r="R8750"/>
      <c r="S8750"/>
      <c r="T8750"/>
      <c r="U8750"/>
    </row>
    <row r="8751" spans="1:21">
      <c r="A8751"/>
      <c r="C8751"/>
      <c r="D8751"/>
      <c r="L8751"/>
      <c r="R8751"/>
      <c r="S8751"/>
      <c r="T8751"/>
      <c r="U8751"/>
    </row>
    <row r="8752" spans="1:21">
      <c r="A8752"/>
      <c r="C8752"/>
      <c r="D8752"/>
      <c r="L8752"/>
      <c r="R8752"/>
      <c r="S8752"/>
      <c r="T8752"/>
      <c r="U8752"/>
    </row>
    <row r="8753" spans="1:21">
      <c r="A8753"/>
      <c r="C8753"/>
      <c r="D8753"/>
      <c r="L8753"/>
      <c r="R8753"/>
      <c r="S8753"/>
      <c r="T8753"/>
      <c r="U8753"/>
    </row>
    <row r="8754" spans="1:21">
      <c r="A8754"/>
      <c r="C8754"/>
      <c r="D8754"/>
      <c r="L8754"/>
      <c r="R8754"/>
      <c r="S8754"/>
      <c r="T8754"/>
      <c r="U8754"/>
    </row>
    <row r="8755" spans="1:21">
      <c r="A8755"/>
      <c r="C8755"/>
      <c r="D8755"/>
      <c r="L8755"/>
      <c r="R8755"/>
      <c r="S8755"/>
      <c r="T8755"/>
      <c r="U8755"/>
    </row>
    <row r="8756" spans="1:21">
      <c r="A8756"/>
      <c r="C8756"/>
      <c r="D8756"/>
      <c r="L8756"/>
      <c r="R8756"/>
      <c r="S8756"/>
      <c r="T8756"/>
      <c r="U8756"/>
    </row>
    <row r="8757" spans="1:21">
      <c r="A8757"/>
      <c r="C8757"/>
      <c r="D8757"/>
      <c r="L8757"/>
      <c r="R8757"/>
      <c r="S8757"/>
      <c r="T8757"/>
      <c r="U8757"/>
    </row>
    <row r="8758" spans="1:21">
      <c r="A8758"/>
      <c r="C8758"/>
      <c r="D8758"/>
      <c r="L8758"/>
      <c r="R8758"/>
      <c r="S8758"/>
      <c r="T8758"/>
      <c r="U8758"/>
    </row>
    <row r="8759" spans="1:21">
      <c r="A8759"/>
      <c r="C8759"/>
      <c r="D8759"/>
      <c r="L8759"/>
      <c r="R8759"/>
      <c r="S8759"/>
      <c r="T8759"/>
      <c r="U8759"/>
    </row>
    <row r="8760" spans="1:21">
      <c r="A8760"/>
      <c r="C8760"/>
      <c r="D8760"/>
      <c r="L8760"/>
      <c r="R8760"/>
      <c r="S8760"/>
      <c r="T8760"/>
      <c r="U8760"/>
    </row>
    <row r="8761" spans="1:21">
      <c r="A8761"/>
      <c r="C8761"/>
      <c r="D8761"/>
      <c r="L8761"/>
      <c r="R8761"/>
      <c r="S8761"/>
      <c r="T8761"/>
      <c r="U8761"/>
    </row>
    <row r="8762" spans="1:21">
      <c r="A8762"/>
      <c r="C8762"/>
      <c r="D8762"/>
      <c r="L8762"/>
      <c r="R8762"/>
      <c r="S8762"/>
      <c r="T8762"/>
      <c r="U8762"/>
    </row>
    <row r="8763" spans="1:21">
      <c r="A8763"/>
      <c r="C8763"/>
      <c r="D8763"/>
      <c r="L8763"/>
      <c r="R8763"/>
      <c r="S8763"/>
      <c r="T8763"/>
      <c r="U8763"/>
    </row>
    <row r="8764" spans="1:21">
      <c r="A8764"/>
      <c r="C8764"/>
      <c r="D8764"/>
      <c r="L8764"/>
      <c r="R8764"/>
      <c r="S8764"/>
      <c r="T8764"/>
      <c r="U8764"/>
    </row>
    <row r="8765" spans="1:21">
      <c r="A8765"/>
      <c r="C8765"/>
      <c r="D8765"/>
      <c r="L8765"/>
      <c r="R8765"/>
      <c r="S8765"/>
      <c r="T8765"/>
      <c r="U8765"/>
    </row>
    <row r="8766" spans="1:21">
      <c r="A8766"/>
      <c r="C8766"/>
      <c r="D8766"/>
      <c r="L8766"/>
      <c r="R8766"/>
      <c r="S8766"/>
      <c r="T8766"/>
      <c r="U8766"/>
    </row>
    <row r="8767" spans="1:21">
      <c r="A8767"/>
      <c r="C8767"/>
      <c r="D8767"/>
      <c r="L8767"/>
      <c r="R8767"/>
      <c r="S8767"/>
      <c r="T8767"/>
      <c r="U8767"/>
    </row>
    <row r="8768" spans="1:21">
      <c r="A8768"/>
      <c r="C8768"/>
      <c r="D8768"/>
      <c r="L8768"/>
      <c r="R8768"/>
      <c r="S8768"/>
      <c r="T8768"/>
      <c r="U8768"/>
    </row>
    <row r="8769" spans="1:21">
      <c r="A8769"/>
      <c r="C8769"/>
      <c r="D8769"/>
      <c r="L8769"/>
      <c r="R8769"/>
      <c r="S8769"/>
      <c r="T8769"/>
      <c r="U8769"/>
    </row>
    <row r="8770" spans="1:21">
      <c r="A8770"/>
      <c r="C8770"/>
      <c r="D8770"/>
      <c r="L8770"/>
      <c r="R8770"/>
      <c r="S8770"/>
      <c r="T8770"/>
      <c r="U8770"/>
    </row>
    <row r="8771" spans="1:21">
      <c r="A8771"/>
      <c r="C8771"/>
      <c r="D8771"/>
      <c r="L8771"/>
      <c r="R8771"/>
      <c r="S8771"/>
      <c r="T8771"/>
      <c r="U8771"/>
    </row>
    <row r="8772" spans="1:21">
      <c r="A8772"/>
      <c r="C8772"/>
      <c r="D8772"/>
      <c r="L8772"/>
      <c r="R8772"/>
      <c r="S8772"/>
      <c r="T8772"/>
      <c r="U8772"/>
    </row>
    <row r="8773" spans="1:21">
      <c r="A8773"/>
      <c r="C8773"/>
      <c r="D8773"/>
      <c r="L8773"/>
      <c r="R8773"/>
      <c r="S8773"/>
      <c r="T8773"/>
      <c r="U8773"/>
    </row>
    <row r="8774" spans="1:21">
      <c r="A8774"/>
      <c r="C8774"/>
      <c r="D8774"/>
      <c r="L8774"/>
      <c r="R8774"/>
      <c r="S8774"/>
      <c r="T8774"/>
      <c r="U8774"/>
    </row>
    <row r="8775" spans="1:21">
      <c r="A8775"/>
      <c r="C8775"/>
      <c r="D8775"/>
      <c r="L8775"/>
      <c r="R8775"/>
      <c r="S8775"/>
      <c r="T8775"/>
      <c r="U8775"/>
    </row>
    <row r="8776" spans="1:21">
      <c r="A8776"/>
      <c r="C8776"/>
      <c r="D8776"/>
      <c r="L8776"/>
      <c r="R8776"/>
      <c r="S8776"/>
      <c r="T8776"/>
      <c r="U8776"/>
    </row>
    <row r="8777" spans="1:21">
      <c r="A8777"/>
      <c r="C8777"/>
      <c r="D8777"/>
      <c r="L8777"/>
      <c r="R8777"/>
      <c r="S8777"/>
      <c r="T8777"/>
      <c r="U8777"/>
    </row>
    <row r="8778" spans="1:21">
      <c r="A8778"/>
      <c r="C8778"/>
      <c r="D8778"/>
      <c r="L8778"/>
      <c r="R8778"/>
      <c r="S8778"/>
      <c r="T8778"/>
      <c r="U8778"/>
    </row>
    <row r="8779" spans="1:21">
      <c r="A8779"/>
      <c r="C8779"/>
      <c r="D8779"/>
      <c r="L8779"/>
      <c r="R8779"/>
      <c r="S8779"/>
      <c r="T8779"/>
      <c r="U8779"/>
    </row>
    <row r="8780" spans="1:21">
      <c r="A8780"/>
      <c r="C8780"/>
      <c r="D8780"/>
      <c r="L8780"/>
      <c r="R8780"/>
      <c r="S8780"/>
      <c r="T8780"/>
      <c r="U8780"/>
    </row>
    <row r="8781" spans="1:21">
      <c r="A8781"/>
      <c r="C8781"/>
      <c r="D8781"/>
      <c r="L8781"/>
      <c r="R8781"/>
      <c r="S8781"/>
      <c r="T8781"/>
      <c r="U8781"/>
    </row>
    <row r="8782" spans="1:21">
      <c r="A8782"/>
      <c r="C8782"/>
      <c r="D8782"/>
      <c r="L8782"/>
      <c r="R8782"/>
      <c r="S8782"/>
      <c r="T8782"/>
      <c r="U8782"/>
    </row>
    <row r="8783" spans="1:21">
      <c r="A8783"/>
      <c r="C8783"/>
      <c r="D8783"/>
      <c r="L8783"/>
      <c r="R8783"/>
      <c r="S8783"/>
      <c r="T8783"/>
      <c r="U8783"/>
    </row>
    <row r="8784" spans="1:21">
      <c r="A8784"/>
      <c r="C8784"/>
      <c r="D8784"/>
      <c r="L8784"/>
      <c r="R8784"/>
      <c r="S8784"/>
      <c r="T8784"/>
      <c r="U8784"/>
    </row>
    <row r="8785" spans="1:21">
      <c r="A8785"/>
      <c r="C8785"/>
      <c r="D8785"/>
      <c r="L8785"/>
      <c r="R8785"/>
      <c r="S8785"/>
      <c r="T8785"/>
      <c r="U8785"/>
    </row>
    <row r="8786" spans="1:21">
      <c r="A8786"/>
      <c r="C8786"/>
      <c r="D8786"/>
      <c r="L8786"/>
      <c r="R8786"/>
      <c r="S8786"/>
      <c r="T8786"/>
      <c r="U8786"/>
    </row>
    <row r="8787" spans="1:21">
      <c r="A8787"/>
      <c r="C8787"/>
      <c r="D8787"/>
      <c r="L8787"/>
      <c r="R8787"/>
      <c r="S8787"/>
      <c r="T8787"/>
      <c r="U8787"/>
    </row>
    <row r="8788" spans="1:21">
      <c r="A8788"/>
      <c r="C8788"/>
      <c r="D8788"/>
      <c r="L8788"/>
      <c r="R8788"/>
      <c r="S8788"/>
      <c r="T8788"/>
      <c r="U8788"/>
    </row>
    <row r="8789" spans="1:21">
      <c r="A8789"/>
      <c r="C8789"/>
      <c r="D8789"/>
      <c r="L8789"/>
      <c r="R8789"/>
      <c r="S8789"/>
      <c r="T8789"/>
      <c r="U8789"/>
    </row>
    <row r="8790" spans="1:21">
      <c r="A8790"/>
      <c r="C8790"/>
      <c r="D8790"/>
      <c r="L8790"/>
      <c r="R8790"/>
      <c r="S8790"/>
      <c r="T8790"/>
      <c r="U8790"/>
    </row>
    <row r="8791" spans="1:21">
      <c r="A8791"/>
      <c r="C8791"/>
      <c r="D8791"/>
      <c r="L8791"/>
      <c r="R8791"/>
      <c r="S8791"/>
      <c r="T8791"/>
      <c r="U8791"/>
    </row>
    <row r="8792" spans="1:21">
      <c r="A8792"/>
      <c r="C8792"/>
      <c r="D8792"/>
      <c r="L8792"/>
      <c r="R8792"/>
      <c r="S8792"/>
      <c r="T8792"/>
      <c r="U8792"/>
    </row>
    <row r="8793" spans="1:21">
      <c r="A8793"/>
      <c r="C8793"/>
      <c r="D8793"/>
      <c r="L8793"/>
      <c r="R8793"/>
      <c r="S8793"/>
      <c r="T8793"/>
      <c r="U8793"/>
    </row>
    <row r="8794" spans="1:21">
      <c r="A8794"/>
      <c r="C8794"/>
      <c r="D8794"/>
      <c r="L8794"/>
      <c r="R8794"/>
      <c r="S8794"/>
      <c r="T8794"/>
      <c r="U8794"/>
    </row>
    <row r="8795" spans="1:21">
      <c r="A8795"/>
      <c r="C8795"/>
      <c r="D8795"/>
      <c r="L8795"/>
      <c r="R8795"/>
      <c r="S8795"/>
      <c r="T8795"/>
      <c r="U8795"/>
    </row>
    <row r="8796" spans="1:21">
      <c r="A8796"/>
      <c r="C8796"/>
      <c r="D8796"/>
      <c r="L8796"/>
      <c r="R8796"/>
      <c r="S8796"/>
      <c r="T8796"/>
      <c r="U8796"/>
    </row>
    <row r="8797" spans="1:21">
      <c r="A8797"/>
      <c r="C8797"/>
      <c r="D8797"/>
      <c r="L8797"/>
      <c r="R8797"/>
      <c r="S8797"/>
      <c r="T8797"/>
      <c r="U8797"/>
    </row>
    <row r="8798" spans="1:21">
      <c r="A8798"/>
      <c r="C8798"/>
      <c r="D8798"/>
      <c r="L8798"/>
      <c r="R8798"/>
      <c r="S8798"/>
      <c r="T8798"/>
      <c r="U8798"/>
    </row>
    <row r="8799" spans="1:21">
      <c r="A8799"/>
      <c r="C8799"/>
      <c r="D8799"/>
      <c r="L8799"/>
      <c r="R8799"/>
      <c r="S8799"/>
      <c r="T8799"/>
      <c r="U8799"/>
    </row>
    <row r="8800" spans="1:21">
      <c r="A8800"/>
      <c r="C8800"/>
      <c r="D8800"/>
      <c r="L8800"/>
      <c r="R8800"/>
      <c r="S8800"/>
      <c r="T8800"/>
      <c r="U8800"/>
    </row>
    <row r="8801" spans="1:21">
      <c r="A8801"/>
      <c r="C8801"/>
      <c r="D8801"/>
      <c r="L8801"/>
      <c r="R8801"/>
      <c r="S8801"/>
      <c r="T8801"/>
      <c r="U8801"/>
    </row>
    <row r="8802" spans="1:21">
      <c r="A8802"/>
      <c r="C8802"/>
      <c r="D8802"/>
      <c r="L8802"/>
      <c r="R8802"/>
      <c r="S8802"/>
      <c r="T8802"/>
      <c r="U8802"/>
    </row>
    <row r="8803" spans="1:21">
      <c r="A8803"/>
      <c r="C8803"/>
      <c r="D8803"/>
      <c r="L8803"/>
      <c r="R8803"/>
      <c r="S8803"/>
      <c r="T8803"/>
      <c r="U8803"/>
    </row>
    <row r="8804" spans="1:21">
      <c r="A8804"/>
      <c r="C8804"/>
      <c r="D8804"/>
      <c r="L8804"/>
      <c r="R8804"/>
      <c r="S8804"/>
      <c r="T8804"/>
      <c r="U8804"/>
    </row>
    <row r="8805" spans="1:21">
      <c r="A8805"/>
      <c r="C8805"/>
      <c r="D8805"/>
      <c r="L8805"/>
      <c r="R8805"/>
      <c r="S8805"/>
      <c r="T8805"/>
      <c r="U8805"/>
    </row>
    <row r="8806" spans="1:21">
      <c r="A8806"/>
      <c r="C8806"/>
      <c r="D8806"/>
      <c r="L8806"/>
      <c r="R8806"/>
      <c r="S8806"/>
      <c r="T8806"/>
      <c r="U8806"/>
    </row>
    <row r="8807" spans="1:21">
      <c r="A8807"/>
      <c r="C8807"/>
      <c r="D8807"/>
      <c r="L8807"/>
      <c r="R8807"/>
      <c r="S8807"/>
      <c r="T8807"/>
      <c r="U8807"/>
    </row>
    <row r="8808" spans="1:21">
      <c r="A8808"/>
      <c r="C8808"/>
      <c r="D8808"/>
      <c r="L8808"/>
      <c r="R8808"/>
      <c r="S8808"/>
      <c r="T8808"/>
      <c r="U8808"/>
    </row>
    <row r="8809" spans="1:21">
      <c r="A8809"/>
      <c r="C8809"/>
      <c r="D8809"/>
      <c r="L8809"/>
      <c r="R8809"/>
      <c r="S8809"/>
      <c r="T8809"/>
      <c r="U8809"/>
    </row>
    <row r="8810" spans="1:21">
      <c r="A8810"/>
      <c r="C8810"/>
      <c r="D8810"/>
      <c r="L8810"/>
      <c r="R8810"/>
      <c r="S8810"/>
      <c r="T8810"/>
      <c r="U8810"/>
    </row>
    <row r="8811" spans="1:21">
      <c r="A8811"/>
      <c r="C8811"/>
      <c r="D8811"/>
      <c r="L8811"/>
      <c r="R8811"/>
      <c r="S8811"/>
      <c r="T8811"/>
      <c r="U8811"/>
    </row>
    <row r="8812" spans="1:21">
      <c r="A8812"/>
      <c r="C8812"/>
      <c r="D8812"/>
      <c r="L8812"/>
      <c r="R8812"/>
      <c r="S8812"/>
      <c r="T8812"/>
      <c r="U8812"/>
    </row>
    <row r="8813" spans="1:21">
      <c r="A8813"/>
      <c r="C8813"/>
      <c r="D8813"/>
      <c r="L8813"/>
      <c r="R8813"/>
      <c r="S8813"/>
      <c r="T8813"/>
      <c r="U8813"/>
    </row>
    <row r="8814" spans="1:21">
      <c r="A8814"/>
      <c r="C8814"/>
      <c r="D8814"/>
      <c r="L8814"/>
      <c r="R8814"/>
      <c r="S8814"/>
      <c r="T8814"/>
      <c r="U8814"/>
    </row>
    <row r="8815" spans="1:21">
      <c r="A8815"/>
      <c r="C8815"/>
      <c r="D8815"/>
      <c r="L8815"/>
      <c r="R8815"/>
      <c r="S8815"/>
      <c r="T8815"/>
      <c r="U8815"/>
    </row>
    <row r="8816" spans="1:21">
      <c r="A8816"/>
      <c r="C8816"/>
      <c r="D8816"/>
      <c r="L8816"/>
      <c r="R8816"/>
      <c r="S8816"/>
      <c r="T8816"/>
      <c r="U8816"/>
    </row>
    <row r="8817" spans="1:21">
      <c r="A8817"/>
      <c r="C8817"/>
      <c r="D8817"/>
      <c r="L8817"/>
      <c r="R8817"/>
      <c r="S8817"/>
      <c r="T8817"/>
      <c r="U8817"/>
    </row>
    <row r="8818" spans="1:21">
      <c r="A8818"/>
      <c r="C8818"/>
      <c r="D8818"/>
      <c r="L8818"/>
      <c r="R8818"/>
      <c r="S8818"/>
      <c r="T8818"/>
      <c r="U8818"/>
    </row>
    <row r="8819" spans="1:21">
      <c r="A8819"/>
      <c r="C8819"/>
      <c r="D8819"/>
      <c r="L8819"/>
      <c r="R8819"/>
      <c r="S8819"/>
      <c r="T8819"/>
      <c r="U8819"/>
    </row>
    <row r="8820" spans="1:21">
      <c r="A8820"/>
      <c r="C8820"/>
      <c r="D8820"/>
      <c r="L8820"/>
      <c r="R8820"/>
      <c r="S8820"/>
      <c r="T8820"/>
      <c r="U8820"/>
    </row>
    <row r="8821" spans="1:21">
      <c r="A8821"/>
      <c r="C8821"/>
      <c r="D8821"/>
      <c r="L8821"/>
      <c r="R8821"/>
      <c r="S8821"/>
      <c r="T8821"/>
      <c r="U8821"/>
    </row>
    <row r="8822" spans="1:21">
      <c r="A8822"/>
      <c r="C8822"/>
      <c r="D8822"/>
      <c r="L8822"/>
      <c r="R8822"/>
      <c r="S8822"/>
      <c r="T8822"/>
      <c r="U8822"/>
    </row>
    <row r="8823" spans="1:21">
      <c r="A8823"/>
      <c r="C8823"/>
      <c r="D8823"/>
      <c r="L8823"/>
      <c r="R8823"/>
      <c r="S8823"/>
      <c r="T8823"/>
      <c r="U8823"/>
    </row>
    <row r="8824" spans="1:21">
      <c r="A8824"/>
      <c r="C8824"/>
      <c r="D8824"/>
      <c r="L8824"/>
      <c r="R8824"/>
      <c r="S8824"/>
      <c r="T8824"/>
      <c r="U8824"/>
    </row>
    <row r="8825" spans="1:21">
      <c r="A8825"/>
      <c r="C8825"/>
      <c r="D8825"/>
      <c r="L8825"/>
      <c r="R8825"/>
      <c r="S8825"/>
      <c r="T8825"/>
      <c r="U8825"/>
    </row>
    <row r="8826" spans="1:21">
      <c r="A8826"/>
      <c r="C8826"/>
      <c r="D8826"/>
      <c r="L8826"/>
      <c r="R8826"/>
      <c r="S8826"/>
      <c r="T8826"/>
      <c r="U8826"/>
    </row>
    <row r="8827" spans="1:21">
      <c r="A8827"/>
      <c r="C8827"/>
      <c r="D8827"/>
      <c r="L8827"/>
      <c r="R8827"/>
      <c r="S8827"/>
      <c r="T8827"/>
      <c r="U8827"/>
    </row>
    <row r="8828" spans="1:21">
      <c r="A8828"/>
      <c r="C8828"/>
      <c r="D8828"/>
      <c r="L8828"/>
      <c r="R8828"/>
      <c r="S8828"/>
      <c r="T8828"/>
      <c r="U8828"/>
    </row>
    <row r="8829" spans="1:21">
      <c r="A8829"/>
      <c r="C8829"/>
      <c r="D8829"/>
      <c r="L8829"/>
      <c r="R8829"/>
      <c r="S8829"/>
      <c r="T8829"/>
      <c r="U8829"/>
    </row>
    <row r="8830" spans="1:21">
      <c r="A8830"/>
      <c r="C8830"/>
      <c r="D8830"/>
      <c r="L8830"/>
      <c r="R8830"/>
      <c r="S8830"/>
      <c r="T8830"/>
      <c r="U8830"/>
    </row>
    <row r="8831" spans="1:21">
      <c r="A8831"/>
      <c r="C8831"/>
      <c r="D8831"/>
      <c r="L8831"/>
      <c r="R8831"/>
      <c r="S8831"/>
      <c r="T8831"/>
      <c r="U8831"/>
    </row>
    <row r="8832" spans="1:21">
      <c r="A8832"/>
      <c r="C8832"/>
      <c r="D8832"/>
      <c r="L8832"/>
      <c r="R8832"/>
      <c r="S8832"/>
      <c r="T8832"/>
      <c r="U8832"/>
    </row>
    <row r="8833" spans="1:21">
      <c r="A8833"/>
      <c r="C8833"/>
      <c r="D8833"/>
      <c r="L8833"/>
      <c r="R8833"/>
      <c r="S8833"/>
      <c r="T8833"/>
      <c r="U8833"/>
    </row>
    <row r="8834" spans="1:21">
      <c r="A8834"/>
      <c r="C8834"/>
      <c r="D8834"/>
      <c r="L8834"/>
      <c r="R8834"/>
      <c r="S8834"/>
      <c r="T8834"/>
      <c r="U8834"/>
    </row>
    <row r="8835" spans="1:21">
      <c r="A8835"/>
      <c r="C8835"/>
      <c r="D8835"/>
      <c r="L8835"/>
      <c r="R8835"/>
      <c r="S8835"/>
      <c r="T8835"/>
      <c r="U8835"/>
    </row>
    <row r="8836" spans="1:21">
      <c r="A8836"/>
      <c r="C8836"/>
      <c r="D8836"/>
      <c r="L8836"/>
      <c r="R8836"/>
      <c r="S8836"/>
      <c r="T8836"/>
      <c r="U8836"/>
    </row>
    <row r="8837" spans="1:21">
      <c r="A8837"/>
      <c r="C8837"/>
      <c r="D8837"/>
      <c r="L8837"/>
      <c r="R8837"/>
      <c r="S8837"/>
      <c r="T8837"/>
      <c r="U8837"/>
    </row>
    <row r="8838" spans="1:21">
      <c r="A8838"/>
      <c r="C8838"/>
      <c r="D8838"/>
      <c r="L8838"/>
      <c r="R8838"/>
      <c r="S8838"/>
      <c r="T8838"/>
      <c r="U8838"/>
    </row>
    <row r="8839" spans="1:21">
      <c r="A8839"/>
      <c r="C8839"/>
      <c r="D8839"/>
      <c r="L8839"/>
      <c r="R8839"/>
      <c r="S8839"/>
      <c r="T8839"/>
      <c r="U8839"/>
    </row>
    <row r="8840" spans="1:21">
      <c r="A8840"/>
      <c r="C8840"/>
      <c r="D8840"/>
      <c r="L8840"/>
      <c r="R8840"/>
      <c r="S8840"/>
      <c r="T8840"/>
      <c r="U8840"/>
    </row>
    <row r="8841" spans="1:21">
      <c r="A8841"/>
      <c r="C8841"/>
      <c r="D8841"/>
      <c r="L8841"/>
      <c r="R8841"/>
      <c r="S8841"/>
      <c r="T8841"/>
      <c r="U8841"/>
    </row>
    <row r="8842" spans="1:21">
      <c r="A8842"/>
      <c r="C8842"/>
      <c r="D8842"/>
      <c r="L8842"/>
      <c r="R8842"/>
      <c r="S8842"/>
      <c r="T8842"/>
      <c r="U8842"/>
    </row>
    <row r="8843" spans="1:21">
      <c r="A8843"/>
      <c r="C8843"/>
      <c r="D8843"/>
      <c r="L8843"/>
      <c r="R8843"/>
      <c r="S8843"/>
      <c r="T8843"/>
      <c r="U8843"/>
    </row>
    <row r="8844" spans="1:21">
      <c r="A8844"/>
      <c r="C8844"/>
      <c r="D8844"/>
      <c r="L8844"/>
      <c r="R8844"/>
      <c r="S8844"/>
      <c r="T8844"/>
      <c r="U8844"/>
    </row>
    <row r="8845" spans="1:21">
      <c r="A8845"/>
      <c r="C8845"/>
      <c r="D8845"/>
      <c r="L8845"/>
      <c r="R8845"/>
      <c r="S8845"/>
      <c r="T8845"/>
      <c r="U8845"/>
    </row>
    <row r="8846" spans="1:21">
      <c r="A8846"/>
      <c r="C8846"/>
      <c r="D8846"/>
      <c r="L8846"/>
      <c r="R8846"/>
      <c r="S8846"/>
      <c r="T8846"/>
      <c r="U8846"/>
    </row>
    <row r="8847" spans="1:21">
      <c r="A8847"/>
      <c r="C8847"/>
      <c r="D8847"/>
      <c r="L8847"/>
      <c r="R8847"/>
      <c r="S8847"/>
      <c r="T8847"/>
      <c r="U8847"/>
    </row>
    <row r="8848" spans="1:21">
      <c r="A8848"/>
      <c r="C8848"/>
      <c r="D8848"/>
      <c r="L8848"/>
      <c r="R8848"/>
      <c r="S8848"/>
      <c r="T8848"/>
      <c r="U8848"/>
    </row>
    <row r="8849" spans="1:21">
      <c r="A8849"/>
      <c r="C8849"/>
      <c r="D8849"/>
      <c r="L8849"/>
      <c r="R8849"/>
      <c r="S8849"/>
      <c r="T8849"/>
      <c r="U8849"/>
    </row>
    <row r="8850" spans="1:21">
      <c r="A8850"/>
      <c r="C8850"/>
      <c r="D8850"/>
      <c r="L8850"/>
      <c r="R8850"/>
      <c r="S8850"/>
      <c r="T8850"/>
      <c r="U8850"/>
    </row>
    <row r="8851" spans="1:21">
      <c r="A8851"/>
      <c r="C8851"/>
      <c r="D8851"/>
      <c r="L8851"/>
      <c r="R8851"/>
      <c r="S8851"/>
      <c r="T8851"/>
      <c r="U8851"/>
    </row>
    <row r="8852" spans="1:21">
      <c r="A8852"/>
      <c r="C8852"/>
      <c r="D8852"/>
      <c r="L8852"/>
      <c r="R8852"/>
      <c r="S8852"/>
      <c r="T8852"/>
      <c r="U8852"/>
    </row>
    <row r="8853" spans="1:21">
      <c r="A8853"/>
      <c r="C8853"/>
      <c r="D8853"/>
      <c r="L8853"/>
      <c r="R8853"/>
      <c r="S8853"/>
      <c r="T8853"/>
      <c r="U8853"/>
    </row>
    <row r="8854" spans="1:21">
      <c r="A8854"/>
      <c r="C8854"/>
      <c r="D8854"/>
      <c r="L8854"/>
      <c r="R8854"/>
      <c r="S8854"/>
      <c r="T8854"/>
      <c r="U8854"/>
    </row>
    <row r="8855" spans="1:21">
      <c r="A8855"/>
      <c r="C8855"/>
      <c r="D8855"/>
      <c r="L8855"/>
      <c r="R8855"/>
      <c r="S8855"/>
      <c r="T8855"/>
      <c r="U8855"/>
    </row>
    <row r="8856" spans="1:21">
      <c r="A8856"/>
      <c r="C8856"/>
      <c r="D8856"/>
      <c r="L8856"/>
      <c r="R8856"/>
      <c r="S8856"/>
      <c r="T8856"/>
      <c r="U8856"/>
    </row>
    <row r="8857" spans="1:21">
      <c r="A8857"/>
      <c r="C8857"/>
      <c r="D8857"/>
      <c r="L8857"/>
      <c r="R8857"/>
      <c r="S8857"/>
      <c r="T8857"/>
      <c r="U8857"/>
    </row>
    <row r="8858" spans="1:21">
      <c r="A8858"/>
      <c r="C8858"/>
      <c r="D8858"/>
      <c r="L8858"/>
      <c r="R8858"/>
      <c r="S8858"/>
      <c r="T8858"/>
      <c r="U8858"/>
    </row>
    <row r="8859" spans="1:21">
      <c r="A8859"/>
      <c r="C8859"/>
      <c r="D8859"/>
      <c r="L8859"/>
      <c r="R8859"/>
      <c r="S8859"/>
      <c r="T8859"/>
      <c r="U8859"/>
    </row>
    <row r="8860" spans="1:21">
      <c r="A8860"/>
      <c r="C8860"/>
      <c r="D8860"/>
      <c r="L8860"/>
      <c r="R8860"/>
      <c r="S8860"/>
      <c r="T8860"/>
      <c r="U8860"/>
    </row>
    <row r="8861" spans="1:21">
      <c r="A8861"/>
      <c r="C8861"/>
      <c r="D8861"/>
      <c r="L8861"/>
      <c r="R8861"/>
      <c r="S8861"/>
      <c r="T8861"/>
      <c r="U8861"/>
    </row>
    <row r="8862" spans="1:21">
      <c r="A8862"/>
      <c r="C8862"/>
      <c r="D8862"/>
      <c r="L8862"/>
      <c r="R8862"/>
      <c r="S8862"/>
      <c r="T8862"/>
      <c r="U8862"/>
    </row>
    <row r="8863" spans="1:21">
      <c r="A8863"/>
      <c r="C8863"/>
      <c r="D8863"/>
      <c r="L8863"/>
      <c r="R8863"/>
      <c r="S8863"/>
      <c r="T8863"/>
      <c r="U8863"/>
    </row>
    <row r="8864" spans="1:21">
      <c r="A8864"/>
      <c r="C8864"/>
      <c r="D8864"/>
      <c r="L8864"/>
      <c r="R8864"/>
      <c r="S8864"/>
      <c r="T8864"/>
      <c r="U8864"/>
    </row>
    <row r="8865" spans="1:21">
      <c r="A8865"/>
      <c r="C8865"/>
      <c r="D8865"/>
      <c r="L8865"/>
      <c r="R8865"/>
      <c r="S8865"/>
      <c r="T8865"/>
      <c r="U8865"/>
    </row>
    <row r="8866" spans="1:21">
      <c r="A8866"/>
      <c r="C8866"/>
      <c r="D8866"/>
      <c r="L8866"/>
      <c r="R8866"/>
      <c r="S8866"/>
      <c r="T8866"/>
      <c r="U8866"/>
    </row>
    <row r="8867" spans="1:21">
      <c r="A8867"/>
      <c r="C8867"/>
      <c r="D8867"/>
      <c r="L8867"/>
      <c r="R8867"/>
      <c r="S8867"/>
      <c r="T8867"/>
      <c r="U8867"/>
    </row>
    <row r="8868" spans="1:21">
      <c r="A8868"/>
      <c r="C8868"/>
      <c r="D8868"/>
      <c r="L8868"/>
      <c r="R8868"/>
      <c r="S8868"/>
      <c r="T8868"/>
      <c r="U8868"/>
    </row>
    <row r="8869" spans="1:21">
      <c r="A8869"/>
      <c r="C8869"/>
      <c r="D8869"/>
      <c r="L8869"/>
      <c r="R8869"/>
      <c r="S8869"/>
      <c r="T8869"/>
      <c r="U8869"/>
    </row>
    <row r="8870" spans="1:21">
      <c r="A8870"/>
      <c r="C8870"/>
      <c r="D8870"/>
      <c r="L8870"/>
      <c r="R8870"/>
      <c r="S8870"/>
      <c r="T8870"/>
      <c r="U8870"/>
    </row>
    <row r="8871" spans="1:21">
      <c r="A8871"/>
      <c r="C8871"/>
      <c r="D8871"/>
      <c r="L8871"/>
      <c r="R8871"/>
      <c r="S8871"/>
      <c r="T8871"/>
      <c r="U8871"/>
    </row>
    <row r="8872" spans="1:21">
      <c r="A8872"/>
      <c r="C8872"/>
      <c r="D8872"/>
      <c r="L8872"/>
      <c r="R8872"/>
      <c r="S8872"/>
      <c r="T8872"/>
      <c r="U8872"/>
    </row>
    <row r="8873" spans="1:21">
      <c r="A8873"/>
      <c r="C8873"/>
      <c r="D8873"/>
      <c r="L8873"/>
      <c r="R8873"/>
      <c r="S8873"/>
      <c r="T8873"/>
      <c r="U8873"/>
    </row>
    <row r="8874" spans="1:21">
      <c r="A8874"/>
      <c r="C8874"/>
      <c r="D8874"/>
      <c r="L8874"/>
      <c r="R8874"/>
      <c r="S8874"/>
      <c r="T8874"/>
      <c r="U8874"/>
    </row>
    <row r="8875" spans="1:21">
      <c r="A8875"/>
      <c r="C8875"/>
      <c r="D8875"/>
      <c r="L8875"/>
      <c r="R8875"/>
      <c r="S8875"/>
      <c r="T8875"/>
      <c r="U8875"/>
    </row>
    <row r="8876" spans="1:21">
      <c r="A8876"/>
      <c r="C8876"/>
      <c r="D8876"/>
      <c r="L8876"/>
      <c r="R8876"/>
      <c r="S8876"/>
      <c r="T8876"/>
      <c r="U8876"/>
    </row>
    <row r="8877" spans="1:21">
      <c r="A8877"/>
      <c r="C8877"/>
      <c r="D8877"/>
      <c r="L8877"/>
      <c r="R8877"/>
      <c r="S8877"/>
      <c r="T8877"/>
      <c r="U8877"/>
    </row>
    <row r="8878" spans="1:21">
      <c r="A8878"/>
      <c r="C8878"/>
      <c r="D8878"/>
      <c r="L8878"/>
      <c r="R8878"/>
      <c r="S8878"/>
      <c r="T8878"/>
      <c r="U8878"/>
    </row>
    <row r="8879" spans="1:21">
      <c r="A8879"/>
      <c r="C8879"/>
      <c r="D8879"/>
      <c r="L8879"/>
      <c r="R8879"/>
      <c r="S8879"/>
      <c r="T8879"/>
      <c r="U8879"/>
    </row>
    <row r="8880" spans="1:21">
      <c r="A8880"/>
      <c r="C8880"/>
      <c r="D8880"/>
      <c r="L8880"/>
      <c r="R8880"/>
      <c r="S8880"/>
      <c r="T8880"/>
      <c r="U8880"/>
    </row>
    <row r="8881" spans="1:21">
      <c r="A8881"/>
      <c r="C8881"/>
      <c r="D8881"/>
      <c r="L8881"/>
      <c r="R8881"/>
      <c r="S8881"/>
      <c r="T8881"/>
      <c r="U8881"/>
    </row>
    <row r="8882" spans="1:21">
      <c r="A8882"/>
      <c r="C8882"/>
      <c r="D8882"/>
      <c r="L8882"/>
      <c r="R8882"/>
      <c r="S8882"/>
      <c r="T8882"/>
      <c r="U8882"/>
    </row>
    <row r="8883" spans="1:21">
      <c r="A8883"/>
      <c r="C8883"/>
      <c r="D8883"/>
      <c r="L8883"/>
      <c r="R8883"/>
      <c r="S8883"/>
      <c r="T8883"/>
      <c r="U8883"/>
    </row>
    <row r="8884" spans="1:21">
      <c r="A8884"/>
      <c r="C8884"/>
      <c r="D8884"/>
      <c r="L8884"/>
      <c r="R8884"/>
      <c r="S8884"/>
      <c r="T8884"/>
      <c r="U8884"/>
    </row>
    <row r="8885" spans="1:21">
      <c r="A8885"/>
      <c r="C8885"/>
      <c r="D8885"/>
      <c r="L8885"/>
      <c r="R8885"/>
      <c r="S8885"/>
      <c r="T8885"/>
      <c r="U8885"/>
    </row>
    <row r="8886" spans="1:21">
      <c r="A8886"/>
      <c r="C8886"/>
      <c r="D8886"/>
      <c r="L8886"/>
      <c r="R8886"/>
      <c r="S8886"/>
      <c r="T8886"/>
      <c r="U8886"/>
    </row>
    <row r="8887" spans="1:21">
      <c r="A8887"/>
      <c r="C8887"/>
      <c r="D8887"/>
      <c r="L8887"/>
      <c r="R8887"/>
      <c r="S8887"/>
      <c r="T8887"/>
      <c r="U8887"/>
    </row>
    <row r="8888" spans="1:21">
      <c r="A8888"/>
      <c r="C8888"/>
      <c r="D8888"/>
      <c r="L8888"/>
      <c r="R8888"/>
      <c r="S8888"/>
      <c r="T8888"/>
      <c r="U8888"/>
    </row>
    <row r="8889" spans="1:21">
      <c r="A8889"/>
      <c r="C8889"/>
      <c r="D8889"/>
      <c r="L8889"/>
      <c r="R8889"/>
      <c r="S8889"/>
      <c r="T8889"/>
      <c r="U8889"/>
    </row>
    <row r="8890" spans="1:21">
      <c r="A8890"/>
      <c r="C8890"/>
      <c r="D8890"/>
      <c r="L8890"/>
      <c r="R8890"/>
      <c r="S8890"/>
      <c r="T8890"/>
      <c r="U8890"/>
    </row>
    <row r="8891" spans="1:21">
      <c r="A8891"/>
      <c r="C8891"/>
      <c r="D8891"/>
      <c r="L8891"/>
      <c r="R8891"/>
      <c r="S8891"/>
      <c r="T8891"/>
      <c r="U8891"/>
    </row>
    <row r="8892" spans="1:21">
      <c r="A8892"/>
      <c r="C8892"/>
      <c r="D8892"/>
      <c r="L8892"/>
      <c r="R8892"/>
      <c r="S8892"/>
      <c r="T8892"/>
      <c r="U8892"/>
    </row>
    <row r="8893" spans="1:21">
      <c r="A8893"/>
      <c r="C8893"/>
      <c r="D8893"/>
      <c r="L8893"/>
      <c r="R8893"/>
      <c r="S8893"/>
      <c r="T8893"/>
      <c r="U8893"/>
    </row>
    <row r="8894" spans="1:21">
      <c r="A8894"/>
      <c r="C8894"/>
      <c r="D8894"/>
      <c r="L8894"/>
      <c r="R8894"/>
      <c r="S8894"/>
      <c r="T8894"/>
      <c r="U8894"/>
    </row>
    <row r="8895" spans="1:21">
      <c r="A8895"/>
      <c r="C8895"/>
      <c r="D8895"/>
      <c r="L8895"/>
      <c r="R8895"/>
      <c r="S8895"/>
      <c r="T8895"/>
      <c r="U8895"/>
    </row>
    <row r="8896" spans="1:21">
      <c r="A8896"/>
      <c r="C8896"/>
      <c r="D8896"/>
      <c r="L8896"/>
      <c r="R8896"/>
      <c r="S8896"/>
      <c r="T8896"/>
      <c r="U8896"/>
    </row>
    <row r="8897" spans="1:21">
      <c r="A8897"/>
      <c r="C8897"/>
      <c r="D8897"/>
      <c r="L8897"/>
      <c r="R8897"/>
      <c r="S8897"/>
      <c r="T8897"/>
      <c r="U8897"/>
    </row>
    <row r="8898" spans="1:21">
      <c r="A8898"/>
      <c r="C8898"/>
      <c r="D8898"/>
      <c r="L8898"/>
      <c r="R8898"/>
      <c r="S8898"/>
      <c r="T8898"/>
      <c r="U8898"/>
    </row>
    <row r="8899" spans="1:21">
      <c r="A8899"/>
      <c r="C8899"/>
      <c r="D8899"/>
      <c r="L8899"/>
      <c r="R8899"/>
      <c r="S8899"/>
      <c r="T8899"/>
      <c r="U8899"/>
    </row>
    <row r="8900" spans="1:21">
      <c r="A8900"/>
      <c r="C8900"/>
      <c r="D8900"/>
      <c r="L8900"/>
      <c r="R8900"/>
      <c r="S8900"/>
      <c r="T8900"/>
      <c r="U8900"/>
    </row>
    <row r="8901" spans="1:21">
      <c r="A8901"/>
      <c r="C8901"/>
      <c r="D8901"/>
      <c r="L8901"/>
      <c r="R8901"/>
      <c r="S8901"/>
      <c r="T8901"/>
      <c r="U8901"/>
    </row>
    <row r="8902" spans="1:21">
      <c r="A8902"/>
      <c r="C8902"/>
      <c r="D8902"/>
      <c r="L8902"/>
      <c r="R8902"/>
      <c r="S8902"/>
      <c r="T8902"/>
      <c r="U8902"/>
    </row>
    <row r="8903" spans="1:21">
      <c r="A8903"/>
      <c r="C8903"/>
      <c r="D8903"/>
      <c r="L8903"/>
      <c r="R8903"/>
      <c r="S8903"/>
      <c r="T8903"/>
      <c r="U8903"/>
    </row>
    <row r="8904" spans="1:21">
      <c r="A8904"/>
      <c r="C8904"/>
      <c r="D8904"/>
      <c r="L8904"/>
      <c r="R8904"/>
      <c r="S8904"/>
      <c r="T8904"/>
      <c r="U8904"/>
    </row>
    <row r="8905" spans="1:21">
      <c r="A8905"/>
      <c r="C8905"/>
      <c r="D8905"/>
      <c r="L8905"/>
      <c r="R8905"/>
      <c r="S8905"/>
      <c r="T8905"/>
      <c r="U8905"/>
    </row>
    <row r="8906" spans="1:21">
      <c r="A8906"/>
      <c r="C8906"/>
      <c r="D8906"/>
      <c r="L8906"/>
      <c r="R8906"/>
      <c r="S8906"/>
      <c r="T8906"/>
      <c r="U8906"/>
    </row>
    <row r="8907" spans="1:21">
      <c r="A8907"/>
      <c r="C8907"/>
      <c r="D8907"/>
      <c r="L8907"/>
      <c r="R8907"/>
      <c r="S8907"/>
      <c r="T8907"/>
      <c r="U8907"/>
    </row>
    <row r="8908" spans="1:21">
      <c r="A8908"/>
      <c r="C8908"/>
      <c r="D8908"/>
      <c r="L8908"/>
      <c r="R8908"/>
      <c r="S8908"/>
      <c r="T8908"/>
      <c r="U8908"/>
    </row>
    <row r="8909" spans="1:21">
      <c r="A8909"/>
      <c r="C8909"/>
      <c r="D8909"/>
      <c r="L8909"/>
      <c r="R8909"/>
      <c r="S8909"/>
      <c r="T8909"/>
      <c r="U8909"/>
    </row>
    <row r="8910" spans="1:21">
      <c r="A8910"/>
      <c r="C8910"/>
      <c r="D8910"/>
      <c r="L8910"/>
      <c r="R8910"/>
      <c r="S8910"/>
      <c r="T8910"/>
      <c r="U8910"/>
    </row>
    <row r="8911" spans="1:21">
      <c r="A8911"/>
      <c r="C8911"/>
      <c r="D8911"/>
      <c r="L8911"/>
      <c r="R8911"/>
      <c r="S8911"/>
      <c r="T8911"/>
      <c r="U8911"/>
    </row>
    <row r="8912" spans="1:21">
      <c r="A8912"/>
      <c r="C8912"/>
      <c r="D8912"/>
      <c r="L8912"/>
      <c r="R8912"/>
      <c r="S8912"/>
      <c r="T8912"/>
      <c r="U8912"/>
    </row>
    <row r="8913" spans="1:21">
      <c r="A8913"/>
      <c r="C8913"/>
      <c r="D8913"/>
      <c r="L8913"/>
      <c r="R8913"/>
      <c r="S8913"/>
      <c r="T8913"/>
      <c r="U8913"/>
    </row>
    <row r="8914" spans="1:21">
      <c r="A8914"/>
      <c r="C8914"/>
      <c r="D8914"/>
      <c r="L8914"/>
      <c r="R8914"/>
      <c r="S8914"/>
      <c r="T8914"/>
      <c r="U8914"/>
    </row>
    <row r="8915" spans="1:21">
      <c r="A8915"/>
      <c r="C8915"/>
      <c r="D8915"/>
      <c r="L8915"/>
      <c r="R8915"/>
      <c r="S8915"/>
      <c r="T8915"/>
      <c r="U8915"/>
    </row>
    <row r="8916" spans="1:21">
      <c r="A8916"/>
      <c r="C8916"/>
      <c r="D8916"/>
      <c r="L8916"/>
      <c r="R8916"/>
      <c r="S8916"/>
      <c r="T8916"/>
      <c r="U8916"/>
    </row>
    <row r="8917" spans="1:21">
      <c r="A8917"/>
      <c r="C8917"/>
      <c r="D8917"/>
      <c r="L8917"/>
      <c r="R8917"/>
      <c r="S8917"/>
      <c r="T8917"/>
      <c r="U8917"/>
    </row>
    <row r="8918" spans="1:21">
      <c r="A8918"/>
      <c r="C8918"/>
      <c r="D8918"/>
      <c r="L8918"/>
      <c r="R8918"/>
      <c r="S8918"/>
      <c r="T8918"/>
      <c r="U8918"/>
    </row>
    <row r="8919" spans="1:21">
      <c r="A8919"/>
      <c r="C8919"/>
      <c r="D8919"/>
      <c r="L8919"/>
      <c r="R8919"/>
      <c r="S8919"/>
      <c r="T8919"/>
      <c r="U8919"/>
    </row>
    <row r="8920" spans="1:21">
      <c r="A8920"/>
      <c r="C8920"/>
      <c r="D8920"/>
      <c r="L8920"/>
      <c r="R8920"/>
      <c r="S8920"/>
      <c r="T8920"/>
      <c r="U8920"/>
    </row>
    <row r="8921" spans="1:21">
      <c r="A8921"/>
      <c r="C8921"/>
      <c r="D8921"/>
      <c r="L8921"/>
      <c r="R8921"/>
      <c r="S8921"/>
      <c r="T8921"/>
      <c r="U8921"/>
    </row>
    <row r="8922" spans="1:21">
      <c r="A8922"/>
      <c r="C8922"/>
      <c r="D8922"/>
      <c r="L8922"/>
      <c r="R8922"/>
      <c r="S8922"/>
      <c r="T8922"/>
      <c r="U8922"/>
    </row>
    <row r="8923" spans="1:21">
      <c r="A8923"/>
      <c r="C8923"/>
      <c r="D8923"/>
      <c r="L8923"/>
      <c r="R8923"/>
      <c r="S8923"/>
      <c r="T8923"/>
      <c r="U8923"/>
    </row>
    <row r="8924" spans="1:21">
      <c r="A8924"/>
      <c r="C8924"/>
      <c r="D8924"/>
      <c r="L8924"/>
      <c r="R8924"/>
      <c r="S8924"/>
      <c r="T8924"/>
      <c r="U8924"/>
    </row>
    <row r="8925" spans="1:21">
      <c r="A8925"/>
      <c r="C8925"/>
      <c r="D8925"/>
      <c r="L8925"/>
      <c r="R8925"/>
      <c r="S8925"/>
      <c r="T8925"/>
      <c r="U8925"/>
    </row>
    <row r="8926" spans="1:21">
      <c r="A8926"/>
      <c r="C8926"/>
      <c r="D8926"/>
      <c r="L8926"/>
      <c r="R8926"/>
      <c r="S8926"/>
      <c r="T8926"/>
      <c r="U8926"/>
    </row>
    <row r="8927" spans="1:21">
      <c r="A8927"/>
      <c r="C8927"/>
      <c r="D8927"/>
      <c r="L8927"/>
      <c r="R8927"/>
      <c r="S8927"/>
      <c r="T8927"/>
      <c r="U8927"/>
    </row>
    <row r="8928" spans="1:21">
      <c r="A8928"/>
      <c r="C8928"/>
      <c r="D8928"/>
      <c r="L8928"/>
      <c r="R8928"/>
      <c r="S8928"/>
      <c r="T8928"/>
      <c r="U8928"/>
    </row>
    <row r="8929" spans="1:21">
      <c r="A8929"/>
      <c r="C8929"/>
      <c r="D8929"/>
      <c r="L8929"/>
      <c r="R8929"/>
      <c r="S8929"/>
      <c r="T8929"/>
      <c r="U8929"/>
    </row>
    <row r="8930" spans="1:21">
      <c r="A8930"/>
      <c r="C8930"/>
      <c r="D8930"/>
      <c r="L8930"/>
      <c r="R8930"/>
      <c r="S8930"/>
      <c r="T8930"/>
      <c r="U8930"/>
    </row>
    <row r="8931" spans="1:21">
      <c r="A8931"/>
      <c r="C8931"/>
      <c r="D8931"/>
      <c r="L8931"/>
      <c r="R8931"/>
      <c r="S8931"/>
      <c r="T8931"/>
      <c r="U8931"/>
    </row>
    <row r="8932" spans="1:21">
      <c r="A8932"/>
      <c r="C8932"/>
      <c r="D8932"/>
      <c r="L8932"/>
      <c r="R8932"/>
      <c r="S8932"/>
      <c r="T8932"/>
      <c r="U8932"/>
    </row>
    <row r="8933" spans="1:21">
      <c r="A8933"/>
      <c r="C8933"/>
      <c r="D8933"/>
      <c r="L8933"/>
      <c r="R8933"/>
      <c r="S8933"/>
      <c r="T8933"/>
      <c r="U8933"/>
    </row>
    <row r="8934" spans="1:21">
      <c r="A8934"/>
      <c r="C8934"/>
      <c r="D8934"/>
      <c r="L8934"/>
      <c r="R8934"/>
      <c r="S8934"/>
      <c r="T8934"/>
      <c r="U8934"/>
    </row>
    <row r="8935" spans="1:21">
      <c r="A8935"/>
      <c r="C8935"/>
      <c r="D8935"/>
      <c r="L8935"/>
      <c r="R8935"/>
      <c r="S8935"/>
      <c r="T8935"/>
      <c r="U8935"/>
    </row>
    <row r="8936" spans="1:21">
      <c r="A8936"/>
      <c r="C8936"/>
      <c r="D8936"/>
      <c r="L8936"/>
      <c r="R8936"/>
      <c r="S8936"/>
      <c r="T8936"/>
      <c r="U8936"/>
    </row>
    <row r="8937" spans="1:21">
      <c r="A8937"/>
      <c r="C8937"/>
      <c r="D8937"/>
      <c r="L8937"/>
      <c r="R8937"/>
      <c r="S8937"/>
      <c r="T8937"/>
      <c r="U8937"/>
    </row>
    <row r="8938" spans="1:21">
      <c r="A8938"/>
      <c r="C8938"/>
      <c r="D8938"/>
      <c r="L8938"/>
      <c r="R8938"/>
      <c r="S8938"/>
      <c r="T8938"/>
      <c r="U8938"/>
    </row>
    <row r="8939" spans="1:21">
      <c r="A8939"/>
      <c r="C8939"/>
      <c r="D8939"/>
      <c r="L8939"/>
      <c r="R8939"/>
      <c r="S8939"/>
      <c r="T8939"/>
      <c r="U8939"/>
    </row>
    <row r="8940" spans="1:21">
      <c r="A8940"/>
      <c r="C8940"/>
      <c r="D8940"/>
      <c r="L8940"/>
      <c r="R8940"/>
      <c r="S8940"/>
      <c r="T8940"/>
      <c r="U8940"/>
    </row>
    <row r="8941" spans="1:21">
      <c r="A8941"/>
      <c r="C8941"/>
      <c r="D8941"/>
      <c r="L8941"/>
      <c r="R8941"/>
      <c r="S8941"/>
      <c r="T8941"/>
      <c r="U8941"/>
    </row>
    <row r="8942" spans="1:21">
      <c r="A8942"/>
      <c r="C8942"/>
      <c r="D8942"/>
      <c r="L8942"/>
      <c r="R8942"/>
      <c r="S8942"/>
      <c r="T8942"/>
      <c r="U8942"/>
    </row>
    <row r="8943" spans="1:21">
      <c r="A8943"/>
      <c r="C8943"/>
      <c r="D8943"/>
      <c r="L8943"/>
      <c r="R8943"/>
      <c r="S8943"/>
      <c r="T8943"/>
      <c r="U8943"/>
    </row>
    <row r="8944" spans="1:21">
      <c r="A8944"/>
      <c r="C8944"/>
      <c r="D8944"/>
      <c r="L8944"/>
      <c r="R8944"/>
      <c r="S8944"/>
      <c r="T8944"/>
      <c r="U8944"/>
    </row>
    <row r="8945" spans="1:21">
      <c r="A8945"/>
      <c r="C8945"/>
      <c r="D8945"/>
      <c r="L8945"/>
      <c r="R8945"/>
      <c r="S8945"/>
      <c r="T8945"/>
      <c r="U8945"/>
    </row>
    <row r="8946" spans="1:21">
      <c r="A8946"/>
      <c r="C8946"/>
      <c r="D8946"/>
      <c r="L8946"/>
      <c r="R8946"/>
      <c r="S8946"/>
      <c r="T8946"/>
      <c r="U8946"/>
    </row>
    <row r="8947" spans="1:21">
      <c r="A8947"/>
      <c r="C8947"/>
      <c r="D8947"/>
      <c r="L8947"/>
      <c r="R8947"/>
      <c r="S8947"/>
      <c r="T8947"/>
      <c r="U8947"/>
    </row>
    <row r="8948" spans="1:21">
      <c r="A8948"/>
      <c r="C8948"/>
      <c r="D8948"/>
      <c r="L8948"/>
      <c r="R8948"/>
      <c r="S8948"/>
      <c r="T8948"/>
      <c r="U8948"/>
    </row>
    <row r="8949" spans="1:21">
      <c r="A8949"/>
      <c r="C8949"/>
      <c r="D8949"/>
      <c r="L8949"/>
      <c r="R8949"/>
      <c r="S8949"/>
      <c r="T8949"/>
      <c r="U8949"/>
    </row>
    <row r="8950" spans="1:21">
      <c r="A8950"/>
      <c r="C8950"/>
      <c r="D8950"/>
      <c r="L8950"/>
      <c r="R8950"/>
      <c r="S8950"/>
      <c r="T8950"/>
      <c r="U8950"/>
    </row>
    <row r="8951" spans="1:21">
      <c r="A8951"/>
      <c r="C8951"/>
      <c r="D8951"/>
      <c r="L8951"/>
      <c r="R8951"/>
      <c r="S8951"/>
      <c r="T8951"/>
      <c r="U8951"/>
    </row>
    <row r="8952" spans="1:21">
      <c r="A8952"/>
      <c r="C8952"/>
      <c r="D8952"/>
      <c r="L8952"/>
      <c r="R8952"/>
      <c r="S8952"/>
      <c r="T8952"/>
      <c r="U8952"/>
    </row>
    <row r="8953" spans="1:21">
      <c r="A8953"/>
      <c r="C8953"/>
      <c r="D8953"/>
      <c r="L8953"/>
      <c r="R8953"/>
      <c r="S8953"/>
      <c r="T8953"/>
      <c r="U8953"/>
    </row>
    <row r="8954" spans="1:21">
      <c r="A8954"/>
      <c r="C8954"/>
      <c r="D8954"/>
      <c r="L8954"/>
      <c r="R8954"/>
      <c r="S8954"/>
      <c r="T8954"/>
      <c r="U8954"/>
    </row>
    <row r="8955" spans="1:21">
      <c r="A8955"/>
      <c r="C8955"/>
      <c r="D8955"/>
      <c r="L8955"/>
      <c r="R8955"/>
      <c r="S8955"/>
      <c r="T8955"/>
      <c r="U8955"/>
    </row>
    <row r="8956" spans="1:21">
      <c r="A8956"/>
      <c r="C8956"/>
      <c r="D8956"/>
      <c r="L8956"/>
      <c r="R8956"/>
      <c r="S8956"/>
      <c r="T8956"/>
      <c r="U8956"/>
    </row>
    <row r="8957" spans="1:21">
      <c r="A8957"/>
      <c r="C8957"/>
      <c r="D8957"/>
      <c r="L8957"/>
      <c r="R8957"/>
      <c r="S8957"/>
      <c r="T8957"/>
      <c r="U8957"/>
    </row>
    <row r="8958" spans="1:21">
      <c r="A8958"/>
      <c r="C8958"/>
      <c r="D8958"/>
      <c r="L8958"/>
      <c r="R8958"/>
      <c r="S8958"/>
      <c r="T8958"/>
      <c r="U8958"/>
    </row>
    <row r="8959" spans="1:21">
      <c r="A8959"/>
      <c r="C8959"/>
      <c r="D8959"/>
      <c r="L8959"/>
      <c r="R8959"/>
      <c r="S8959"/>
      <c r="T8959"/>
      <c r="U8959"/>
    </row>
    <row r="8960" spans="1:21">
      <c r="A8960"/>
      <c r="C8960"/>
      <c r="D8960"/>
      <c r="L8960"/>
      <c r="R8960"/>
      <c r="S8960"/>
      <c r="T8960"/>
      <c r="U8960"/>
    </row>
    <row r="8961" spans="1:21">
      <c r="A8961"/>
      <c r="C8961"/>
      <c r="D8961"/>
      <c r="L8961"/>
      <c r="R8961"/>
      <c r="S8961"/>
      <c r="T8961"/>
      <c r="U8961"/>
    </row>
    <row r="8962" spans="1:21">
      <c r="A8962"/>
      <c r="C8962"/>
      <c r="D8962"/>
      <c r="L8962"/>
      <c r="R8962"/>
      <c r="S8962"/>
      <c r="T8962"/>
      <c r="U8962"/>
    </row>
    <row r="8963" spans="1:21">
      <c r="A8963"/>
      <c r="C8963"/>
      <c r="D8963"/>
      <c r="L8963"/>
      <c r="R8963"/>
      <c r="S8963"/>
      <c r="T8963"/>
      <c r="U8963"/>
    </row>
    <row r="8964" spans="1:21">
      <c r="A8964"/>
      <c r="C8964"/>
      <c r="D8964"/>
      <c r="L8964"/>
      <c r="R8964"/>
      <c r="S8964"/>
      <c r="T8964"/>
      <c r="U8964"/>
    </row>
    <row r="8965" spans="1:21">
      <c r="A8965"/>
      <c r="C8965"/>
      <c r="D8965"/>
      <c r="L8965"/>
      <c r="R8965"/>
      <c r="S8965"/>
      <c r="T8965"/>
      <c r="U8965"/>
    </row>
    <row r="8966" spans="1:21">
      <c r="A8966"/>
      <c r="C8966"/>
      <c r="D8966"/>
      <c r="L8966"/>
      <c r="R8966"/>
      <c r="S8966"/>
      <c r="T8966"/>
      <c r="U8966"/>
    </row>
    <row r="8967" spans="1:21">
      <c r="A8967"/>
      <c r="C8967"/>
      <c r="D8967"/>
      <c r="L8967"/>
      <c r="R8967"/>
      <c r="S8967"/>
      <c r="T8967"/>
      <c r="U8967"/>
    </row>
    <row r="8968" spans="1:21">
      <c r="A8968"/>
      <c r="C8968"/>
      <c r="D8968"/>
      <c r="L8968"/>
      <c r="R8968"/>
      <c r="S8968"/>
      <c r="T8968"/>
      <c r="U8968"/>
    </row>
    <row r="8969" spans="1:21">
      <c r="A8969"/>
      <c r="C8969"/>
      <c r="D8969"/>
      <c r="L8969"/>
      <c r="R8969"/>
      <c r="S8969"/>
      <c r="T8969"/>
      <c r="U8969"/>
    </row>
    <row r="8970" spans="1:21">
      <c r="A8970"/>
      <c r="C8970"/>
      <c r="D8970"/>
      <c r="L8970"/>
      <c r="R8970"/>
      <c r="S8970"/>
      <c r="T8970"/>
      <c r="U8970"/>
    </row>
    <row r="8971" spans="1:21">
      <c r="A8971"/>
      <c r="C8971"/>
      <c r="D8971"/>
      <c r="L8971"/>
      <c r="R8971"/>
      <c r="S8971"/>
      <c r="T8971"/>
      <c r="U8971"/>
    </row>
    <row r="8972" spans="1:21">
      <c r="A8972"/>
      <c r="C8972"/>
      <c r="D8972"/>
      <c r="L8972"/>
      <c r="R8972"/>
      <c r="S8972"/>
      <c r="T8972"/>
      <c r="U8972"/>
    </row>
    <row r="8973" spans="1:21">
      <c r="A8973"/>
      <c r="C8973"/>
      <c r="D8973"/>
      <c r="L8973"/>
      <c r="R8973"/>
      <c r="S8973"/>
      <c r="T8973"/>
      <c r="U8973"/>
    </row>
    <row r="8974" spans="1:21">
      <c r="A8974"/>
      <c r="C8974"/>
      <c r="D8974"/>
      <c r="L8974"/>
      <c r="R8974"/>
      <c r="S8974"/>
      <c r="T8974"/>
      <c r="U8974"/>
    </row>
    <row r="8975" spans="1:21">
      <c r="A8975"/>
      <c r="C8975"/>
      <c r="D8975"/>
      <c r="L8975"/>
      <c r="R8975"/>
      <c r="S8975"/>
      <c r="T8975"/>
      <c r="U8975"/>
    </row>
    <row r="8976" spans="1:21">
      <c r="A8976"/>
      <c r="C8976"/>
      <c r="D8976"/>
      <c r="L8976"/>
      <c r="R8976"/>
      <c r="S8976"/>
      <c r="T8976"/>
      <c r="U8976"/>
    </row>
    <row r="8977" spans="1:21">
      <c r="A8977"/>
      <c r="C8977"/>
      <c r="D8977"/>
      <c r="L8977"/>
      <c r="R8977"/>
      <c r="S8977"/>
      <c r="T8977"/>
      <c r="U8977"/>
    </row>
    <row r="8978" spans="1:21">
      <c r="A8978"/>
      <c r="C8978"/>
      <c r="D8978"/>
      <c r="L8978"/>
      <c r="R8978"/>
      <c r="S8978"/>
      <c r="T8978"/>
      <c r="U8978"/>
    </row>
    <row r="8979" spans="1:21">
      <c r="A8979"/>
      <c r="C8979"/>
      <c r="D8979"/>
      <c r="L8979"/>
      <c r="R8979"/>
      <c r="S8979"/>
      <c r="T8979"/>
      <c r="U8979"/>
    </row>
    <row r="8980" spans="1:21">
      <c r="A8980"/>
      <c r="C8980"/>
      <c r="D8980"/>
      <c r="L8980"/>
      <c r="R8980"/>
      <c r="S8980"/>
      <c r="T8980"/>
      <c r="U8980"/>
    </row>
    <row r="8981" spans="1:21">
      <c r="A8981"/>
      <c r="C8981"/>
      <c r="D8981"/>
      <c r="L8981"/>
      <c r="R8981"/>
      <c r="S8981"/>
      <c r="T8981"/>
      <c r="U8981"/>
    </row>
    <row r="8982" spans="1:21">
      <c r="A8982"/>
      <c r="C8982"/>
      <c r="D8982"/>
      <c r="L8982"/>
      <c r="R8982"/>
      <c r="S8982"/>
      <c r="T8982"/>
      <c r="U8982"/>
    </row>
    <row r="8983" spans="1:21">
      <c r="A8983"/>
      <c r="C8983"/>
      <c r="D8983"/>
      <c r="L8983"/>
      <c r="R8983"/>
      <c r="S8983"/>
      <c r="T8983"/>
      <c r="U8983"/>
    </row>
    <row r="8984" spans="1:21">
      <c r="A8984"/>
      <c r="C8984"/>
      <c r="D8984"/>
      <c r="L8984"/>
      <c r="R8984"/>
      <c r="S8984"/>
      <c r="T8984"/>
      <c r="U8984"/>
    </row>
    <row r="8985" spans="1:21">
      <c r="A8985"/>
      <c r="C8985"/>
      <c r="D8985"/>
      <c r="L8985"/>
      <c r="R8985"/>
      <c r="S8985"/>
      <c r="T8985"/>
      <c r="U8985"/>
    </row>
    <row r="8986" spans="1:21">
      <c r="A8986"/>
      <c r="C8986"/>
      <c r="D8986"/>
      <c r="L8986"/>
      <c r="R8986"/>
      <c r="S8986"/>
      <c r="T8986"/>
      <c r="U8986"/>
    </row>
    <row r="8987" spans="1:21">
      <c r="A8987"/>
      <c r="C8987"/>
      <c r="D8987"/>
      <c r="L8987"/>
      <c r="R8987"/>
      <c r="S8987"/>
      <c r="T8987"/>
      <c r="U8987"/>
    </row>
    <row r="8988" spans="1:21">
      <c r="A8988"/>
      <c r="C8988"/>
      <c r="D8988"/>
      <c r="L8988"/>
      <c r="R8988"/>
      <c r="S8988"/>
      <c r="T8988"/>
      <c r="U8988"/>
    </row>
    <row r="8989" spans="1:21">
      <c r="A8989"/>
      <c r="C8989"/>
      <c r="D8989"/>
      <c r="L8989"/>
      <c r="R8989"/>
      <c r="S8989"/>
      <c r="T8989"/>
      <c r="U8989"/>
    </row>
    <row r="8990" spans="1:21">
      <c r="A8990"/>
      <c r="C8990"/>
      <c r="D8990"/>
      <c r="L8990"/>
      <c r="R8990"/>
      <c r="S8990"/>
      <c r="T8990"/>
      <c r="U8990"/>
    </row>
    <row r="8991" spans="1:21">
      <c r="A8991"/>
      <c r="C8991"/>
      <c r="D8991"/>
      <c r="L8991"/>
      <c r="R8991"/>
      <c r="S8991"/>
      <c r="T8991"/>
      <c r="U8991"/>
    </row>
    <row r="8992" spans="1:21">
      <c r="A8992"/>
      <c r="C8992"/>
      <c r="D8992"/>
      <c r="L8992"/>
      <c r="R8992"/>
      <c r="S8992"/>
      <c r="T8992"/>
      <c r="U8992"/>
    </row>
    <row r="8993" spans="1:21">
      <c r="A8993"/>
      <c r="C8993"/>
      <c r="D8993"/>
      <c r="L8993"/>
      <c r="R8993"/>
      <c r="S8993"/>
      <c r="T8993"/>
      <c r="U8993"/>
    </row>
    <row r="8994" spans="1:21">
      <c r="A8994"/>
      <c r="C8994"/>
      <c r="D8994"/>
      <c r="L8994"/>
      <c r="R8994"/>
      <c r="S8994"/>
      <c r="T8994"/>
      <c r="U8994"/>
    </row>
    <row r="8995" spans="1:21">
      <c r="A8995"/>
      <c r="C8995"/>
      <c r="D8995"/>
      <c r="L8995"/>
      <c r="R8995"/>
      <c r="S8995"/>
      <c r="T8995"/>
      <c r="U8995"/>
    </row>
    <row r="8996" spans="1:21">
      <c r="A8996"/>
      <c r="C8996"/>
      <c r="D8996"/>
      <c r="L8996"/>
      <c r="R8996"/>
      <c r="S8996"/>
      <c r="T8996"/>
      <c r="U8996"/>
    </row>
    <row r="8997" spans="1:21">
      <c r="A8997"/>
      <c r="C8997"/>
      <c r="D8997"/>
      <c r="L8997"/>
      <c r="R8997"/>
      <c r="S8997"/>
      <c r="T8997"/>
      <c r="U8997"/>
    </row>
    <row r="8998" spans="1:21">
      <c r="A8998"/>
      <c r="C8998"/>
      <c r="D8998"/>
      <c r="L8998"/>
      <c r="R8998"/>
      <c r="S8998"/>
      <c r="T8998"/>
      <c r="U8998"/>
    </row>
    <row r="8999" spans="1:21">
      <c r="A8999"/>
      <c r="C8999"/>
      <c r="D8999"/>
      <c r="L8999"/>
      <c r="R8999"/>
      <c r="S8999"/>
      <c r="T8999"/>
      <c r="U8999"/>
    </row>
    <row r="9000" spans="1:21">
      <c r="A9000"/>
      <c r="C9000"/>
      <c r="D9000"/>
      <c r="L9000"/>
      <c r="R9000"/>
      <c r="S9000"/>
      <c r="T9000"/>
      <c r="U9000"/>
    </row>
    <row r="9001" spans="1:21">
      <c r="A9001"/>
      <c r="C9001"/>
      <c r="D9001"/>
      <c r="L9001"/>
      <c r="R9001"/>
      <c r="S9001"/>
      <c r="T9001"/>
      <c r="U9001"/>
    </row>
    <row r="9002" spans="1:21">
      <c r="A9002"/>
      <c r="C9002"/>
      <c r="D9002"/>
      <c r="L9002"/>
      <c r="R9002"/>
      <c r="S9002"/>
      <c r="T9002"/>
      <c r="U9002"/>
    </row>
    <row r="9003" spans="1:21">
      <c r="A9003"/>
      <c r="C9003"/>
      <c r="D9003"/>
      <c r="L9003"/>
      <c r="R9003"/>
      <c r="S9003"/>
      <c r="T9003"/>
      <c r="U9003"/>
    </row>
    <row r="9004" spans="1:21">
      <c r="A9004"/>
      <c r="C9004"/>
      <c r="D9004"/>
      <c r="L9004"/>
      <c r="R9004"/>
      <c r="S9004"/>
      <c r="T9004"/>
      <c r="U9004"/>
    </row>
    <row r="9005" spans="1:21">
      <c r="A9005"/>
      <c r="C9005"/>
      <c r="D9005"/>
      <c r="L9005"/>
      <c r="R9005"/>
      <c r="S9005"/>
      <c r="T9005"/>
      <c r="U9005"/>
    </row>
    <row r="9006" spans="1:21">
      <c r="A9006"/>
      <c r="C9006"/>
      <c r="D9006"/>
      <c r="L9006"/>
      <c r="R9006"/>
      <c r="S9006"/>
      <c r="T9006"/>
      <c r="U9006"/>
    </row>
    <row r="9007" spans="1:21">
      <c r="A9007"/>
      <c r="C9007"/>
      <c r="D9007"/>
      <c r="L9007"/>
      <c r="R9007"/>
      <c r="S9007"/>
      <c r="T9007"/>
      <c r="U9007"/>
    </row>
    <row r="9008" spans="1:21">
      <c r="A9008"/>
      <c r="C9008"/>
      <c r="D9008"/>
      <c r="L9008"/>
      <c r="R9008"/>
      <c r="S9008"/>
      <c r="T9008"/>
      <c r="U9008"/>
    </row>
    <row r="9009" spans="1:21">
      <c r="A9009"/>
      <c r="C9009"/>
      <c r="D9009"/>
      <c r="L9009"/>
      <c r="R9009"/>
      <c r="S9009"/>
      <c r="T9009"/>
      <c r="U9009"/>
    </row>
    <row r="9010" spans="1:21">
      <c r="A9010"/>
      <c r="C9010"/>
      <c r="D9010"/>
      <c r="L9010"/>
      <c r="R9010"/>
      <c r="S9010"/>
      <c r="T9010"/>
      <c r="U9010"/>
    </row>
    <row r="9011" spans="1:21">
      <c r="A9011"/>
      <c r="C9011"/>
      <c r="D9011"/>
      <c r="L9011"/>
      <c r="R9011"/>
      <c r="S9011"/>
      <c r="T9011"/>
      <c r="U9011"/>
    </row>
    <row r="9012" spans="1:21">
      <c r="A9012"/>
      <c r="C9012"/>
      <c r="D9012"/>
      <c r="L9012"/>
      <c r="R9012"/>
      <c r="S9012"/>
      <c r="T9012"/>
      <c r="U9012"/>
    </row>
    <row r="9013" spans="1:21">
      <c r="A9013"/>
      <c r="C9013"/>
      <c r="D9013"/>
      <c r="L9013"/>
      <c r="R9013"/>
      <c r="S9013"/>
      <c r="T9013"/>
      <c r="U9013"/>
    </row>
    <row r="9014" spans="1:21">
      <c r="A9014"/>
      <c r="C9014"/>
      <c r="D9014"/>
      <c r="L9014"/>
      <c r="R9014"/>
      <c r="S9014"/>
      <c r="T9014"/>
      <c r="U9014"/>
    </row>
    <row r="9015" spans="1:21">
      <c r="A9015"/>
      <c r="C9015"/>
      <c r="D9015"/>
      <c r="L9015"/>
      <c r="R9015"/>
      <c r="S9015"/>
      <c r="T9015"/>
      <c r="U9015"/>
    </row>
    <row r="9016" spans="1:21">
      <c r="A9016"/>
      <c r="C9016"/>
      <c r="D9016"/>
      <c r="L9016"/>
      <c r="R9016"/>
      <c r="S9016"/>
      <c r="T9016"/>
      <c r="U9016"/>
    </row>
    <row r="9017" spans="1:21">
      <c r="A9017"/>
      <c r="C9017"/>
      <c r="D9017"/>
      <c r="L9017"/>
      <c r="R9017"/>
      <c r="S9017"/>
      <c r="T9017"/>
      <c r="U9017"/>
    </row>
    <row r="9018" spans="1:21">
      <c r="A9018"/>
      <c r="C9018"/>
      <c r="D9018"/>
      <c r="L9018"/>
      <c r="R9018"/>
      <c r="S9018"/>
      <c r="T9018"/>
      <c r="U9018"/>
    </row>
    <row r="9019" spans="1:21">
      <c r="A9019"/>
      <c r="C9019"/>
      <c r="D9019"/>
      <c r="L9019"/>
      <c r="R9019"/>
      <c r="S9019"/>
      <c r="T9019"/>
      <c r="U9019"/>
    </row>
    <row r="9020" spans="1:21">
      <c r="A9020"/>
      <c r="C9020"/>
      <c r="D9020"/>
      <c r="L9020"/>
      <c r="R9020"/>
      <c r="S9020"/>
      <c r="T9020"/>
      <c r="U9020"/>
    </row>
    <row r="9021" spans="1:21">
      <c r="A9021"/>
      <c r="C9021"/>
      <c r="D9021"/>
      <c r="L9021"/>
      <c r="R9021"/>
      <c r="S9021"/>
      <c r="T9021"/>
      <c r="U9021"/>
    </row>
    <row r="9022" spans="1:21">
      <c r="A9022"/>
      <c r="C9022"/>
      <c r="D9022"/>
      <c r="L9022"/>
      <c r="R9022"/>
      <c r="S9022"/>
      <c r="T9022"/>
      <c r="U9022"/>
    </row>
    <row r="9023" spans="1:21">
      <c r="A9023"/>
      <c r="C9023"/>
      <c r="D9023"/>
      <c r="L9023"/>
      <c r="R9023"/>
      <c r="S9023"/>
      <c r="T9023"/>
      <c r="U9023"/>
    </row>
    <row r="9024" spans="1:21">
      <c r="A9024"/>
      <c r="C9024"/>
      <c r="D9024"/>
      <c r="L9024"/>
      <c r="R9024"/>
      <c r="S9024"/>
      <c r="T9024"/>
      <c r="U9024"/>
    </row>
    <row r="9025" spans="1:21">
      <c r="A9025"/>
      <c r="C9025"/>
      <c r="D9025"/>
      <c r="L9025"/>
      <c r="R9025"/>
      <c r="S9025"/>
      <c r="T9025"/>
      <c r="U9025"/>
    </row>
    <row r="9026" spans="1:21">
      <c r="A9026"/>
      <c r="C9026"/>
      <c r="D9026"/>
      <c r="L9026"/>
      <c r="R9026"/>
      <c r="S9026"/>
      <c r="T9026"/>
      <c r="U9026"/>
    </row>
    <row r="9027" spans="1:21">
      <c r="A9027"/>
      <c r="C9027"/>
      <c r="D9027"/>
      <c r="L9027"/>
      <c r="R9027"/>
      <c r="S9027"/>
      <c r="T9027"/>
      <c r="U9027"/>
    </row>
    <row r="9028" spans="1:21">
      <c r="A9028"/>
      <c r="C9028"/>
      <c r="D9028"/>
      <c r="L9028"/>
      <c r="R9028"/>
      <c r="S9028"/>
      <c r="T9028"/>
      <c r="U9028"/>
    </row>
    <row r="9029" spans="1:21">
      <c r="A9029"/>
      <c r="C9029"/>
      <c r="D9029"/>
      <c r="L9029"/>
      <c r="R9029"/>
      <c r="S9029"/>
      <c r="T9029"/>
      <c r="U9029"/>
    </row>
    <row r="9030" spans="1:21">
      <c r="A9030"/>
      <c r="C9030"/>
      <c r="D9030"/>
      <c r="L9030"/>
      <c r="R9030"/>
      <c r="S9030"/>
      <c r="T9030"/>
      <c r="U9030"/>
    </row>
    <row r="9031" spans="1:21">
      <c r="A9031"/>
      <c r="C9031"/>
      <c r="D9031"/>
      <c r="L9031"/>
      <c r="R9031"/>
      <c r="S9031"/>
      <c r="T9031"/>
      <c r="U9031"/>
    </row>
    <row r="9032" spans="1:21">
      <c r="A9032"/>
      <c r="C9032"/>
      <c r="D9032"/>
      <c r="L9032"/>
      <c r="R9032"/>
      <c r="S9032"/>
      <c r="T9032"/>
      <c r="U9032"/>
    </row>
    <row r="9033" spans="1:21">
      <c r="A9033"/>
      <c r="C9033"/>
      <c r="D9033"/>
      <c r="L9033"/>
      <c r="R9033"/>
      <c r="S9033"/>
      <c r="T9033"/>
      <c r="U9033"/>
    </row>
    <row r="9034" spans="1:21">
      <c r="A9034"/>
      <c r="C9034"/>
      <c r="D9034"/>
      <c r="L9034"/>
      <c r="R9034"/>
      <c r="S9034"/>
      <c r="T9034"/>
      <c r="U9034"/>
    </row>
    <row r="9035" spans="1:21">
      <c r="A9035"/>
      <c r="C9035"/>
      <c r="D9035"/>
      <c r="L9035"/>
      <c r="R9035"/>
      <c r="S9035"/>
      <c r="T9035"/>
      <c r="U9035"/>
    </row>
    <row r="9036" spans="1:21">
      <c r="A9036"/>
      <c r="C9036"/>
      <c r="D9036"/>
      <c r="L9036"/>
      <c r="R9036"/>
      <c r="S9036"/>
      <c r="T9036"/>
      <c r="U9036"/>
    </row>
    <row r="9037" spans="1:21">
      <c r="A9037"/>
      <c r="C9037"/>
      <c r="D9037"/>
      <c r="L9037"/>
      <c r="R9037"/>
      <c r="S9037"/>
      <c r="T9037"/>
      <c r="U9037"/>
    </row>
    <row r="9038" spans="1:21">
      <c r="A9038"/>
      <c r="C9038"/>
      <c r="D9038"/>
      <c r="L9038"/>
      <c r="R9038"/>
      <c r="S9038"/>
      <c r="T9038"/>
      <c r="U9038"/>
    </row>
    <row r="9039" spans="1:21">
      <c r="A9039"/>
      <c r="C9039"/>
      <c r="D9039"/>
      <c r="L9039"/>
      <c r="R9039"/>
      <c r="S9039"/>
      <c r="T9039"/>
      <c r="U9039"/>
    </row>
    <row r="9040" spans="1:21">
      <c r="A9040"/>
      <c r="C9040"/>
      <c r="D9040"/>
      <c r="L9040"/>
      <c r="R9040"/>
      <c r="S9040"/>
      <c r="T9040"/>
      <c r="U9040"/>
    </row>
    <row r="9041" spans="1:21">
      <c r="A9041"/>
      <c r="C9041"/>
      <c r="D9041"/>
      <c r="L9041"/>
      <c r="R9041"/>
      <c r="S9041"/>
      <c r="T9041"/>
      <c r="U9041"/>
    </row>
    <row r="9042" spans="1:21">
      <c r="A9042"/>
      <c r="C9042"/>
      <c r="D9042"/>
      <c r="L9042"/>
      <c r="R9042"/>
      <c r="S9042"/>
      <c r="T9042"/>
      <c r="U9042"/>
    </row>
    <row r="9043" spans="1:21">
      <c r="A9043"/>
      <c r="C9043"/>
      <c r="D9043"/>
      <c r="L9043"/>
      <c r="R9043"/>
      <c r="S9043"/>
      <c r="T9043"/>
      <c r="U9043"/>
    </row>
    <row r="9044" spans="1:21">
      <c r="A9044"/>
      <c r="C9044"/>
      <c r="D9044"/>
      <c r="L9044"/>
      <c r="R9044"/>
      <c r="S9044"/>
      <c r="T9044"/>
      <c r="U9044"/>
    </row>
    <row r="9045" spans="1:21">
      <c r="A9045"/>
      <c r="C9045"/>
      <c r="D9045"/>
      <c r="L9045"/>
      <c r="R9045"/>
      <c r="S9045"/>
      <c r="T9045"/>
      <c r="U9045"/>
    </row>
    <row r="9046" spans="1:21">
      <c r="A9046"/>
      <c r="C9046"/>
      <c r="D9046"/>
      <c r="L9046"/>
      <c r="R9046"/>
      <c r="S9046"/>
      <c r="T9046"/>
      <c r="U9046"/>
    </row>
    <row r="9047" spans="1:21">
      <c r="A9047"/>
      <c r="C9047"/>
      <c r="D9047"/>
      <c r="L9047"/>
      <c r="R9047"/>
      <c r="S9047"/>
      <c r="T9047"/>
      <c r="U9047"/>
    </row>
    <row r="9048" spans="1:21">
      <c r="A9048"/>
      <c r="C9048"/>
      <c r="D9048"/>
      <c r="L9048"/>
      <c r="R9048"/>
      <c r="S9048"/>
      <c r="T9048"/>
      <c r="U9048"/>
    </row>
    <row r="9049" spans="1:21">
      <c r="A9049"/>
      <c r="C9049"/>
      <c r="D9049"/>
      <c r="L9049"/>
      <c r="R9049"/>
      <c r="S9049"/>
      <c r="T9049"/>
      <c r="U9049"/>
    </row>
    <row r="9050" spans="1:21">
      <c r="A9050"/>
      <c r="C9050"/>
      <c r="D9050"/>
      <c r="L9050"/>
      <c r="R9050"/>
      <c r="S9050"/>
      <c r="T9050"/>
      <c r="U9050"/>
    </row>
    <row r="9051" spans="1:21">
      <c r="A9051"/>
      <c r="C9051"/>
      <c r="D9051"/>
      <c r="L9051"/>
      <c r="R9051"/>
      <c r="S9051"/>
      <c r="T9051"/>
      <c r="U9051"/>
    </row>
    <row r="9052" spans="1:21">
      <c r="A9052"/>
      <c r="C9052"/>
      <c r="D9052"/>
      <c r="L9052"/>
      <c r="R9052"/>
      <c r="S9052"/>
      <c r="T9052"/>
      <c r="U9052"/>
    </row>
    <row r="9053" spans="1:21">
      <c r="A9053"/>
      <c r="C9053"/>
      <c r="D9053"/>
      <c r="L9053"/>
      <c r="R9053"/>
      <c r="S9053"/>
      <c r="T9053"/>
      <c r="U9053"/>
    </row>
    <row r="9054" spans="1:21">
      <c r="A9054"/>
      <c r="C9054"/>
      <c r="D9054"/>
      <c r="L9054"/>
      <c r="R9054"/>
      <c r="S9054"/>
      <c r="T9054"/>
      <c r="U9054"/>
    </row>
    <row r="9055" spans="1:21">
      <c r="A9055"/>
      <c r="C9055"/>
      <c r="D9055"/>
      <c r="L9055"/>
      <c r="R9055"/>
      <c r="S9055"/>
      <c r="T9055"/>
      <c r="U9055"/>
    </row>
    <row r="9056" spans="1:21">
      <c r="A9056"/>
      <c r="C9056"/>
      <c r="D9056"/>
      <c r="L9056"/>
      <c r="R9056"/>
      <c r="S9056"/>
      <c r="T9056"/>
      <c r="U9056"/>
    </row>
    <row r="9057" spans="1:21">
      <c r="A9057"/>
      <c r="C9057"/>
      <c r="D9057"/>
      <c r="L9057"/>
      <c r="R9057"/>
      <c r="S9057"/>
      <c r="T9057"/>
      <c r="U9057"/>
    </row>
    <row r="9058" spans="1:21">
      <c r="A9058"/>
      <c r="C9058"/>
      <c r="D9058"/>
      <c r="L9058"/>
      <c r="R9058"/>
      <c r="S9058"/>
      <c r="T9058"/>
      <c r="U9058"/>
    </row>
    <row r="9059" spans="1:21">
      <c r="A9059"/>
      <c r="C9059"/>
      <c r="D9059"/>
      <c r="L9059"/>
      <c r="R9059"/>
      <c r="S9059"/>
      <c r="T9059"/>
      <c r="U9059"/>
    </row>
    <row r="9060" spans="1:21">
      <c r="A9060"/>
      <c r="C9060"/>
      <c r="D9060"/>
      <c r="L9060"/>
      <c r="R9060"/>
      <c r="S9060"/>
      <c r="T9060"/>
      <c r="U9060"/>
    </row>
    <row r="9061" spans="1:21">
      <c r="A9061"/>
      <c r="C9061"/>
      <c r="D9061"/>
      <c r="L9061"/>
      <c r="R9061"/>
      <c r="S9061"/>
      <c r="T9061"/>
      <c r="U9061"/>
    </row>
    <row r="9062" spans="1:21">
      <c r="A9062"/>
      <c r="C9062"/>
      <c r="D9062"/>
      <c r="L9062"/>
      <c r="R9062"/>
      <c r="S9062"/>
      <c r="T9062"/>
      <c r="U9062"/>
    </row>
    <row r="9063" spans="1:21">
      <c r="A9063"/>
      <c r="C9063"/>
      <c r="D9063"/>
      <c r="L9063"/>
      <c r="R9063"/>
      <c r="S9063"/>
      <c r="T9063"/>
      <c r="U9063"/>
    </row>
    <row r="9064" spans="1:21">
      <c r="A9064"/>
      <c r="C9064"/>
      <c r="D9064"/>
      <c r="L9064"/>
      <c r="R9064"/>
      <c r="S9064"/>
      <c r="T9064"/>
      <c r="U9064"/>
    </row>
    <row r="9065" spans="1:21">
      <c r="A9065"/>
      <c r="C9065"/>
      <c r="D9065"/>
      <c r="L9065"/>
      <c r="R9065"/>
      <c r="S9065"/>
      <c r="T9065"/>
      <c r="U9065"/>
    </row>
    <row r="9066" spans="1:21">
      <c r="A9066"/>
      <c r="C9066"/>
      <c r="D9066"/>
      <c r="L9066"/>
      <c r="R9066"/>
      <c r="S9066"/>
      <c r="T9066"/>
      <c r="U9066"/>
    </row>
    <row r="9067" spans="1:21">
      <c r="A9067"/>
      <c r="C9067"/>
      <c r="D9067"/>
      <c r="L9067"/>
      <c r="R9067"/>
      <c r="S9067"/>
      <c r="T9067"/>
      <c r="U9067"/>
    </row>
    <row r="9068" spans="1:21">
      <c r="A9068"/>
      <c r="C9068"/>
      <c r="D9068"/>
      <c r="L9068"/>
      <c r="R9068"/>
      <c r="S9068"/>
      <c r="T9068"/>
      <c r="U9068"/>
    </row>
    <row r="9069" spans="1:21">
      <c r="A9069"/>
      <c r="C9069"/>
      <c r="D9069"/>
      <c r="L9069"/>
      <c r="R9069"/>
      <c r="S9069"/>
      <c r="T9069"/>
      <c r="U9069"/>
    </row>
    <row r="9070" spans="1:21">
      <c r="A9070"/>
      <c r="C9070"/>
      <c r="D9070"/>
      <c r="L9070"/>
      <c r="R9070"/>
      <c r="S9070"/>
      <c r="T9070"/>
      <c r="U9070"/>
    </row>
    <row r="9071" spans="1:21">
      <c r="A9071"/>
      <c r="C9071"/>
      <c r="D9071"/>
      <c r="L9071"/>
      <c r="R9071"/>
      <c r="S9071"/>
      <c r="T9071"/>
      <c r="U9071"/>
    </row>
    <row r="9072" spans="1:21">
      <c r="A9072"/>
      <c r="C9072"/>
      <c r="D9072"/>
      <c r="L9072"/>
      <c r="R9072"/>
      <c r="S9072"/>
      <c r="T9072"/>
      <c r="U9072"/>
    </row>
    <row r="9073" spans="1:21">
      <c r="A9073"/>
      <c r="C9073"/>
      <c r="D9073"/>
      <c r="L9073"/>
      <c r="R9073"/>
      <c r="S9073"/>
      <c r="T9073"/>
      <c r="U9073"/>
    </row>
    <row r="9074" spans="1:21">
      <c r="A9074"/>
      <c r="C9074"/>
      <c r="D9074"/>
      <c r="L9074"/>
      <c r="R9074"/>
      <c r="S9074"/>
      <c r="T9074"/>
      <c r="U9074"/>
    </row>
    <row r="9075" spans="1:21">
      <c r="A9075"/>
      <c r="C9075"/>
      <c r="D9075"/>
      <c r="L9075"/>
      <c r="R9075"/>
      <c r="S9075"/>
      <c r="T9075"/>
      <c r="U9075"/>
    </row>
    <row r="9076" spans="1:21">
      <c r="A9076"/>
      <c r="C9076"/>
      <c r="D9076"/>
      <c r="L9076"/>
      <c r="R9076"/>
      <c r="S9076"/>
      <c r="T9076"/>
      <c r="U9076"/>
    </row>
    <row r="9077" spans="1:21">
      <c r="A9077"/>
      <c r="C9077"/>
      <c r="D9077"/>
      <c r="L9077"/>
      <c r="R9077"/>
      <c r="S9077"/>
      <c r="T9077"/>
      <c r="U9077"/>
    </row>
    <row r="9078" spans="1:21">
      <c r="A9078"/>
      <c r="C9078"/>
      <c r="D9078"/>
      <c r="L9078"/>
      <c r="R9078"/>
      <c r="S9078"/>
      <c r="T9078"/>
      <c r="U9078"/>
    </row>
    <row r="9079" spans="1:21">
      <c r="A9079"/>
      <c r="C9079"/>
      <c r="D9079"/>
      <c r="L9079"/>
      <c r="R9079"/>
      <c r="S9079"/>
      <c r="T9079"/>
      <c r="U9079"/>
    </row>
    <row r="9080" spans="1:21">
      <c r="A9080"/>
      <c r="C9080"/>
      <c r="D9080"/>
      <c r="L9080"/>
      <c r="R9080"/>
      <c r="S9080"/>
      <c r="T9080"/>
      <c r="U9080"/>
    </row>
    <row r="9081" spans="1:21">
      <c r="A9081"/>
      <c r="C9081"/>
      <c r="D9081"/>
      <c r="L9081"/>
      <c r="R9081"/>
      <c r="S9081"/>
      <c r="T9081"/>
      <c r="U9081"/>
    </row>
    <row r="9082" spans="1:21">
      <c r="A9082"/>
      <c r="C9082"/>
      <c r="D9082"/>
      <c r="L9082"/>
      <c r="R9082"/>
      <c r="S9082"/>
      <c r="T9082"/>
      <c r="U9082"/>
    </row>
    <row r="9083" spans="1:21">
      <c r="A9083"/>
      <c r="C9083"/>
      <c r="D9083"/>
      <c r="L9083"/>
      <c r="R9083"/>
      <c r="S9083"/>
      <c r="T9083"/>
      <c r="U9083"/>
    </row>
    <row r="9084" spans="1:21">
      <c r="A9084"/>
      <c r="C9084"/>
      <c r="D9084"/>
      <c r="L9084"/>
      <c r="R9084"/>
      <c r="S9084"/>
      <c r="T9084"/>
      <c r="U9084"/>
    </row>
    <row r="9085" spans="1:21">
      <c r="A9085"/>
      <c r="C9085"/>
      <c r="D9085"/>
      <c r="L9085"/>
      <c r="R9085"/>
      <c r="S9085"/>
      <c r="T9085"/>
      <c r="U9085"/>
    </row>
    <row r="9086" spans="1:21">
      <c r="A9086"/>
      <c r="C9086"/>
      <c r="D9086"/>
      <c r="L9086"/>
      <c r="R9086"/>
      <c r="S9086"/>
      <c r="T9086"/>
      <c r="U9086"/>
    </row>
    <row r="9087" spans="1:21">
      <c r="A9087"/>
      <c r="C9087"/>
      <c r="D9087"/>
      <c r="L9087"/>
      <c r="R9087"/>
      <c r="S9087"/>
      <c r="T9087"/>
      <c r="U9087"/>
    </row>
    <row r="9088" spans="1:21">
      <c r="A9088"/>
      <c r="C9088"/>
      <c r="D9088"/>
      <c r="L9088"/>
      <c r="R9088"/>
      <c r="S9088"/>
      <c r="T9088"/>
      <c r="U9088"/>
    </row>
    <row r="9089" spans="1:21">
      <c r="A9089"/>
      <c r="C9089"/>
      <c r="D9089"/>
      <c r="L9089"/>
      <c r="R9089"/>
      <c r="S9089"/>
      <c r="T9089"/>
      <c r="U9089"/>
    </row>
    <row r="9090" spans="1:21">
      <c r="A9090"/>
      <c r="C9090"/>
      <c r="D9090"/>
      <c r="L9090"/>
      <c r="R9090"/>
      <c r="S9090"/>
      <c r="T9090"/>
      <c r="U9090"/>
    </row>
    <row r="9091" spans="1:21">
      <c r="A9091"/>
      <c r="C9091"/>
      <c r="D9091"/>
      <c r="L9091"/>
      <c r="R9091"/>
      <c r="S9091"/>
      <c r="T9091"/>
      <c r="U9091"/>
    </row>
    <row r="9092" spans="1:21">
      <c r="A9092"/>
      <c r="C9092"/>
      <c r="D9092"/>
      <c r="L9092"/>
      <c r="R9092"/>
      <c r="S9092"/>
      <c r="T9092"/>
      <c r="U9092"/>
    </row>
    <row r="9093" spans="1:21">
      <c r="A9093"/>
      <c r="C9093"/>
      <c r="D9093"/>
      <c r="L9093"/>
      <c r="R9093"/>
      <c r="S9093"/>
      <c r="T9093"/>
      <c r="U9093"/>
    </row>
    <row r="9094" spans="1:21">
      <c r="A9094"/>
      <c r="C9094"/>
      <c r="D9094"/>
      <c r="L9094"/>
      <c r="R9094"/>
      <c r="S9094"/>
      <c r="T9094"/>
      <c r="U9094"/>
    </row>
    <row r="9095" spans="1:21">
      <c r="A9095"/>
      <c r="C9095"/>
      <c r="D9095"/>
      <c r="L9095"/>
      <c r="R9095"/>
      <c r="S9095"/>
      <c r="T9095"/>
      <c r="U9095"/>
    </row>
    <row r="9096" spans="1:21">
      <c r="A9096"/>
      <c r="C9096"/>
      <c r="D9096"/>
      <c r="L9096"/>
      <c r="R9096"/>
      <c r="S9096"/>
      <c r="T9096"/>
      <c r="U9096"/>
    </row>
    <row r="9097" spans="1:21">
      <c r="A9097"/>
      <c r="C9097"/>
      <c r="D9097"/>
      <c r="L9097"/>
      <c r="R9097"/>
      <c r="S9097"/>
      <c r="T9097"/>
      <c r="U9097"/>
    </row>
    <row r="9098" spans="1:21">
      <c r="A9098"/>
      <c r="C9098"/>
      <c r="D9098"/>
      <c r="L9098"/>
      <c r="R9098"/>
      <c r="S9098"/>
      <c r="T9098"/>
      <c r="U9098"/>
    </row>
    <row r="9099" spans="1:21">
      <c r="A9099"/>
      <c r="C9099"/>
      <c r="D9099"/>
      <c r="L9099"/>
      <c r="R9099"/>
      <c r="S9099"/>
      <c r="T9099"/>
      <c r="U9099"/>
    </row>
    <row r="9100" spans="1:21">
      <c r="A9100"/>
      <c r="C9100"/>
      <c r="D9100"/>
      <c r="L9100"/>
      <c r="R9100"/>
      <c r="S9100"/>
      <c r="T9100"/>
      <c r="U9100"/>
    </row>
    <row r="9101" spans="1:21">
      <c r="A9101"/>
      <c r="C9101"/>
      <c r="D9101"/>
      <c r="L9101"/>
      <c r="R9101"/>
      <c r="S9101"/>
      <c r="T9101"/>
      <c r="U9101"/>
    </row>
    <row r="9102" spans="1:21">
      <c r="A9102"/>
      <c r="C9102"/>
      <c r="D9102"/>
      <c r="L9102"/>
      <c r="R9102"/>
      <c r="S9102"/>
      <c r="T9102"/>
      <c r="U9102"/>
    </row>
    <row r="9103" spans="1:21">
      <c r="A9103"/>
      <c r="C9103"/>
      <c r="D9103"/>
      <c r="L9103"/>
      <c r="R9103"/>
      <c r="S9103"/>
      <c r="T9103"/>
      <c r="U9103"/>
    </row>
    <row r="9104" spans="1:21">
      <c r="A9104"/>
      <c r="C9104"/>
      <c r="D9104"/>
      <c r="L9104"/>
      <c r="R9104"/>
      <c r="S9104"/>
      <c r="T9104"/>
      <c r="U9104"/>
    </row>
    <row r="9105" spans="1:21">
      <c r="A9105"/>
      <c r="C9105"/>
      <c r="D9105"/>
      <c r="L9105"/>
      <c r="R9105"/>
      <c r="S9105"/>
      <c r="T9105"/>
      <c r="U9105"/>
    </row>
    <row r="9106" spans="1:21">
      <c r="A9106"/>
      <c r="C9106"/>
      <c r="D9106"/>
      <c r="L9106"/>
      <c r="R9106"/>
      <c r="S9106"/>
      <c r="T9106"/>
      <c r="U9106"/>
    </row>
    <row r="9107" spans="1:21">
      <c r="A9107"/>
      <c r="C9107"/>
      <c r="D9107"/>
      <c r="L9107"/>
      <c r="R9107"/>
      <c r="S9107"/>
      <c r="T9107"/>
      <c r="U9107"/>
    </row>
    <row r="9108" spans="1:21">
      <c r="A9108"/>
      <c r="C9108"/>
      <c r="D9108"/>
      <c r="L9108"/>
      <c r="R9108"/>
      <c r="S9108"/>
      <c r="T9108"/>
      <c r="U9108"/>
    </row>
    <row r="9109" spans="1:21">
      <c r="A9109"/>
      <c r="C9109"/>
      <c r="D9109"/>
      <c r="L9109"/>
      <c r="R9109"/>
      <c r="S9109"/>
      <c r="T9109"/>
      <c r="U9109"/>
    </row>
    <row r="9110" spans="1:21">
      <c r="A9110"/>
      <c r="C9110"/>
      <c r="D9110"/>
      <c r="L9110"/>
      <c r="R9110"/>
      <c r="S9110"/>
      <c r="T9110"/>
      <c r="U9110"/>
    </row>
    <row r="9111" spans="1:21">
      <c r="A9111"/>
      <c r="C9111"/>
      <c r="D9111"/>
      <c r="L9111"/>
      <c r="R9111"/>
      <c r="S9111"/>
      <c r="T9111"/>
      <c r="U9111"/>
    </row>
    <row r="9112" spans="1:21">
      <c r="A9112"/>
      <c r="C9112"/>
      <c r="D9112"/>
      <c r="L9112"/>
      <c r="R9112"/>
      <c r="S9112"/>
      <c r="T9112"/>
      <c r="U9112"/>
    </row>
    <row r="9113" spans="1:21">
      <c r="A9113"/>
      <c r="C9113"/>
      <c r="D9113"/>
      <c r="L9113"/>
      <c r="R9113"/>
      <c r="S9113"/>
      <c r="T9113"/>
      <c r="U9113"/>
    </row>
    <row r="9114" spans="1:21">
      <c r="A9114"/>
      <c r="C9114"/>
      <c r="D9114"/>
      <c r="L9114"/>
      <c r="R9114"/>
      <c r="S9114"/>
      <c r="T9114"/>
      <c r="U9114"/>
    </row>
    <row r="9115" spans="1:21">
      <c r="A9115"/>
      <c r="C9115"/>
      <c r="D9115"/>
      <c r="L9115"/>
      <c r="R9115"/>
      <c r="S9115"/>
      <c r="T9115"/>
      <c r="U9115"/>
    </row>
    <row r="9116" spans="1:21">
      <c r="A9116"/>
      <c r="C9116"/>
      <c r="D9116"/>
      <c r="L9116"/>
      <c r="R9116"/>
      <c r="S9116"/>
      <c r="T9116"/>
      <c r="U9116"/>
    </row>
    <row r="9117" spans="1:21">
      <c r="A9117"/>
      <c r="C9117"/>
      <c r="D9117"/>
      <c r="L9117"/>
      <c r="R9117"/>
      <c r="S9117"/>
      <c r="T9117"/>
      <c r="U9117"/>
    </row>
    <row r="9118" spans="1:21">
      <c r="A9118"/>
      <c r="C9118"/>
      <c r="D9118"/>
      <c r="L9118"/>
      <c r="R9118"/>
      <c r="S9118"/>
      <c r="T9118"/>
      <c r="U9118"/>
    </row>
    <row r="9119" spans="1:21">
      <c r="A9119"/>
      <c r="C9119"/>
      <c r="D9119"/>
      <c r="L9119"/>
      <c r="R9119"/>
      <c r="S9119"/>
      <c r="T9119"/>
      <c r="U9119"/>
    </row>
    <row r="9120" spans="1:21">
      <c r="A9120"/>
      <c r="C9120"/>
      <c r="D9120"/>
      <c r="L9120"/>
      <c r="R9120"/>
      <c r="S9120"/>
      <c r="T9120"/>
      <c r="U9120"/>
    </row>
    <row r="9121" spans="1:21">
      <c r="A9121"/>
      <c r="C9121"/>
      <c r="D9121"/>
      <c r="L9121"/>
      <c r="R9121"/>
      <c r="S9121"/>
      <c r="T9121"/>
      <c r="U9121"/>
    </row>
    <row r="9122" spans="1:21">
      <c r="A9122"/>
      <c r="C9122"/>
      <c r="D9122"/>
      <c r="L9122"/>
      <c r="R9122"/>
      <c r="S9122"/>
      <c r="T9122"/>
      <c r="U9122"/>
    </row>
    <row r="9123" spans="1:21">
      <c r="A9123"/>
      <c r="C9123"/>
      <c r="D9123"/>
      <c r="L9123"/>
      <c r="R9123"/>
      <c r="S9123"/>
      <c r="T9123"/>
      <c r="U9123"/>
    </row>
    <row r="9124" spans="1:21">
      <c r="A9124"/>
      <c r="C9124"/>
      <c r="D9124"/>
      <c r="L9124"/>
      <c r="R9124"/>
      <c r="S9124"/>
      <c r="T9124"/>
      <c r="U9124"/>
    </row>
    <row r="9125" spans="1:21">
      <c r="A9125"/>
      <c r="C9125"/>
      <c r="D9125"/>
      <c r="L9125"/>
      <c r="R9125"/>
      <c r="S9125"/>
      <c r="T9125"/>
      <c r="U9125"/>
    </row>
    <row r="9126" spans="1:21">
      <c r="A9126"/>
      <c r="C9126"/>
      <c r="D9126"/>
      <c r="L9126"/>
      <c r="R9126"/>
      <c r="S9126"/>
      <c r="T9126"/>
      <c r="U9126"/>
    </row>
    <row r="9127" spans="1:21">
      <c r="A9127"/>
      <c r="C9127"/>
      <c r="D9127"/>
      <c r="L9127"/>
      <c r="R9127"/>
      <c r="S9127"/>
      <c r="T9127"/>
      <c r="U9127"/>
    </row>
    <row r="9128" spans="1:21">
      <c r="A9128"/>
      <c r="C9128"/>
      <c r="D9128"/>
      <c r="L9128"/>
      <c r="R9128"/>
      <c r="S9128"/>
      <c r="T9128"/>
      <c r="U9128"/>
    </row>
    <row r="9129" spans="1:21">
      <c r="A9129"/>
      <c r="C9129"/>
      <c r="D9129"/>
      <c r="L9129"/>
      <c r="R9129"/>
      <c r="S9129"/>
      <c r="T9129"/>
      <c r="U9129"/>
    </row>
    <row r="9130" spans="1:21">
      <c r="A9130"/>
      <c r="C9130"/>
      <c r="D9130"/>
      <c r="L9130"/>
      <c r="R9130"/>
      <c r="S9130"/>
      <c r="T9130"/>
      <c r="U9130"/>
    </row>
    <row r="9131" spans="1:21">
      <c r="A9131"/>
      <c r="C9131"/>
      <c r="D9131"/>
      <c r="L9131"/>
      <c r="R9131"/>
      <c r="S9131"/>
      <c r="T9131"/>
      <c r="U9131"/>
    </row>
    <row r="9132" spans="1:21">
      <c r="A9132"/>
      <c r="C9132"/>
      <c r="D9132"/>
      <c r="L9132"/>
      <c r="R9132"/>
      <c r="S9132"/>
      <c r="T9132"/>
      <c r="U9132"/>
    </row>
    <row r="9133" spans="1:21">
      <c r="A9133"/>
      <c r="C9133"/>
      <c r="D9133"/>
      <c r="L9133"/>
      <c r="R9133"/>
      <c r="S9133"/>
      <c r="T9133"/>
      <c r="U9133"/>
    </row>
    <row r="9134" spans="1:21">
      <c r="A9134"/>
      <c r="C9134"/>
      <c r="D9134"/>
      <c r="L9134"/>
      <c r="R9134"/>
      <c r="S9134"/>
      <c r="T9134"/>
      <c r="U9134"/>
    </row>
    <row r="9135" spans="1:21">
      <c r="A9135"/>
      <c r="C9135"/>
      <c r="D9135"/>
      <c r="L9135"/>
      <c r="R9135"/>
      <c r="S9135"/>
      <c r="T9135"/>
      <c r="U9135"/>
    </row>
    <row r="9136" spans="1:21">
      <c r="A9136"/>
      <c r="C9136"/>
      <c r="D9136"/>
      <c r="L9136"/>
      <c r="R9136"/>
      <c r="S9136"/>
      <c r="T9136"/>
      <c r="U9136"/>
    </row>
    <row r="9137" spans="1:21">
      <c r="A9137"/>
      <c r="C9137"/>
      <c r="D9137"/>
      <c r="L9137"/>
      <c r="R9137"/>
      <c r="S9137"/>
      <c r="T9137"/>
      <c r="U9137"/>
    </row>
    <row r="9138" spans="1:21">
      <c r="A9138"/>
      <c r="C9138"/>
      <c r="D9138"/>
      <c r="L9138"/>
      <c r="R9138"/>
      <c r="S9138"/>
      <c r="T9138"/>
      <c r="U9138"/>
    </row>
    <row r="9139" spans="1:21">
      <c r="A9139"/>
      <c r="C9139"/>
      <c r="D9139"/>
      <c r="L9139"/>
      <c r="R9139"/>
      <c r="S9139"/>
      <c r="T9139"/>
      <c r="U9139"/>
    </row>
    <row r="9140" spans="1:21">
      <c r="A9140"/>
      <c r="C9140"/>
      <c r="D9140"/>
      <c r="L9140"/>
      <c r="R9140"/>
      <c r="S9140"/>
      <c r="T9140"/>
      <c r="U9140"/>
    </row>
    <row r="9141" spans="1:21">
      <c r="A9141"/>
      <c r="C9141"/>
      <c r="D9141"/>
      <c r="L9141"/>
      <c r="R9141"/>
      <c r="S9141"/>
      <c r="T9141"/>
      <c r="U9141"/>
    </row>
    <row r="9142" spans="1:21">
      <c r="A9142"/>
      <c r="C9142"/>
      <c r="D9142"/>
      <c r="L9142"/>
      <c r="R9142"/>
      <c r="S9142"/>
      <c r="T9142"/>
      <c r="U9142"/>
    </row>
    <row r="9143" spans="1:21">
      <c r="A9143"/>
      <c r="C9143"/>
      <c r="D9143"/>
      <c r="L9143"/>
      <c r="R9143"/>
      <c r="S9143"/>
      <c r="T9143"/>
      <c r="U9143"/>
    </row>
    <row r="9144" spans="1:21">
      <c r="A9144"/>
      <c r="C9144"/>
      <c r="D9144"/>
      <c r="L9144"/>
      <c r="R9144"/>
      <c r="S9144"/>
      <c r="T9144"/>
      <c r="U9144"/>
    </row>
    <row r="9145" spans="1:21">
      <c r="A9145"/>
      <c r="C9145"/>
      <c r="D9145"/>
      <c r="L9145"/>
      <c r="R9145"/>
      <c r="S9145"/>
      <c r="T9145"/>
      <c r="U9145"/>
    </row>
    <row r="9146" spans="1:21">
      <c r="A9146"/>
      <c r="C9146"/>
      <c r="D9146"/>
      <c r="L9146"/>
      <c r="R9146"/>
      <c r="S9146"/>
      <c r="T9146"/>
      <c r="U9146"/>
    </row>
    <row r="9147" spans="1:21">
      <c r="A9147"/>
      <c r="C9147"/>
      <c r="D9147"/>
      <c r="L9147"/>
      <c r="R9147"/>
      <c r="S9147"/>
      <c r="T9147"/>
      <c r="U9147"/>
    </row>
    <row r="9148" spans="1:21">
      <c r="A9148"/>
      <c r="C9148"/>
      <c r="D9148"/>
      <c r="L9148"/>
      <c r="R9148"/>
      <c r="S9148"/>
      <c r="T9148"/>
      <c r="U9148"/>
    </row>
    <row r="9149" spans="1:21">
      <c r="A9149"/>
      <c r="C9149"/>
      <c r="D9149"/>
      <c r="L9149"/>
      <c r="R9149"/>
      <c r="S9149"/>
      <c r="T9149"/>
      <c r="U9149"/>
    </row>
    <row r="9150" spans="1:21">
      <c r="A9150"/>
      <c r="C9150"/>
      <c r="D9150"/>
      <c r="L9150"/>
      <c r="R9150"/>
      <c r="S9150"/>
      <c r="T9150"/>
      <c r="U9150"/>
    </row>
    <row r="9151" spans="1:21">
      <c r="A9151"/>
      <c r="C9151"/>
      <c r="D9151"/>
      <c r="L9151"/>
      <c r="R9151"/>
      <c r="S9151"/>
      <c r="T9151"/>
      <c r="U9151"/>
    </row>
    <row r="9152" spans="1:21">
      <c r="A9152"/>
      <c r="C9152"/>
      <c r="D9152"/>
      <c r="L9152"/>
      <c r="R9152"/>
      <c r="S9152"/>
      <c r="T9152"/>
      <c r="U9152"/>
    </row>
    <row r="9153" spans="1:21">
      <c r="A9153"/>
      <c r="C9153"/>
      <c r="D9153"/>
      <c r="L9153"/>
      <c r="R9153"/>
      <c r="S9153"/>
      <c r="T9153"/>
      <c r="U9153"/>
    </row>
    <row r="9154" spans="1:21">
      <c r="A9154"/>
      <c r="C9154"/>
      <c r="D9154"/>
      <c r="L9154"/>
      <c r="R9154"/>
      <c r="S9154"/>
      <c r="T9154"/>
      <c r="U9154"/>
    </row>
    <row r="9155" spans="1:21">
      <c r="A9155"/>
      <c r="C9155"/>
      <c r="D9155"/>
      <c r="L9155"/>
      <c r="R9155"/>
      <c r="S9155"/>
      <c r="T9155"/>
      <c r="U9155"/>
    </row>
    <row r="9156" spans="1:21">
      <c r="A9156"/>
      <c r="C9156"/>
      <c r="D9156"/>
      <c r="L9156"/>
      <c r="R9156"/>
      <c r="S9156"/>
      <c r="T9156"/>
      <c r="U9156"/>
    </row>
    <row r="9157" spans="1:21">
      <c r="A9157"/>
      <c r="C9157"/>
      <c r="D9157"/>
      <c r="L9157"/>
      <c r="R9157"/>
      <c r="S9157"/>
      <c r="T9157"/>
      <c r="U9157"/>
    </row>
    <row r="9158" spans="1:21">
      <c r="A9158"/>
      <c r="C9158"/>
      <c r="D9158"/>
      <c r="L9158"/>
      <c r="R9158"/>
      <c r="S9158"/>
      <c r="T9158"/>
      <c r="U9158"/>
    </row>
    <row r="9159" spans="1:21">
      <c r="A9159"/>
      <c r="C9159"/>
      <c r="D9159"/>
      <c r="L9159"/>
      <c r="R9159"/>
      <c r="S9159"/>
      <c r="T9159"/>
      <c r="U9159"/>
    </row>
    <row r="9160" spans="1:21">
      <c r="A9160"/>
      <c r="C9160"/>
      <c r="D9160"/>
      <c r="L9160"/>
      <c r="R9160"/>
      <c r="S9160"/>
      <c r="T9160"/>
      <c r="U9160"/>
    </row>
    <row r="9161" spans="1:21">
      <c r="A9161"/>
      <c r="C9161"/>
      <c r="D9161"/>
      <c r="L9161"/>
      <c r="R9161"/>
      <c r="S9161"/>
      <c r="T9161"/>
      <c r="U9161"/>
    </row>
    <row r="9162" spans="1:21">
      <c r="A9162"/>
      <c r="C9162"/>
      <c r="D9162"/>
      <c r="L9162"/>
      <c r="R9162"/>
      <c r="S9162"/>
      <c r="T9162"/>
      <c r="U9162"/>
    </row>
    <row r="9163" spans="1:21">
      <c r="A9163"/>
      <c r="C9163"/>
      <c r="D9163"/>
      <c r="L9163"/>
      <c r="R9163"/>
      <c r="S9163"/>
      <c r="T9163"/>
      <c r="U9163"/>
    </row>
    <row r="9164" spans="1:21">
      <c r="A9164"/>
      <c r="C9164"/>
      <c r="D9164"/>
      <c r="L9164"/>
      <c r="R9164"/>
      <c r="S9164"/>
      <c r="T9164"/>
      <c r="U9164"/>
    </row>
    <row r="9165" spans="1:21">
      <c r="A9165"/>
      <c r="C9165"/>
      <c r="D9165"/>
      <c r="L9165"/>
      <c r="R9165"/>
      <c r="S9165"/>
      <c r="T9165"/>
      <c r="U9165"/>
    </row>
    <row r="9166" spans="1:21">
      <c r="A9166"/>
      <c r="C9166"/>
      <c r="D9166"/>
      <c r="L9166"/>
      <c r="R9166"/>
      <c r="S9166"/>
      <c r="T9166"/>
      <c r="U9166"/>
    </row>
    <row r="9167" spans="1:21">
      <c r="A9167"/>
      <c r="C9167"/>
      <c r="D9167"/>
      <c r="L9167"/>
      <c r="R9167"/>
      <c r="S9167"/>
      <c r="T9167"/>
      <c r="U9167"/>
    </row>
    <row r="9168" spans="1:21">
      <c r="A9168"/>
      <c r="C9168"/>
      <c r="D9168"/>
      <c r="L9168"/>
      <c r="R9168"/>
      <c r="S9168"/>
      <c r="T9168"/>
      <c r="U9168"/>
    </row>
    <row r="9169" spans="1:21">
      <c r="A9169"/>
      <c r="C9169"/>
      <c r="D9169"/>
      <c r="L9169"/>
      <c r="R9169"/>
      <c r="S9169"/>
      <c r="T9169"/>
      <c r="U9169"/>
    </row>
    <row r="9170" spans="1:21">
      <c r="A9170"/>
      <c r="C9170"/>
      <c r="D9170"/>
      <c r="L9170"/>
      <c r="R9170"/>
      <c r="S9170"/>
      <c r="T9170"/>
      <c r="U9170"/>
    </row>
    <row r="9171" spans="1:21">
      <c r="A9171"/>
      <c r="C9171"/>
      <c r="D9171"/>
      <c r="L9171"/>
      <c r="R9171"/>
      <c r="S9171"/>
      <c r="T9171"/>
      <c r="U9171"/>
    </row>
    <row r="9172" spans="1:21">
      <c r="A9172"/>
      <c r="C9172"/>
      <c r="D9172"/>
      <c r="L9172"/>
      <c r="R9172"/>
      <c r="S9172"/>
      <c r="T9172"/>
      <c r="U9172"/>
    </row>
    <row r="9173" spans="1:21">
      <c r="A9173"/>
      <c r="C9173"/>
      <c r="D9173"/>
      <c r="L9173"/>
      <c r="R9173"/>
      <c r="S9173"/>
      <c r="T9173"/>
      <c r="U9173"/>
    </row>
    <row r="9174" spans="1:21">
      <c r="A9174"/>
      <c r="C9174"/>
      <c r="D9174"/>
      <c r="L9174"/>
      <c r="R9174"/>
      <c r="S9174"/>
      <c r="T9174"/>
      <c r="U9174"/>
    </row>
    <row r="9175" spans="1:21">
      <c r="A9175"/>
      <c r="C9175"/>
      <c r="D9175"/>
      <c r="L9175"/>
      <c r="R9175"/>
      <c r="S9175"/>
      <c r="T9175"/>
      <c r="U9175"/>
    </row>
    <row r="9176" spans="1:21">
      <c r="A9176"/>
      <c r="C9176"/>
      <c r="D9176"/>
      <c r="L9176"/>
      <c r="R9176"/>
      <c r="S9176"/>
      <c r="T9176"/>
      <c r="U9176"/>
    </row>
    <row r="9177" spans="1:21">
      <c r="A9177"/>
      <c r="C9177"/>
      <c r="D9177"/>
      <c r="L9177"/>
      <c r="R9177"/>
      <c r="S9177"/>
      <c r="T9177"/>
      <c r="U9177"/>
    </row>
    <row r="9178" spans="1:21">
      <c r="A9178"/>
      <c r="C9178"/>
      <c r="D9178"/>
      <c r="L9178"/>
      <c r="R9178"/>
      <c r="S9178"/>
      <c r="T9178"/>
      <c r="U9178"/>
    </row>
    <row r="9179" spans="1:21">
      <c r="A9179"/>
      <c r="C9179"/>
      <c r="D9179"/>
      <c r="L9179"/>
      <c r="R9179"/>
      <c r="S9179"/>
      <c r="T9179"/>
      <c r="U9179"/>
    </row>
    <row r="9180" spans="1:21">
      <c r="A9180"/>
      <c r="C9180"/>
      <c r="D9180"/>
      <c r="L9180"/>
      <c r="R9180"/>
      <c r="S9180"/>
      <c r="T9180"/>
      <c r="U9180"/>
    </row>
    <row r="9181" spans="1:21">
      <c r="A9181"/>
      <c r="C9181"/>
      <c r="D9181"/>
      <c r="L9181"/>
      <c r="R9181"/>
      <c r="S9181"/>
      <c r="T9181"/>
      <c r="U9181"/>
    </row>
    <row r="9182" spans="1:21">
      <c r="A9182"/>
      <c r="C9182"/>
      <c r="D9182"/>
      <c r="L9182"/>
      <c r="R9182"/>
      <c r="S9182"/>
      <c r="T9182"/>
      <c r="U9182"/>
    </row>
    <row r="9183" spans="1:21">
      <c r="A9183"/>
      <c r="C9183"/>
      <c r="D9183"/>
      <c r="L9183"/>
      <c r="R9183"/>
      <c r="S9183"/>
      <c r="T9183"/>
      <c r="U9183"/>
    </row>
    <row r="9184" spans="1:21">
      <c r="A9184"/>
      <c r="C9184"/>
      <c r="D9184"/>
      <c r="L9184"/>
      <c r="R9184"/>
      <c r="S9184"/>
      <c r="T9184"/>
      <c r="U9184"/>
    </row>
    <row r="9185" spans="1:21">
      <c r="A9185"/>
      <c r="C9185"/>
      <c r="D9185"/>
      <c r="L9185"/>
      <c r="R9185"/>
      <c r="S9185"/>
      <c r="T9185"/>
      <c r="U9185"/>
    </row>
    <row r="9186" spans="1:21">
      <c r="A9186"/>
      <c r="C9186"/>
      <c r="D9186"/>
      <c r="L9186"/>
      <c r="R9186"/>
      <c r="S9186"/>
      <c r="T9186"/>
      <c r="U9186"/>
    </row>
    <row r="9187" spans="1:21">
      <c r="A9187"/>
      <c r="C9187"/>
      <c r="D9187"/>
      <c r="L9187"/>
      <c r="R9187"/>
      <c r="S9187"/>
      <c r="T9187"/>
      <c r="U9187"/>
    </row>
    <row r="9188" spans="1:21">
      <c r="A9188"/>
      <c r="C9188"/>
      <c r="D9188"/>
      <c r="L9188"/>
      <c r="R9188"/>
      <c r="S9188"/>
      <c r="T9188"/>
      <c r="U9188"/>
    </row>
    <row r="9189" spans="1:21">
      <c r="A9189"/>
      <c r="C9189"/>
      <c r="D9189"/>
      <c r="L9189"/>
      <c r="R9189"/>
      <c r="S9189"/>
      <c r="T9189"/>
      <c r="U9189"/>
    </row>
    <row r="9190" spans="1:21">
      <c r="A9190"/>
      <c r="C9190"/>
      <c r="D9190"/>
      <c r="L9190"/>
      <c r="R9190"/>
      <c r="S9190"/>
      <c r="T9190"/>
      <c r="U9190"/>
    </row>
    <row r="9191" spans="1:21">
      <c r="A9191"/>
      <c r="C9191"/>
      <c r="D9191"/>
      <c r="L9191"/>
      <c r="R9191"/>
      <c r="S9191"/>
      <c r="T9191"/>
      <c r="U9191"/>
    </row>
    <row r="9192" spans="1:21">
      <c r="A9192"/>
      <c r="C9192"/>
      <c r="D9192"/>
      <c r="L9192"/>
      <c r="R9192"/>
      <c r="S9192"/>
      <c r="T9192"/>
      <c r="U9192"/>
    </row>
    <row r="9193" spans="1:21">
      <c r="A9193"/>
      <c r="C9193"/>
      <c r="D9193"/>
      <c r="L9193"/>
      <c r="R9193"/>
      <c r="S9193"/>
      <c r="T9193"/>
      <c r="U9193"/>
    </row>
    <row r="9194" spans="1:21">
      <c r="A9194"/>
      <c r="C9194"/>
      <c r="D9194"/>
      <c r="L9194"/>
      <c r="R9194"/>
      <c r="S9194"/>
      <c r="T9194"/>
      <c r="U9194"/>
    </row>
    <row r="9195" spans="1:21">
      <c r="A9195"/>
      <c r="C9195"/>
      <c r="D9195"/>
      <c r="L9195"/>
      <c r="R9195"/>
      <c r="S9195"/>
      <c r="T9195"/>
      <c r="U9195"/>
    </row>
    <row r="9196" spans="1:21">
      <c r="A9196"/>
      <c r="C9196"/>
      <c r="D9196"/>
      <c r="L9196"/>
      <c r="R9196"/>
      <c r="S9196"/>
      <c r="T9196"/>
      <c r="U9196"/>
    </row>
    <row r="9197" spans="1:21">
      <c r="A9197"/>
      <c r="C9197"/>
      <c r="D9197"/>
      <c r="L9197"/>
      <c r="R9197"/>
      <c r="S9197"/>
      <c r="T9197"/>
      <c r="U9197"/>
    </row>
    <row r="9198" spans="1:21">
      <c r="A9198"/>
      <c r="C9198"/>
      <c r="D9198"/>
      <c r="L9198"/>
      <c r="R9198"/>
      <c r="S9198"/>
      <c r="T9198"/>
      <c r="U9198"/>
    </row>
    <row r="9199" spans="1:21">
      <c r="A9199"/>
      <c r="C9199"/>
      <c r="D9199"/>
      <c r="L9199"/>
      <c r="R9199"/>
      <c r="S9199"/>
      <c r="T9199"/>
      <c r="U9199"/>
    </row>
    <row r="9200" spans="1:21">
      <c r="A9200"/>
      <c r="C9200"/>
      <c r="D9200"/>
      <c r="L9200"/>
      <c r="R9200"/>
      <c r="S9200"/>
      <c r="T9200"/>
      <c r="U9200"/>
    </row>
    <row r="9201" spans="1:21">
      <c r="A9201"/>
      <c r="C9201"/>
      <c r="D9201"/>
      <c r="L9201"/>
      <c r="R9201"/>
      <c r="S9201"/>
      <c r="T9201"/>
      <c r="U9201"/>
    </row>
    <row r="9202" spans="1:21">
      <c r="A9202"/>
      <c r="C9202"/>
      <c r="D9202"/>
      <c r="L9202"/>
      <c r="R9202"/>
      <c r="S9202"/>
      <c r="T9202"/>
      <c r="U9202"/>
    </row>
    <row r="9203" spans="1:21">
      <c r="A9203"/>
      <c r="C9203"/>
      <c r="D9203"/>
      <c r="L9203"/>
      <c r="R9203"/>
      <c r="S9203"/>
      <c r="T9203"/>
      <c r="U9203"/>
    </row>
    <row r="9204" spans="1:21">
      <c r="A9204"/>
      <c r="C9204"/>
      <c r="D9204"/>
      <c r="L9204"/>
      <c r="R9204"/>
      <c r="S9204"/>
      <c r="T9204"/>
      <c r="U9204"/>
    </row>
    <row r="9205" spans="1:21">
      <c r="A9205"/>
      <c r="C9205"/>
      <c r="D9205"/>
      <c r="L9205"/>
      <c r="R9205"/>
      <c r="S9205"/>
      <c r="T9205"/>
      <c r="U9205"/>
    </row>
    <row r="9206" spans="1:21">
      <c r="A9206"/>
      <c r="C9206"/>
      <c r="D9206"/>
      <c r="L9206"/>
      <c r="R9206"/>
      <c r="S9206"/>
      <c r="T9206"/>
      <c r="U9206"/>
    </row>
    <row r="9207" spans="1:21">
      <c r="A9207"/>
      <c r="C9207"/>
      <c r="D9207"/>
      <c r="L9207"/>
      <c r="R9207"/>
      <c r="S9207"/>
      <c r="T9207"/>
      <c r="U9207"/>
    </row>
    <row r="9208" spans="1:21">
      <c r="A9208"/>
      <c r="C9208"/>
      <c r="D9208"/>
      <c r="L9208"/>
      <c r="R9208"/>
      <c r="S9208"/>
      <c r="T9208"/>
      <c r="U9208"/>
    </row>
    <row r="9209" spans="1:21">
      <c r="A9209"/>
      <c r="C9209"/>
      <c r="D9209"/>
      <c r="L9209"/>
      <c r="R9209"/>
      <c r="S9209"/>
      <c r="T9209"/>
      <c r="U9209"/>
    </row>
    <row r="9210" spans="1:21">
      <c r="A9210"/>
      <c r="C9210"/>
      <c r="D9210"/>
      <c r="L9210"/>
      <c r="R9210"/>
      <c r="S9210"/>
      <c r="T9210"/>
      <c r="U9210"/>
    </row>
    <row r="9211" spans="1:21">
      <c r="A9211"/>
      <c r="C9211"/>
      <c r="D9211"/>
      <c r="L9211"/>
      <c r="R9211"/>
      <c r="S9211"/>
      <c r="T9211"/>
      <c r="U9211"/>
    </row>
    <row r="9212" spans="1:21">
      <c r="A9212"/>
      <c r="C9212"/>
      <c r="D9212"/>
      <c r="L9212"/>
      <c r="R9212"/>
      <c r="S9212"/>
      <c r="T9212"/>
      <c r="U9212"/>
    </row>
    <row r="9213" spans="1:21">
      <c r="A9213"/>
      <c r="C9213"/>
      <c r="D9213"/>
      <c r="L9213"/>
      <c r="R9213"/>
      <c r="S9213"/>
      <c r="T9213"/>
      <c r="U9213"/>
    </row>
    <row r="9214" spans="1:21">
      <c r="A9214"/>
      <c r="C9214"/>
      <c r="D9214"/>
      <c r="L9214"/>
      <c r="R9214"/>
      <c r="S9214"/>
      <c r="T9214"/>
      <c r="U9214"/>
    </row>
    <row r="9215" spans="1:21">
      <c r="A9215"/>
      <c r="C9215"/>
      <c r="D9215"/>
      <c r="L9215"/>
      <c r="R9215"/>
      <c r="S9215"/>
      <c r="T9215"/>
      <c r="U9215"/>
    </row>
    <row r="9216" spans="1:21">
      <c r="A9216"/>
      <c r="C9216"/>
      <c r="D9216"/>
      <c r="L9216"/>
      <c r="R9216"/>
      <c r="S9216"/>
      <c r="T9216"/>
      <c r="U9216"/>
    </row>
    <row r="9217" spans="1:21">
      <c r="A9217"/>
      <c r="C9217"/>
      <c r="D9217"/>
      <c r="L9217"/>
      <c r="R9217"/>
      <c r="S9217"/>
      <c r="T9217"/>
      <c r="U9217"/>
    </row>
    <row r="9218" spans="1:21">
      <c r="A9218"/>
      <c r="C9218"/>
      <c r="D9218"/>
      <c r="L9218"/>
      <c r="R9218"/>
      <c r="S9218"/>
      <c r="T9218"/>
      <c r="U9218"/>
    </row>
    <row r="9219" spans="1:21">
      <c r="A9219"/>
      <c r="C9219"/>
      <c r="D9219"/>
      <c r="L9219"/>
      <c r="R9219"/>
      <c r="S9219"/>
      <c r="T9219"/>
      <c r="U9219"/>
    </row>
    <row r="9220" spans="1:21">
      <c r="A9220"/>
      <c r="C9220"/>
      <c r="D9220"/>
      <c r="L9220"/>
      <c r="R9220"/>
      <c r="S9220"/>
      <c r="T9220"/>
      <c r="U9220"/>
    </row>
    <row r="9221" spans="1:21">
      <c r="A9221"/>
      <c r="C9221"/>
      <c r="D9221"/>
      <c r="L9221"/>
      <c r="R9221"/>
      <c r="S9221"/>
      <c r="T9221"/>
      <c r="U9221"/>
    </row>
    <row r="9222" spans="1:21">
      <c r="A9222"/>
      <c r="C9222"/>
      <c r="D9222"/>
      <c r="L9222"/>
      <c r="R9222"/>
      <c r="S9222"/>
      <c r="T9222"/>
      <c r="U9222"/>
    </row>
    <row r="9223" spans="1:21">
      <c r="A9223"/>
      <c r="C9223"/>
      <c r="D9223"/>
      <c r="L9223"/>
      <c r="R9223"/>
      <c r="S9223"/>
      <c r="T9223"/>
      <c r="U9223"/>
    </row>
    <row r="9224" spans="1:21">
      <c r="A9224"/>
      <c r="C9224"/>
      <c r="D9224"/>
      <c r="L9224"/>
      <c r="R9224"/>
      <c r="S9224"/>
      <c r="T9224"/>
      <c r="U9224"/>
    </row>
    <row r="9225" spans="1:21">
      <c r="A9225"/>
      <c r="C9225"/>
      <c r="D9225"/>
      <c r="L9225"/>
      <c r="R9225"/>
      <c r="S9225"/>
      <c r="T9225"/>
      <c r="U9225"/>
    </row>
    <row r="9226" spans="1:21">
      <c r="A9226"/>
      <c r="C9226"/>
      <c r="D9226"/>
      <c r="L9226"/>
      <c r="R9226"/>
      <c r="S9226"/>
      <c r="T9226"/>
      <c r="U9226"/>
    </row>
    <row r="9227" spans="1:21">
      <c r="A9227"/>
      <c r="C9227"/>
      <c r="D9227"/>
      <c r="L9227"/>
      <c r="R9227"/>
      <c r="S9227"/>
      <c r="T9227"/>
      <c r="U9227"/>
    </row>
    <row r="9228" spans="1:21">
      <c r="A9228"/>
      <c r="C9228"/>
      <c r="D9228"/>
      <c r="L9228"/>
      <c r="R9228"/>
      <c r="S9228"/>
      <c r="T9228"/>
      <c r="U9228"/>
    </row>
    <row r="9229" spans="1:21">
      <c r="A9229"/>
      <c r="C9229"/>
      <c r="D9229"/>
      <c r="L9229"/>
      <c r="R9229"/>
      <c r="S9229"/>
      <c r="T9229"/>
      <c r="U9229"/>
    </row>
    <row r="9230" spans="1:21">
      <c r="A9230"/>
      <c r="C9230"/>
      <c r="D9230"/>
      <c r="L9230"/>
      <c r="R9230"/>
      <c r="S9230"/>
      <c r="T9230"/>
      <c r="U9230"/>
    </row>
    <row r="9231" spans="1:21">
      <c r="A9231"/>
      <c r="C9231"/>
      <c r="D9231"/>
      <c r="L9231"/>
      <c r="R9231"/>
      <c r="S9231"/>
      <c r="T9231"/>
      <c r="U9231"/>
    </row>
    <row r="9232" spans="1:21">
      <c r="A9232"/>
      <c r="C9232"/>
      <c r="D9232"/>
      <c r="L9232"/>
      <c r="R9232"/>
      <c r="S9232"/>
      <c r="T9232"/>
      <c r="U9232"/>
    </row>
    <row r="9233" spans="1:21">
      <c r="A9233"/>
      <c r="C9233"/>
      <c r="D9233"/>
      <c r="L9233"/>
      <c r="R9233"/>
      <c r="S9233"/>
      <c r="T9233"/>
      <c r="U9233"/>
    </row>
    <row r="9234" spans="1:21">
      <c r="A9234"/>
      <c r="C9234"/>
      <c r="D9234"/>
      <c r="L9234"/>
      <c r="R9234"/>
      <c r="S9234"/>
      <c r="T9234"/>
      <c r="U9234"/>
    </row>
    <row r="9235" spans="1:21">
      <c r="A9235"/>
      <c r="C9235"/>
      <c r="D9235"/>
      <c r="L9235"/>
      <c r="R9235"/>
      <c r="S9235"/>
      <c r="T9235"/>
      <c r="U9235"/>
    </row>
    <row r="9236" spans="1:21">
      <c r="A9236"/>
      <c r="C9236"/>
      <c r="D9236"/>
      <c r="L9236"/>
      <c r="R9236"/>
      <c r="S9236"/>
      <c r="T9236"/>
      <c r="U9236"/>
    </row>
    <row r="9237" spans="1:21">
      <c r="A9237"/>
      <c r="C9237"/>
      <c r="D9237"/>
      <c r="L9237"/>
      <c r="R9237"/>
      <c r="S9237"/>
      <c r="T9237"/>
      <c r="U9237"/>
    </row>
    <row r="9238" spans="1:21">
      <c r="A9238"/>
      <c r="C9238"/>
      <c r="D9238"/>
      <c r="L9238"/>
      <c r="R9238"/>
      <c r="S9238"/>
      <c r="T9238"/>
      <c r="U9238"/>
    </row>
    <row r="9239" spans="1:21">
      <c r="A9239"/>
      <c r="C9239"/>
      <c r="D9239"/>
      <c r="L9239"/>
      <c r="R9239"/>
      <c r="S9239"/>
      <c r="T9239"/>
      <c r="U9239"/>
    </row>
    <row r="9240" spans="1:21">
      <c r="A9240"/>
      <c r="C9240"/>
      <c r="D9240"/>
      <c r="L9240"/>
      <c r="R9240"/>
      <c r="S9240"/>
      <c r="T9240"/>
      <c r="U9240"/>
    </row>
    <row r="9241" spans="1:21">
      <c r="A9241"/>
      <c r="C9241"/>
      <c r="D9241"/>
      <c r="L9241"/>
      <c r="R9241"/>
      <c r="S9241"/>
      <c r="T9241"/>
      <c r="U9241"/>
    </row>
    <row r="9242" spans="1:21">
      <c r="A9242"/>
      <c r="C9242"/>
      <c r="D9242"/>
      <c r="L9242"/>
      <c r="R9242"/>
      <c r="S9242"/>
      <c r="T9242"/>
      <c r="U9242"/>
    </row>
    <row r="9243" spans="1:21">
      <c r="A9243"/>
      <c r="C9243"/>
      <c r="D9243"/>
      <c r="L9243"/>
      <c r="R9243"/>
      <c r="S9243"/>
      <c r="T9243"/>
      <c r="U9243"/>
    </row>
    <row r="9244" spans="1:21">
      <c r="A9244"/>
      <c r="C9244"/>
      <c r="D9244"/>
      <c r="L9244"/>
      <c r="R9244"/>
      <c r="S9244"/>
      <c r="T9244"/>
      <c r="U9244"/>
    </row>
    <row r="9245" spans="1:21">
      <c r="A9245"/>
      <c r="C9245"/>
      <c r="D9245"/>
      <c r="L9245"/>
      <c r="R9245"/>
      <c r="S9245"/>
      <c r="T9245"/>
      <c r="U9245"/>
    </row>
    <row r="9246" spans="1:21">
      <c r="A9246"/>
      <c r="C9246"/>
      <c r="D9246"/>
      <c r="L9246"/>
      <c r="R9246"/>
      <c r="S9246"/>
      <c r="T9246"/>
      <c r="U9246"/>
    </row>
    <row r="9247" spans="1:21">
      <c r="A9247"/>
      <c r="C9247"/>
      <c r="D9247"/>
      <c r="L9247"/>
      <c r="R9247"/>
      <c r="S9247"/>
      <c r="T9247"/>
      <c r="U9247"/>
    </row>
    <row r="9248" spans="1:21">
      <c r="A9248"/>
      <c r="C9248"/>
      <c r="D9248"/>
      <c r="L9248"/>
      <c r="R9248"/>
      <c r="S9248"/>
      <c r="T9248"/>
      <c r="U9248"/>
    </row>
    <row r="9249" spans="1:21">
      <c r="A9249"/>
      <c r="C9249"/>
      <c r="D9249"/>
      <c r="L9249"/>
      <c r="R9249"/>
      <c r="S9249"/>
      <c r="T9249"/>
      <c r="U9249"/>
    </row>
    <row r="9250" spans="1:21">
      <c r="A9250"/>
      <c r="C9250"/>
      <c r="D9250"/>
      <c r="L9250"/>
      <c r="R9250"/>
      <c r="S9250"/>
      <c r="T9250"/>
      <c r="U9250"/>
    </row>
    <row r="9251" spans="1:21">
      <c r="A9251"/>
      <c r="C9251"/>
      <c r="D9251"/>
      <c r="L9251"/>
      <c r="R9251"/>
      <c r="S9251"/>
      <c r="T9251"/>
      <c r="U9251"/>
    </row>
    <row r="9252" spans="1:21">
      <c r="A9252"/>
      <c r="C9252"/>
      <c r="D9252"/>
      <c r="L9252"/>
      <c r="R9252"/>
      <c r="S9252"/>
      <c r="T9252"/>
      <c r="U9252"/>
    </row>
    <row r="9253" spans="1:21">
      <c r="A9253"/>
      <c r="C9253"/>
      <c r="D9253"/>
      <c r="L9253"/>
      <c r="R9253"/>
      <c r="S9253"/>
      <c r="T9253"/>
      <c r="U9253"/>
    </row>
    <row r="9254" spans="1:21">
      <c r="A9254"/>
      <c r="C9254"/>
      <c r="D9254"/>
      <c r="L9254"/>
      <c r="R9254"/>
      <c r="S9254"/>
      <c r="T9254"/>
      <c r="U9254"/>
    </row>
    <row r="9255" spans="1:21">
      <c r="A9255"/>
      <c r="C9255"/>
      <c r="D9255"/>
      <c r="L9255"/>
      <c r="R9255"/>
      <c r="S9255"/>
      <c r="T9255"/>
      <c r="U9255"/>
    </row>
    <row r="9256" spans="1:21">
      <c r="A9256"/>
      <c r="C9256"/>
      <c r="D9256"/>
      <c r="L9256"/>
      <c r="R9256"/>
      <c r="S9256"/>
      <c r="T9256"/>
      <c r="U9256"/>
    </row>
    <row r="9257" spans="1:21">
      <c r="A9257"/>
      <c r="C9257"/>
      <c r="D9257"/>
      <c r="L9257"/>
      <c r="R9257"/>
      <c r="S9257"/>
      <c r="T9257"/>
      <c r="U9257"/>
    </row>
    <row r="9258" spans="1:21">
      <c r="A9258"/>
      <c r="C9258"/>
      <c r="D9258"/>
      <c r="L9258"/>
      <c r="R9258"/>
      <c r="S9258"/>
      <c r="T9258"/>
      <c r="U9258"/>
    </row>
    <row r="9259" spans="1:21">
      <c r="A9259"/>
      <c r="C9259"/>
      <c r="D9259"/>
      <c r="L9259"/>
      <c r="R9259"/>
      <c r="S9259"/>
      <c r="T9259"/>
      <c r="U9259"/>
    </row>
    <row r="9260" spans="1:21">
      <c r="A9260"/>
      <c r="C9260"/>
      <c r="D9260"/>
      <c r="L9260"/>
      <c r="R9260"/>
      <c r="S9260"/>
      <c r="T9260"/>
      <c r="U9260"/>
    </row>
    <row r="9261" spans="1:21">
      <c r="A9261"/>
      <c r="C9261"/>
      <c r="D9261"/>
      <c r="L9261"/>
      <c r="R9261"/>
      <c r="S9261"/>
      <c r="T9261"/>
      <c r="U9261"/>
    </row>
    <row r="9262" spans="1:21">
      <c r="A9262"/>
      <c r="C9262"/>
      <c r="D9262"/>
      <c r="L9262"/>
      <c r="R9262"/>
      <c r="S9262"/>
      <c r="T9262"/>
      <c r="U9262"/>
    </row>
    <row r="9263" spans="1:21">
      <c r="A9263"/>
      <c r="C9263"/>
      <c r="D9263"/>
      <c r="L9263"/>
      <c r="R9263"/>
      <c r="S9263"/>
      <c r="T9263"/>
      <c r="U9263"/>
    </row>
    <row r="9264" spans="1:21">
      <c r="A9264"/>
      <c r="C9264"/>
      <c r="D9264"/>
      <c r="L9264"/>
      <c r="R9264"/>
      <c r="S9264"/>
      <c r="T9264"/>
      <c r="U9264"/>
    </row>
    <row r="9265" spans="1:21">
      <c r="A9265"/>
      <c r="C9265"/>
      <c r="D9265"/>
      <c r="L9265"/>
      <c r="R9265"/>
      <c r="S9265"/>
      <c r="T9265"/>
      <c r="U9265"/>
    </row>
    <row r="9266" spans="1:21">
      <c r="A9266"/>
      <c r="C9266"/>
      <c r="D9266"/>
      <c r="L9266"/>
      <c r="R9266"/>
      <c r="S9266"/>
      <c r="T9266"/>
      <c r="U9266"/>
    </row>
    <row r="9267" spans="1:21">
      <c r="A9267"/>
      <c r="C9267"/>
      <c r="D9267"/>
      <c r="L9267"/>
      <c r="R9267"/>
      <c r="S9267"/>
      <c r="T9267"/>
      <c r="U9267"/>
    </row>
    <row r="9268" spans="1:21">
      <c r="A9268"/>
      <c r="C9268"/>
      <c r="D9268"/>
      <c r="L9268"/>
      <c r="R9268"/>
      <c r="S9268"/>
      <c r="T9268"/>
      <c r="U9268"/>
    </row>
    <row r="9269" spans="1:21">
      <c r="A9269"/>
      <c r="C9269"/>
      <c r="D9269"/>
      <c r="L9269"/>
      <c r="R9269"/>
      <c r="S9269"/>
      <c r="T9269"/>
      <c r="U9269"/>
    </row>
    <row r="9270" spans="1:21">
      <c r="A9270"/>
      <c r="C9270"/>
      <c r="D9270"/>
      <c r="L9270"/>
      <c r="R9270"/>
      <c r="S9270"/>
      <c r="T9270"/>
      <c r="U9270"/>
    </row>
    <row r="9271" spans="1:21">
      <c r="A9271"/>
      <c r="C9271"/>
      <c r="D9271"/>
      <c r="L9271"/>
      <c r="R9271"/>
      <c r="S9271"/>
      <c r="T9271"/>
      <c r="U9271"/>
    </row>
    <row r="9272" spans="1:21">
      <c r="A9272"/>
      <c r="C9272"/>
      <c r="D9272"/>
      <c r="L9272"/>
      <c r="R9272"/>
      <c r="S9272"/>
      <c r="T9272"/>
      <c r="U9272"/>
    </row>
    <row r="9273" spans="1:21">
      <c r="A9273"/>
      <c r="C9273"/>
      <c r="D9273"/>
      <c r="L9273"/>
      <c r="R9273"/>
      <c r="S9273"/>
      <c r="T9273"/>
      <c r="U9273"/>
    </row>
    <row r="9274" spans="1:21">
      <c r="A9274"/>
      <c r="C9274"/>
      <c r="D9274"/>
      <c r="L9274"/>
      <c r="R9274"/>
      <c r="S9274"/>
      <c r="T9274"/>
      <c r="U9274"/>
    </row>
    <row r="9275" spans="1:21">
      <c r="A9275"/>
      <c r="C9275"/>
      <c r="D9275"/>
      <c r="L9275"/>
      <c r="R9275"/>
      <c r="S9275"/>
      <c r="T9275"/>
      <c r="U9275"/>
    </row>
    <row r="9276" spans="1:21">
      <c r="A9276"/>
      <c r="C9276"/>
      <c r="D9276"/>
      <c r="L9276"/>
      <c r="R9276"/>
      <c r="S9276"/>
      <c r="T9276"/>
      <c r="U9276"/>
    </row>
    <row r="9277" spans="1:21">
      <c r="A9277"/>
      <c r="C9277"/>
      <c r="D9277"/>
      <c r="L9277"/>
      <c r="R9277"/>
      <c r="S9277"/>
      <c r="T9277"/>
      <c r="U9277"/>
    </row>
    <row r="9278" spans="1:21">
      <c r="A9278"/>
      <c r="C9278"/>
      <c r="D9278"/>
      <c r="L9278"/>
      <c r="R9278"/>
      <c r="S9278"/>
      <c r="T9278"/>
      <c r="U9278"/>
    </row>
    <row r="9279" spans="1:21">
      <c r="A9279"/>
      <c r="C9279"/>
      <c r="D9279"/>
      <c r="L9279"/>
      <c r="R9279"/>
      <c r="S9279"/>
      <c r="T9279"/>
      <c r="U9279"/>
    </row>
    <row r="9280" spans="1:21">
      <c r="A9280"/>
      <c r="C9280"/>
      <c r="D9280"/>
      <c r="L9280"/>
      <c r="R9280"/>
      <c r="S9280"/>
      <c r="T9280"/>
      <c r="U9280"/>
    </row>
    <row r="9281" spans="1:21">
      <c r="A9281"/>
      <c r="C9281"/>
      <c r="D9281"/>
      <c r="L9281"/>
      <c r="R9281"/>
      <c r="S9281"/>
      <c r="T9281"/>
      <c r="U9281"/>
    </row>
    <row r="9282" spans="1:21">
      <c r="A9282"/>
      <c r="C9282"/>
      <c r="D9282"/>
      <c r="L9282"/>
      <c r="R9282"/>
      <c r="S9282"/>
      <c r="T9282"/>
      <c r="U9282"/>
    </row>
    <row r="9283" spans="1:21">
      <c r="A9283"/>
      <c r="C9283"/>
      <c r="D9283"/>
      <c r="L9283"/>
      <c r="R9283"/>
      <c r="S9283"/>
      <c r="T9283"/>
      <c r="U9283"/>
    </row>
    <row r="9284" spans="1:21">
      <c r="A9284"/>
      <c r="C9284"/>
      <c r="D9284"/>
      <c r="L9284"/>
      <c r="R9284"/>
      <c r="S9284"/>
      <c r="T9284"/>
      <c r="U9284"/>
    </row>
    <row r="9285" spans="1:21">
      <c r="A9285"/>
      <c r="C9285"/>
      <c r="D9285"/>
      <c r="L9285"/>
      <c r="R9285"/>
      <c r="S9285"/>
      <c r="T9285"/>
      <c r="U9285"/>
    </row>
    <row r="9286" spans="1:21">
      <c r="A9286"/>
      <c r="C9286"/>
      <c r="D9286"/>
      <c r="L9286"/>
      <c r="R9286"/>
      <c r="S9286"/>
      <c r="T9286"/>
      <c r="U9286"/>
    </row>
    <row r="9287" spans="1:21">
      <c r="A9287"/>
      <c r="C9287"/>
      <c r="D9287"/>
      <c r="L9287"/>
      <c r="R9287"/>
      <c r="S9287"/>
      <c r="T9287"/>
      <c r="U9287"/>
    </row>
    <row r="9288" spans="1:21">
      <c r="A9288"/>
      <c r="C9288"/>
      <c r="D9288"/>
      <c r="L9288"/>
      <c r="R9288"/>
      <c r="S9288"/>
      <c r="T9288"/>
      <c r="U9288"/>
    </row>
    <row r="9289" spans="1:21">
      <c r="A9289"/>
      <c r="C9289"/>
      <c r="D9289"/>
      <c r="L9289"/>
      <c r="R9289"/>
      <c r="S9289"/>
      <c r="T9289"/>
      <c r="U9289"/>
    </row>
    <row r="9290" spans="1:21">
      <c r="A9290"/>
      <c r="C9290"/>
      <c r="D9290"/>
      <c r="L9290"/>
      <c r="R9290"/>
      <c r="S9290"/>
      <c r="T9290"/>
      <c r="U9290"/>
    </row>
    <row r="9291" spans="1:21">
      <c r="A9291"/>
      <c r="C9291"/>
      <c r="D9291"/>
      <c r="L9291"/>
      <c r="R9291"/>
      <c r="S9291"/>
      <c r="T9291"/>
      <c r="U9291"/>
    </row>
    <row r="9292" spans="1:21">
      <c r="A9292"/>
      <c r="C9292"/>
      <c r="D9292"/>
      <c r="L9292"/>
      <c r="R9292"/>
      <c r="S9292"/>
      <c r="T9292"/>
      <c r="U9292"/>
    </row>
    <row r="9293" spans="1:21">
      <c r="A9293"/>
      <c r="C9293"/>
      <c r="D9293"/>
      <c r="L9293"/>
      <c r="R9293"/>
      <c r="S9293"/>
      <c r="T9293"/>
      <c r="U9293"/>
    </row>
    <row r="9294" spans="1:21">
      <c r="A9294"/>
      <c r="C9294"/>
      <c r="D9294"/>
      <c r="L9294"/>
      <c r="R9294"/>
      <c r="S9294"/>
      <c r="T9294"/>
      <c r="U9294"/>
    </row>
    <row r="9295" spans="1:21">
      <c r="A9295"/>
      <c r="C9295"/>
      <c r="D9295"/>
      <c r="L9295"/>
      <c r="R9295"/>
      <c r="S9295"/>
      <c r="T9295"/>
      <c r="U9295"/>
    </row>
    <row r="9296" spans="1:21">
      <c r="A9296"/>
      <c r="C9296"/>
      <c r="D9296"/>
      <c r="L9296"/>
      <c r="R9296"/>
      <c r="S9296"/>
      <c r="T9296"/>
      <c r="U9296"/>
    </row>
    <row r="9297" spans="1:21">
      <c r="A9297"/>
      <c r="C9297"/>
      <c r="D9297"/>
      <c r="L9297"/>
      <c r="R9297"/>
      <c r="S9297"/>
      <c r="T9297"/>
      <c r="U9297"/>
    </row>
    <row r="9298" spans="1:21">
      <c r="A9298"/>
      <c r="C9298"/>
      <c r="D9298"/>
      <c r="L9298"/>
      <c r="R9298"/>
      <c r="S9298"/>
      <c r="T9298"/>
      <c r="U9298"/>
    </row>
    <row r="9299" spans="1:21">
      <c r="A9299"/>
      <c r="C9299"/>
      <c r="D9299"/>
      <c r="L9299"/>
      <c r="R9299"/>
      <c r="S9299"/>
      <c r="T9299"/>
      <c r="U9299"/>
    </row>
    <row r="9300" spans="1:21">
      <c r="A9300"/>
      <c r="C9300"/>
      <c r="D9300"/>
      <c r="L9300"/>
      <c r="R9300"/>
      <c r="S9300"/>
      <c r="T9300"/>
      <c r="U9300"/>
    </row>
    <row r="9301" spans="1:21">
      <c r="A9301"/>
      <c r="C9301"/>
      <c r="D9301"/>
      <c r="L9301"/>
      <c r="R9301"/>
      <c r="S9301"/>
      <c r="T9301"/>
      <c r="U9301"/>
    </row>
    <row r="9302" spans="1:21">
      <c r="A9302"/>
      <c r="C9302"/>
      <c r="D9302"/>
      <c r="L9302"/>
      <c r="R9302"/>
      <c r="S9302"/>
      <c r="T9302"/>
      <c r="U9302"/>
    </row>
    <row r="9303" spans="1:21">
      <c r="A9303"/>
      <c r="C9303"/>
      <c r="D9303"/>
      <c r="L9303"/>
      <c r="R9303"/>
      <c r="S9303"/>
      <c r="T9303"/>
      <c r="U9303"/>
    </row>
    <row r="9304" spans="1:21">
      <c r="A9304"/>
      <c r="C9304"/>
      <c r="D9304"/>
      <c r="L9304"/>
      <c r="R9304"/>
      <c r="S9304"/>
      <c r="T9304"/>
      <c r="U9304"/>
    </row>
    <row r="9305" spans="1:21">
      <c r="A9305"/>
      <c r="C9305"/>
      <c r="D9305"/>
      <c r="L9305"/>
      <c r="R9305"/>
      <c r="S9305"/>
      <c r="T9305"/>
      <c r="U9305"/>
    </row>
    <row r="9306" spans="1:21">
      <c r="A9306"/>
      <c r="C9306"/>
      <c r="D9306"/>
      <c r="L9306"/>
      <c r="R9306"/>
      <c r="S9306"/>
      <c r="T9306"/>
      <c r="U9306"/>
    </row>
    <row r="9307" spans="1:21">
      <c r="A9307"/>
      <c r="C9307"/>
      <c r="D9307"/>
      <c r="L9307"/>
      <c r="R9307"/>
      <c r="S9307"/>
      <c r="T9307"/>
      <c r="U9307"/>
    </row>
    <row r="9308" spans="1:21">
      <c r="A9308"/>
      <c r="C9308"/>
      <c r="D9308"/>
      <c r="L9308"/>
      <c r="R9308"/>
      <c r="S9308"/>
      <c r="T9308"/>
      <c r="U9308"/>
    </row>
    <row r="9309" spans="1:21">
      <c r="A9309"/>
      <c r="C9309"/>
      <c r="D9309"/>
      <c r="L9309"/>
      <c r="R9309"/>
      <c r="S9309"/>
      <c r="T9309"/>
      <c r="U9309"/>
    </row>
    <row r="9310" spans="1:21">
      <c r="A9310"/>
      <c r="C9310"/>
      <c r="D9310"/>
      <c r="L9310"/>
      <c r="R9310"/>
      <c r="S9310"/>
      <c r="T9310"/>
      <c r="U9310"/>
    </row>
    <row r="9311" spans="1:21">
      <c r="A9311"/>
      <c r="C9311"/>
      <c r="D9311"/>
      <c r="L9311"/>
      <c r="R9311"/>
      <c r="S9311"/>
      <c r="T9311"/>
      <c r="U9311"/>
    </row>
    <row r="9312" spans="1:21">
      <c r="A9312"/>
      <c r="C9312"/>
      <c r="D9312"/>
      <c r="L9312"/>
      <c r="R9312"/>
      <c r="S9312"/>
      <c r="T9312"/>
      <c r="U9312"/>
    </row>
    <row r="9313" spans="1:21">
      <c r="A9313"/>
      <c r="C9313"/>
      <c r="D9313"/>
      <c r="L9313"/>
      <c r="R9313"/>
      <c r="S9313"/>
      <c r="T9313"/>
      <c r="U9313"/>
    </row>
    <row r="9314" spans="1:21">
      <c r="A9314"/>
      <c r="C9314"/>
      <c r="D9314"/>
      <c r="L9314"/>
      <c r="R9314"/>
      <c r="S9314"/>
      <c r="T9314"/>
      <c r="U9314"/>
    </row>
    <row r="9315" spans="1:21">
      <c r="A9315"/>
      <c r="C9315"/>
      <c r="D9315"/>
      <c r="L9315"/>
      <c r="R9315"/>
      <c r="S9315"/>
      <c r="T9315"/>
      <c r="U9315"/>
    </row>
    <row r="9316" spans="1:21">
      <c r="A9316"/>
      <c r="C9316"/>
      <c r="D9316"/>
      <c r="L9316"/>
      <c r="R9316"/>
      <c r="S9316"/>
      <c r="T9316"/>
      <c r="U9316"/>
    </row>
    <row r="9317" spans="1:21">
      <c r="A9317"/>
      <c r="C9317"/>
      <c r="D9317"/>
      <c r="L9317"/>
      <c r="R9317"/>
      <c r="S9317"/>
      <c r="T9317"/>
      <c r="U9317"/>
    </row>
    <row r="9318" spans="1:21">
      <c r="A9318"/>
      <c r="C9318"/>
      <c r="D9318"/>
      <c r="L9318"/>
      <c r="R9318"/>
      <c r="S9318"/>
      <c r="T9318"/>
      <c r="U9318"/>
    </row>
    <row r="9319" spans="1:21">
      <c r="A9319"/>
      <c r="C9319"/>
      <c r="D9319"/>
      <c r="L9319"/>
      <c r="R9319"/>
      <c r="S9319"/>
      <c r="T9319"/>
      <c r="U9319"/>
    </row>
    <row r="9320" spans="1:21">
      <c r="A9320"/>
      <c r="C9320"/>
      <c r="D9320"/>
      <c r="L9320"/>
      <c r="R9320"/>
      <c r="S9320"/>
      <c r="T9320"/>
      <c r="U9320"/>
    </row>
    <row r="9321" spans="1:21">
      <c r="A9321"/>
      <c r="C9321"/>
      <c r="D9321"/>
      <c r="L9321"/>
      <c r="R9321"/>
      <c r="S9321"/>
      <c r="T9321"/>
      <c r="U9321"/>
    </row>
    <row r="9322" spans="1:21">
      <c r="A9322"/>
      <c r="C9322"/>
      <c r="D9322"/>
      <c r="L9322"/>
      <c r="R9322"/>
      <c r="S9322"/>
      <c r="T9322"/>
      <c r="U9322"/>
    </row>
    <row r="9323" spans="1:21">
      <c r="A9323"/>
      <c r="C9323"/>
      <c r="D9323"/>
      <c r="L9323"/>
      <c r="R9323"/>
      <c r="S9323"/>
      <c r="T9323"/>
      <c r="U9323"/>
    </row>
    <row r="9324" spans="1:21">
      <c r="A9324"/>
      <c r="C9324"/>
      <c r="D9324"/>
      <c r="L9324"/>
      <c r="R9324"/>
      <c r="S9324"/>
      <c r="T9324"/>
      <c r="U9324"/>
    </row>
    <row r="9325" spans="1:21">
      <c r="A9325"/>
      <c r="C9325"/>
      <c r="D9325"/>
      <c r="L9325"/>
      <c r="R9325"/>
      <c r="S9325"/>
      <c r="T9325"/>
      <c r="U9325"/>
    </row>
    <row r="9326" spans="1:21">
      <c r="A9326"/>
      <c r="C9326"/>
      <c r="D9326"/>
      <c r="L9326"/>
      <c r="R9326"/>
      <c r="S9326"/>
      <c r="T9326"/>
      <c r="U9326"/>
    </row>
    <row r="9327" spans="1:21">
      <c r="A9327"/>
      <c r="C9327"/>
      <c r="D9327"/>
      <c r="L9327"/>
      <c r="R9327"/>
      <c r="S9327"/>
      <c r="T9327"/>
      <c r="U9327"/>
    </row>
    <row r="9328" spans="1:21">
      <c r="A9328"/>
      <c r="C9328"/>
      <c r="D9328"/>
      <c r="L9328"/>
      <c r="R9328"/>
      <c r="S9328"/>
      <c r="T9328"/>
      <c r="U9328"/>
    </row>
    <row r="9329" spans="1:21">
      <c r="A9329"/>
      <c r="C9329"/>
      <c r="D9329"/>
      <c r="L9329"/>
      <c r="R9329"/>
      <c r="S9329"/>
      <c r="T9329"/>
      <c r="U9329"/>
    </row>
    <row r="9330" spans="1:21">
      <c r="A9330"/>
      <c r="C9330"/>
      <c r="D9330"/>
      <c r="L9330"/>
      <c r="R9330"/>
      <c r="S9330"/>
      <c r="T9330"/>
      <c r="U9330"/>
    </row>
    <row r="9331" spans="1:21">
      <c r="A9331"/>
      <c r="C9331"/>
      <c r="D9331"/>
      <c r="L9331"/>
      <c r="R9331"/>
      <c r="S9331"/>
      <c r="T9331"/>
      <c r="U9331"/>
    </row>
    <row r="9332" spans="1:21">
      <c r="A9332"/>
      <c r="C9332"/>
      <c r="D9332"/>
      <c r="L9332"/>
      <c r="R9332"/>
      <c r="S9332"/>
      <c r="T9332"/>
      <c r="U9332"/>
    </row>
    <row r="9333" spans="1:21">
      <c r="A9333"/>
      <c r="C9333"/>
      <c r="D9333"/>
      <c r="L9333"/>
      <c r="R9333"/>
      <c r="S9333"/>
      <c r="T9333"/>
      <c r="U9333"/>
    </row>
    <row r="9334" spans="1:21">
      <c r="A9334"/>
      <c r="C9334"/>
      <c r="D9334"/>
      <c r="L9334"/>
      <c r="R9334"/>
      <c r="S9334"/>
      <c r="T9334"/>
      <c r="U9334"/>
    </row>
    <row r="9335" spans="1:21">
      <c r="A9335"/>
      <c r="C9335"/>
      <c r="D9335"/>
      <c r="L9335"/>
      <c r="R9335"/>
      <c r="S9335"/>
      <c r="T9335"/>
      <c r="U9335"/>
    </row>
    <row r="9336" spans="1:21">
      <c r="A9336"/>
      <c r="C9336"/>
      <c r="D9336"/>
      <c r="L9336"/>
      <c r="R9336"/>
      <c r="S9336"/>
      <c r="T9336"/>
      <c r="U9336"/>
    </row>
    <row r="9337" spans="1:21">
      <c r="A9337"/>
      <c r="C9337"/>
      <c r="D9337"/>
      <c r="L9337"/>
      <c r="R9337"/>
      <c r="S9337"/>
      <c r="T9337"/>
      <c r="U9337"/>
    </row>
    <row r="9338" spans="1:21">
      <c r="A9338"/>
      <c r="C9338"/>
      <c r="D9338"/>
      <c r="L9338"/>
      <c r="R9338"/>
      <c r="S9338"/>
      <c r="T9338"/>
      <c r="U9338"/>
    </row>
    <row r="9339" spans="1:21">
      <c r="A9339"/>
      <c r="C9339"/>
      <c r="D9339"/>
      <c r="L9339"/>
      <c r="R9339"/>
      <c r="S9339"/>
      <c r="T9339"/>
      <c r="U9339"/>
    </row>
    <row r="9340" spans="1:21">
      <c r="A9340"/>
      <c r="C9340"/>
      <c r="D9340"/>
      <c r="L9340"/>
      <c r="R9340"/>
      <c r="S9340"/>
      <c r="T9340"/>
      <c r="U9340"/>
    </row>
    <row r="9341" spans="1:21">
      <c r="A9341"/>
      <c r="C9341"/>
      <c r="D9341"/>
      <c r="L9341"/>
      <c r="R9341"/>
      <c r="S9341"/>
      <c r="T9341"/>
      <c r="U9341"/>
    </row>
    <row r="9342" spans="1:21">
      <c r="A9342"/>
      <c r="C9342"/>
      <c r="D9342"/>
      <c r="L9342"/>
      <c r="R9342"/>
      <c r="S9342"/>
      <c r="T9342"/>
      <c r="U9342"/>
    </row>
    <row r="9343" spans="1:21">
      <c r="A9343"/>
      <c r="C9343"/>
      <c r="D9343"/>
      <c r="L9343"/>
      <c r="R9343"/>
      <c r="S9343"/>
      <c r="T9343"/>
      <c r="U9343"/>
    </row>
    <row r="9344" spans="1:21">
      <c r="A9344"/>
      <c r="C9344"/>
      <c r="D9344"/>
      <c r="L9344"/>
      <c r="R9344"/>
      <c r="S9344"/>
      <c r="T9344"/>
      <c r="U9344"/>
    </row>
    <row r="9345" spans="1:21">
      <c r="A9345"/>
      <c r="C9345"/>
      <c r="D9345"/>
      <c r="L9345"/>
      <c r="R9345"/>
      <c r="S9345"/>
      <c r="T9345"/>
      <c r="U9345"/>
    </row>
    <row r="9346" spans="1:21">
      <c r="A9346"/>
      <c r="C9346"/>
      <c r="D9346"/>
      <c r="L9346"/>
      <c r="R9346"/>
      <c r="S9346"/>
      <c r="T9346"/>
      <c r="U9346"/>
    </row>
    <row r="9347" spans="1:21">
      <c r="A9347"/>
      <c r="C9347"/>
      <c r="D9347"/>
      <c r="L9347"/>
      <c r="R9347"/>
      <c r="S9347"/>
      <c r="T9347"/>
      <c r="U9347"/>
    </row>
    <row r="9348" spans="1:21">
      <c r="A9348"/>
      <c r="C9348"/>
      <c r="D9348"/>
      <c r="L9348"/>
      <c r="R9348"/>
      <c r="S9348"/>
      <c r="T9348"/>
      <c r="U9348"/>
    </row>
    <row r="9349" spans="1:21">
      <c r="A9349"/>
      <c r="C9349"/>
      <c r="D9349"/>
      <c r="L9349"/>
      <c r="R9349"/>
      <c r="S9349"/>
      <c r="T9349"/>
      <c r="U9349"/>
    </row>
    <row r="9350" spans="1:21">
      <c r="A9350"/>
      <c r="C9350"/>
      <c r="D9350"/>
      <c r="L9350"/>
      <c r="R9350"/>
      <c r="S9350"/>
      <c r="T9350"/>
      <c r="U9350"/>
    </row>
    <row r="9351" spans="1:21">
      <c r="A9351"/>
      <c r="C9351"/>
      <c r="D9351"/>
      <c r="L9351"/>
      <c r="R9351"/>
      <c r="S9351"/>
      <c r="T9351"/>
      <c r="U9351"/>
    </row>
    <row r="9352" spans="1:21">
      <c r="A9352"/>
      <c r="C9352"/>
      <c r="D9352"/>
      <c r="L9352"/>
      <c r="R9352"/>
      <c r="S9352"/>
      <c r="T9352"/>
      <c r="U9352"/>
    </row>
    <row r="9353" spans="1:21">
      <c r="A9353"/>
      <c r="C9353"/>
      <c r="D9353"/>
      <c r="L9353"/>
      <c r="R9353"/>
      <c r="S9353"/>
      <c r="T9353"/>
      <c r="U9353"/>
    </row>
    <row r="9354" spans="1:21">
      <c r="A9354"/>
      <c r="C9354"/>
      <c r="D9354"/>
      <c r="L9354"/>
      <c r="R9354"/>
      <c r="S9354"/>
      <c r="T9354"/>
      <c r="U9354"/>
    </row>
    <row r="9355" spans="1:21">
      <c r="A9355"/>
      <c r="C9355"/>
      <c r="D9355"/>
      <c r="L9355"/>
      <c r="R9355"/>
      <c r="S9355"/>
      <c r="T9355"/>
      <c r="U9355"/>
    </row>
    <row r="9356" spans="1:21">
      <c r="A9356"/>
      <c r="C9356"/>
      <c r="D9356"/>
      <c r="L9356"/>
      <c r="R9356"/>
      <c r="S9356"/>
      <c r="T9356"/>
      <c r="U9356"/>
    </row>
    <row r="9357" spans="1:21">
      <c r="A9357"/>
      <c r="C9357"/>
      <c r="D9357"/>
      <c r="L9357"/>
      <c r="R9357"/>
      <c r="S9357"/>
      <c r="T9357"/>
      <c r="U9357"/>
    </row>
    <row r="9358" spans="1:21">
      <c r="A9358"/>
      <c r="C9358"/>
      <c r="D9358"/>
      <c r="L9358"/>
      <c r="R9358"/>
      <c r="S9358"/>
      <c r="T9358"/>
      <c r="U9358"/>
    </row>
    <row r="9359" spans="1:21">
      <c r="A9359"/>
      <c r="C9359"/>
      <c r="D9359"/>
      <c r="L9359"/>
      <c r="R9359"/>
      <c r="S9359"/>
      <c r="T9359"/>
      <c r="U9359"/>
    </row>
    <row r="9360" spans="1:21">
      <c r="A9360"/>
      <c r="C9360"/>
      <c r="D9360"/>
      <c r="L9360"/>
      <c r="R9360"/>
      <c r="S9360"/>
      <c r="T9360"/>
      <c r="U9360"/>
    </row>
    <row r="9361" spans="1:21">
      <c r="A9361"/>
      <c r="C9361"/>
      <c r="D9361"/>
      <c r="L9361"/>
      <c r="R9361"/>
      <c r="S9361"/>
      <c r="T9361"/>
      <c r="U9361"/>
    </row>
    <row r="9362" spans="1:21">
      <c r="A9362"/>
      <c r="C9362"/>
      <c r="D9362"/>
      <c r="L9362"/>
      <c r="R9362"/>
      <c r="S9362"/>
      <c r="T9362"/>
      <c r="U9362"/>
    </row>
    <row r="9363" spans="1:21">
      <c r="A9363"/>
      <c r="C9363"/>
      <c r="D9363"/>
      <c r="L9363"/>
      <c r="R9363"/>
      <c r="S9363"/>
      <c r="T9363"/>
      <c r="U9363"/>
    </row>
    <row r="9364" spans="1:21">
      <c r="A9364"/>
      <c r="C9364"/>
      <c r="D9364"/>
      <c r="L9364"/>
      <c r="R9364"/>
      <c r="S9364"/>
      <c r="T9364"/>
      <c r="U9364"/>
    </row>
    <row r="9365" spans="1:21">
      <c r="A9365"/>
      <c r="C9365"/>
      <c r="D9365"/>
      <c r="L9365"/>
      <c r="R9365"/>
      <c r="S9365"/>
      <c r="T9365"/>
      <c r="U9365"/>
    </row>
    <row r="9366" spans="1:21">
      <c r="A9366"/>
      <c r="C9366"/>
      <c r="D9366"/>
      <c r="L9366"/>
      <c r="R9366"/>
      <c r="S9366"/>
      <c r="T9366"/>
      <c r="U9366"/>
    </row>
    <row r="9367" spans="1:21">
      <c r="A9367"/>
      <c r="C9367"/>
      <c r="D9367"/>
      <c r="L9367"/>
      <c r="R9367"/>
      <c r="S9367"/>
      <c r="T9367"/>
      <c r="U9367"/>
    </row>
    <row r="9368" spans="1:21">
      <c r="A9368"/>
      <c r="C9368"/>
      <c r="D9368"/>
      <c r="L9368"/>
      <c r="R9368"/>
      <c r="S9368"/>
      <c r="T9368"/>
      <c r="U9368"/>
    </row>
    <row r="9369" spans="1:21">
      <c r="A9369"/>
      <c r="C9369"/>
      <c r="D9369"/>
      <c r="L9369"/>
      <c r="R9369"/>
      <c r="S9369"/>
      <c r="T9369"/>
      <c r="U9369"/>
    </row>
    <row r="9370" spans="1:21">
      <c r="A9370"/>
      <c r="C9370"/>
      <c r="D9370"/>
      <c r="L9370"/>
      <c r="R9370"/>
      <c r="S9370"/>
      <c r="T9370"/>
      <c r="U9370"/>
    </row>
    <row r="9371" spans="1:21">
      <c r="A9371"/>
      <c r="C9371"/>
      <c r="D9371"/>
      <c r="L9371"/>
      <c r="R9371"/>
      <c r="S9371"/>
      <c r="T9371"/>
      <c r="U9371"/>
    </row>
    <row r="9372" spans="1:21">
      <c r="A9372"/>
      <c r="C9372"/>
      <c r="D9372"/>
      <c r="L9372"/>
      <c r="R9372"/>
      <c r="S9372"/>
      <c r="T9372"/>
      <c r="U9372"/>
    </row>
    <row r="9373" spans="1:21">
      <c r="A9373"/>
      <c r="C9373"/>
      <c r="D9373"/>
      <c r="L9373"/>
      <c r="R9373"/>
      <c r="S9373"/>
      <c r="T9373"/>
      <c r="U9373"/>
    </row>
    <row r="9374" spans="1:21">
      <c r="A9374"/>
      <c r="C9374"/>
      <c r="D9374"/>
      <c r="L9374"/>
      <c r="R9374"/>
      <c r="S9374"/>
      <c r="T9374"/>
      <c r="U9374"/>
    </row>
    <row r="9375" spans="1:21">
      <c r="A9375"/>
      <c r="C9375"/>
      <c r="D9375"/>
      <c r="L9375"/>
      <c r="R9375"/>
      <c r="S9375"/>
      <c r="T9375"/>
      <c r="U9375"/>
    </row>
    <row r="9376" spans="1:21">
      <c r="A9376"/>
      <c r="C9376"/>
      <c r="D9376"/>
      <c r="L9376"/>
      <c r="R9376"/>
      <c r="S9376"/>
      <c r="T9376"/>
      <c r="U9376"/>
    </row>
    <row r="9377" spans="1:21">
      <c r="A9377"/>
      <c r="C9377"/>
      <c r="D9377"/>
      <c r="L9377"/>
      <c r="R9377"/>
      <c r="S9377"/>
      <c r="T9377"/>
      <c r="U9377"/>
    </row>
    <row r="9378" spans="1:21">
      <c r="A9378"/>
      <c r="C9378"/>
      <c r="D9378"/>
      <c r="L9378"/>
      <c r="R9378"/>
      <c r="S9378"/>
      <c r="T9378"/>
      <c r="U9378"/>
    </row>
    <row r="9379" spans="1:21">
      <c r="A9379"/>
      <c r="C9379"/>
      <c r="D9379"/>
      <c r="L9379"/>
      <c r="R9379"/>
      <c r="S9379"/>
      <c r="T9379"/>
      <c r="U9379"/>
    </row>
    <row r="9380" spans="1:21">
      <c r="A9380"/>
      <c r="C9380"/>
      <c r="D9380"/>
      <c r="L9380"/>
      <c r="R9380"/>
      <c r="S9380"/>
      <c r="T9380"/>
      <c r="U9380"/>
    </row>
    <row r="9381" spans="1:21">
      <c r="A9381"/>
      <c r="C9381"/>
      <c r="D9381"/>
      <c r="L9381"/>
      <c r="R9381"/>
      <c r="S9381"/>
      <c r="T9381"/>
      <c r="U9381"/>
    </row>
    <row r="9382" spans="1:21">
      <c r="A9382"/>
      <c r="C9382"/>
      <c r="D9382"/>
      <c r="L9382"/>
      <c r="R9382"/>
      <c r="S9382"/>
      <c r="T9382"/>
      <c r="U9382"/>
    </row>
    <row r="9383" spans="1:21">
      <c r="A9383"/>
      <c r="C9383"/>
      <c r="D9383"/>
      <c r="L9383"/>
      <c r="R9383"/>
      <c r="S9383"/>
      <c r="T9383"/>
      <c r="U9383"/>
    </row>
    <row r="9384" spans="1:21">
      <c r="A9384"/>
      <c r="C9384"/>
      <c r="D9384"/>
      <c r="L9384"/>
      <c r="R9384"/>
      <c r="S9384"/>
      <c r="T9384"/>
      <c r="U9384"/>
    </row>
    <row r="9385" spans="1:21">
      <c r="A9385"/>
      <c r="C9385"/>
      <c r="D9385"/>
      <c r="L9385"/>
      <c r="R9385"/>
      <c r="S9385"/>
      <c r="T9385"/>
      <c r="U9385"/>
    </row>
    <row r="9386" spans="1:21">
      <c r="A9386"/>
      <c r="C9386"/>
      <c r="D9386"/>
      <c r="L9386"/>
      <c r="R9386"/>
      <c r="S9386"/>
      <c r="T9386"/>
      <c r="U9386"/>
    </row>
    <row r="9387" spans="1:21">
      <c r="A9387"/>
      <c r="C9387"/>
      <c r="D9387"/>
      <c r="L9387"/>
      <c r="R9387"/>
      <c r="S9387"/>
      <c r="T9387"/>
      <c r="U9387"/>
    </row>
    <row r="9388" spans="1:21">
      <c r="A9388"/>
      <c r="C9388"/>
      <c r="D9388"/>
      <c r="L9388"/>
      <c r="R9388"/>
      <c r="S9388"/>
      <c r="T9388"/>
      <c r="U9388"/>
    </row>
    <row r="9389" spans="1:21">
      <c r="A9389"/>
      <c r="C9389"/>
      <c r="D9389"/>
      <c r="L9389"/>
      <c r="R9389"/>
      <c r="S9389"/>
      <c r="T9389"/>
      <c r="U9389"/>
    </row>
    <row r="9390" spans="1:21">
      <c r="A9390"/>
      <c r="C9390"/>
      <c r="D9390"/>
      <c r="L9390"/>
      <c r="R9390"/>
      <c r="S9390"/>
      <c r="T9390"/>
      <c r="U9390"/>
    </row>
    <row r="9391" spans="1:21">
      <c r="A9391"/>
      <c r="C9391"/>
      <c r="D9391"/>
      <c r="L9391"/>
      <c r="R9391"/>
      <c r="S9391"/>
      <c r="T9391"/>
      <c r="U9391"/>
    </row>
    <row r="9392" spans="1:21">
      <c r="A9392"/>
      <c r="C9392"/>
      <c r="D9392"/>
      <c r="L9392"/>
      <c r="R9392"/>
      <c r="S9392"/>
      <c r="T9392"/>
      <c r="U9392"/>
    </row>
    <row r="9393" spans="1:21">
      <c r="A9393"/>
      <c r="C9393"/>
      <c r="D9393"/>
      <c r="L9393"/>
      <c r="R9393"/>
      <c r="S9393"/>
      <c r="T9393"/>
      <c r="U9393"/>
    </row>
    <row r="9394" spans="1:21">
      <c r="A9394"/>
      <c r="C9394"/>
      <c r="D9394"/>
      <c r="L9394"/>
      <c r="R9394"/>
      <c r="S9394"/>
      <c r="T9394"/>
      <c r="U9394"/>
    </row>
    <row r="9395" spans="1:21">
      <c r="A9395"/>
      <c r="C9395"/>
      <c r="D9395"/>
      <c r="L9395"/>
      <c r="R9395"/>
      <c r="S9395"/>
      <c r="T9395"/>
      <c r="U9395"/>
    </row>
    <row r="9396" spans="1:21">
      <c r="A9396"/>
      <c r="C9396"/>
      <c r="D9396"/>
      <c r="L9396"/>
      <c r="R9396"/>
      <c r="S9396"/>
      <c r="T9396"/>
      <c r="U9396"/>
    </row>
    <row r="9397" spans="1:21">
      <c r="A9397"/>
      <c r="C9397"/>
      <c r="D9397"/>
      <c r="L9397"/>
      <c r="R9397"/>
      <c r="S9397"/>
      <c r="T9397"/>
      <c r="U9397"/>
    </row>
    <row r="9398" spans="1:21">
      <c r="A9398"/>
      <c r="C9398"/>
      <c r="D9398"/>
      <c r="L9398"/>
      <c r="R9398"/>
      <c r="S9398"/>
      <c r="T9398"/>
      <c r="U9398"/>
    </row>
    <row r="9399" spans="1:21">
      <c r="A9399"/>
      <c r="C9399"/>
      <c r="D9399"/>
      <c r="L9399"/>
      <c r="R9399"/>
      <c r="S9399"/>
      <c r="T9399"/>
      <c r="U9399"/>
    </row>
    <row r="9400" spans="1:21">
      <c r="A9400"/>
      <c r="C9400"/>
      <c r="D9400"/>
      <c r="L9400"/>
      <c r="R9400"/>
      <c r="S9400"/>
      <c r="T9400"/>
      <c r="U9400"/>
    </row>
    <row r="9401" spans="1:21">
      <c r="A9401"/>
      <c r="C9401"/>
      <c r="D9401"/>
      <c r="L9401"/>
      <c r="R9401"/>
      <c r="S9401"/>
      <c r="T9401"/>
      <c r="U9401"/>
    </row>
    <row r="9402" spans="1:21">
      <c r="A9402"/>
      <c r="C9402"/>
      <c r="D9402"/>
      <c r="L9402"/>
      <c r="R9402"/>
      <c r="S9402"/>
      <c r="T9402"/>
      <c r="U9402"/>
    </row>
    <row r="9403" spans="1:21">
      <c r="A9403"/>
      <c r="C9403"/>
      <c r="D9403"/>
      <c r="L9403"/>
      <c r="R9403"/>
      <c r="S9403"/>
      <c r="T9403"/>
      <c r="U9403"/>
    </row>
    <row r="9404" spans="1:21">
      <c r="A9404"/>
      <c r="C9404"/>
      <c r="D9404"/>
      <c r="L9404"/>
      <c r="R9404"/>
      <c r="S9404"/>
      <c r="T9404"/>
      <c r="U9404"/>
    </row>
    <row r="9405" spans="1:21">
      <c r="A9405"/>
      <c r="C9405"/>
      <c r="D9405"/>
      <c r="L9405"/>
      <c r="R9405"/>
      <c r="S9405"/>
      <c r="T9405"/>
      <c r="U9405"/>
    </row>
    <row r="9406" spans="1:21">
      <c r="A9406"/>
      <c r="C9406"/>
      <c r="D9406"/>
      <c r="L9406"/>
      <c r="R9406"/>
      <c r="S9406"/>
      <c r="T9406"/>
      <c r="U9406"/>
    </row>
    <row r="9407" spans="1:21">
      <c r="A9407"/>
      <c r="C9407"/>
      <c r="D9407"/>
      <c r="L9407"/>
      <c r="R9407"/>
      <c r="S9407"/>
      <c r="T9407"/>
      <c r="U9407"/>
    </row>
    <row r="9408" spans="1:21">
      <c r="A9408"/>
      <c r="C9408"/>
      <c r="D9408"/>
      <c r="L9408"/>
      <c r="R9408"/>
      <c r="S9408"/>
      <c r="T9408"/>
      <c r="U9408"/>
    </row>
    <row r="9409" spans="1:21">
      <c r="A9409"/>
      <c r="C9409"/>
      <c r="D9409"/>
      <c r="L9409"/>
      <c r="R9409"/>
      <c r="S9409"/>
      <c r="T9409"/>
      <c r="U9409"/>
    </row>
    <row r="9410" spans="1:21">
      <c r="A9410"/>
      <c r="C9410"/>
      <c r="D9410"/>
      <c r="L9410"/>
      <c r="R9410"/>
      <c r="S9410"/>
      <c r="T9410"/>
      <c r="U9410"/>
    </row>
    <row r="9411" spans="1:21">
      <c r="A9411"/>
      <c r="C9411"/>
      <c r="D9411"/>
      <c r="L9411"/>
      <c r="R9411"/>
      <c r="S9411"/>
      <c r="T9411"/>
      <c r="U9411"/>
    </row>
    <row r="9412" spans="1:21">
      <c r="A9412"/>
      <c r="C9412"/>
      <c r="D9412"/>
      <c r="L9412"/>
      <c r="R9412"/>
      <c r="S9412"/>
      <c r="T9412"/>
      <c r="U9412"/>
    </row>
    <row r="9413" spans="1:21">
      <c r="A9413"/>
      <c r="C9413"/>
      <c r="D9413"/>
      <c r="L9413"/>
      <c r="R9413"/>
      <c r="S9413"/>
      <c r="T9413"/>
      <c r="U9413"/>
    </row>
    <row r="9414" spans="1:21">
      <c r="A9414"/>
      <c r="C9414"/>
      <c r="D9414"/>
      <c r="L9414"/>
      <c r="R9414"/>
      <c r="S9414"/>
      <c r="T9414"/>
      <c r="U9414"/>
    </row>
    <row r="9415" spans="1:21">
      <c r="A9415"/>
      <c r="C9415"/>
      <c r="D9415"/>
      <c r="L9415"/>
      <c r="R9415"/>
      <c r="S9415"/>
      <c r="T9415"/>
      <c r="U9415"/>
    </row>
    <row r="9416" spans="1:21">
      <c r="A9416"/>
      <c r="C9416"/>
      <c r="D9416"/>
      <c r="L9416"/>
      <c r="R9416"/>
      <c r="S9416"/>
      <c r="T9416"/>
      <c r="U9416"/>
    </row>
    <row r="9417" spans="1:21">
      <c r="A9417"/>
      <c r="C9417"/>
      <c r="D9417"/>
      <c r="L9417"/>
      <c r="R9417"/>
      <c r="S9417"/>
      <c r="T9417"/>
      <c r="U9417"/>
    </row>
    <row r="9418" spans="1:21">
      <c r="A9418"/>
      <c r="C9418"/>
      <c r="D9418"/>
      <c r="L9418"/>
      <c r="R9418"/>
      <c r="S9418"/>
      <c r="T9418"/>
      <c r="U9418"/>
    </row>
    <row r="9419" spans="1:21">
      <c r="A9419"/>
      <c r="C9419"/>
      <c r="D9419"/>
      <c r="L9419"/>
      <c r="R9419"/>
      <c r="S9419"/>
      <c r="T9419"/>
      <c r="U9419"/>
    </row>
    <row r="9420" spans="1:21">
      <c r="A9420"/>
      <c r="C9420"/>
      <c r="D9420"/>
      <c r="L9420"/>
      <c r="R9420"/>
      <c r="S9420"/>
      <c r="T9420"/>
      <c r="U9420"/>
    </row>
    <row r="9421" spans="1:21">
      <c r="A9421"/>
      <c r="C9421"/>
      <c r="D9421"/>
      <c r="L9421"/>
      <c r="R9421"/>
      <c r="S9421"/>
      <c r="T9421"/>
      <c r="U9421"/>
    </row>
    <row r="9422" spans="1:21">
      <c r="A9422"/>
      <c r="C9422"/>
      <c r="D9422"/>
      <c r="L9422"/>
      <c r="R9422"/>
      <c r="S9422"/>
      <c r="T9422"/>
      <c r="U9422"/>
    </row>
    <row r="9423" spans="1:21">
      <c r="A9423"/>
      <c r="C9423"/>
      <c r="D9423"/>
      <c r="L9423"/>
      <c r="R9423"/>
      <c r="S9423"/>
      <c r="T9423"/>
      <c r="U9423"/>
    </row>
    <row r="9424" spans="1:21">
      <c r="A9424"/>
      <c r="C9424"/>
      <c r="D9424"/>
      <c r="L9424"/>
      <c r="R9424"/>
      <c r="S9424"/>
      <c r="T9424"/>
      <c r="U9424"/>
    </row>
    <row r="9425" spans="1:21">
      <c r="A9425"/>
      <c r="C9425"/>
      <c r="D9425"/>
      <c r="L9425"/>
      <c r="R9425"/>
      <c r="S9425"/>
      <c r="T9425"/>
      <c r="U9425"/>
    </row>
    <row r="9426" spans="1:21">
      <c r="A9426"/>
      <c r="C9426"/>
      <c r="D9426"/>
      <c r="L9426"/>
      <c r="R9426"/>
      <c r="S9426"/>
      <c r="T9426"/>
      <c r="U9426"/>
    </row>
    <row r="9427" spans="1:21">
      <c r="A9427"/>
      <c r="C9427"/>
      <c r="D9427"/>
      <c r="L9427"/>
      <c r="R9427"/>
      <c r="S9427"/>
      <c r="T9427"/>
      <c r="U9427"/>
    </row>
    <row r="9428" spans="1:21">
      <c r="A9428"/>
      <c r="C9428"/>
      <c r="D9428"/>
      <c r="L9428"/>
      <c r="R9428"/>
      <c r="S9428"/>
      <c r="T9428"/>
      <c r="U9428"/>
    </row>
    <row r="9429" spans="1:21">
      <c r="A9429"/>
      <c r="C9429"/>
      <c r="D9429"/>
      <c r="L9429"/>
      <c r="R9429"/>
      <c r="S9429"/>
      <c r="T9429"/>
      <c r="U9429"/>
    </row>
    <row r="9430" spans="1:21">
      <c r="A9430"/>
      <c r="C9430"/>
      <c r="D9430"/>
      <c r="L9430"/>
      <c r="R9430"/>
      <c r="S9430"/>
      <c r="T9430"/>
      <c r="U9430"/>
    </row>
    <row r="9431" spans="1:21">
      <c r="A9431"/>
      <c r="C9431"/>
      <c r="D9431"/>
      <c r="L9431"/>
      <c r="R9431"/>
      <c r="S9431"/>
      <c r="T9431"/>
      <c r="U9431"/>
    </row>
    <row r="9432" spans="1:21">
      <c r="A9432"/>
      <c r="C9432"/>
      <c r="D9432"/>
      <c r="L9432"/>
      <c r="R9432"/>
      <c r="S9432"/>
      <c r="T9432"/>
      <c r="U9432"/>
    </row>
    <row r="9433" spans="1:21">
      <c r="A9433"/>
      <c r="C9433"/>
      <c r="D9433"/>
      <c r="L9433"/>
      <c r="R9433"/>
      <c r="S9433"/>
      <c r="T9433"/>
      <c r="U9433"/>
    </row>
    <row r="9434" spans="1:21">
      <c r="A9434"/>
      <c r="C9434"/>
      <c r="D9434"/>
      <c r="L9434"/>
      <c r="R9434"/>
      <c r="S9434"/>
      <c r="T9434"/>
      <c r="U9434"/>
    </row>
    <row r="9435" spans="1:21">
      <c r="A9435"/>
      <c r="C9435"/>
      <c r="D9435"/>
      <c r="L9435"/>
      <c r="R9435"/>
      <c r="S9435"/>
      <c r="T9435"/>
      <c r="U9435"/>
    </row>
    <row r="9436" spans="1:21">
      <c r="A9436"/>
      <c r="C9436"/>
      <c r="D9436"/>
      <c r="L9436"/>
      <c r="R9436"/>
      <c r="S9436"/>
      <c r="T9436"/>
      <c r="U9436"/>
    </row>
    <row r="9437" spans="1:21">
      <c r="A9437"/>
      <c r="C9437"/>
      <c r="D9437"/>
      <c r="L9437"/>
      <c r="R9437"/>
      <c r="S9437"/>
      <c r="T9437"/>
      <c r="U9437"/>
    </row>
    <row r="9438" spans="1:21">
      <c r="A9438"/>
      <c r="C9438"/>
      <c r="D9438"/>
      <c r="L9438"/>
      <c r="R9438"/>
      <c r="S9438"/>
      <c r="T9438"/>
      <c r="U9438"/>
    </row>
    <row r="9439" spans="1:21">
      <c r="A9439"/>
      <c r="C9439"/>
      <c r="D9439"/>
      <c r="L9439"/>
      <c r="R9439"/>
      <c r="S9439"/>
      <c r="T9439"/>
      <c r="U9439"/>
    </row>
    <row r="9440" spans="1:21">
      <c r="A9440"/>
      <c r="C9440"/>
      <c r="D9440"/>
      <c r="L9440"/>
      <c r="R9440"/>
      <c r="S9440"/>
      <c r="T9440"/>
      <c r="U9440"/>
    </row>
    <row r="9441" spans="1:21">
      <c r="A9441"/>
      <c r="C9441"/>
      <c r="D9441"/>
      <c r="L9441"/>
      <c r="R9441"/>
      <c r="S9441"/>
      <c r="T9441"/>
      <c r="U9441"/>
    </row>
    <row r="9442" spans="1:21">
      <c r="A9442"/>
      <c r="C9442"/>
      <c r="D9442"/>
      <c r="L9442"/>
      <c r="R9442"/>
      <c r="S9442"/>
      <c r="T9442"/>
      <c r="U9442"/>
    </row>
    <row r="9443" spans="1:21">
      <c r="A9443"/>
      <c r="C9443"/>
      <c r="D9443"/>
      <c r="L9443"/>
      <c r="R9443"/>
      <c r="S9443"/>
      <c r="T9443"/>
      <c r="U9443"/>
    </row>
    <row r="9444" spans="1:21">
      <c r="A9444"/>
      <c r="C9444"/>
      <c r="D9444"/>
      <c r="L9444"/>
      <c r="R9444"/>
      <c r="S9444"/>
      <c r="T9444"/>
      <c r="U9444"/>
    </row>
    <row r="9445" spans="1:21">
      <c r="A9445"/>
      <c r="C9445"/>
      <c r="D9445"/>
      <c r="L9445"/>
      <c r="R9445"/>
      <c r="S9445"/>
      <c r="T9445"/>
      <c r="U9445"/>
    </row>
    <row r="9446" spans="1:21">
      <c r="A9446"/>
      <c r="C9446"/>
      <c r="D9446"/>
      <c r="L9446"/>
      <c r="R9446"/>
      <c r="S9446"/>
      <c r="T9446"/>
      <c r="U9446"/>
    </row>
    <row r="9447" spans="1:21">
      <c r="A9447"/>
      <c r="C9447"/>
      <c r="D9447"/>
      <c r="L9447"/>
      <c r="R9447"/>
      <c r="S9447"/>
      <c r="T9447"/>
      <c r="U9447"/>
    </row>
    <row r="9448" spans="1:21">
      <c r="A9448"/>
      <c r="C9448"/>
      <c r="D9448"/>
      <c r="L9448"/>
      <c r="R9448"/>
      <c r="S9448"/>
      <c r="T9448"/>
      <c r="U9448"/>
    </row>
    <row r="9449" spans="1:21">
      <c r="A9449"/>
      <c r="C9449"/>
      <c r="D9449"/>
      <c r="L9449"/>
      <c r="R9449"/>
      <c r="S9449"/>
      <c r="T9449"/>
      <c r="U9449"/>
    </row>
    <row r="9450" spans="1:21">
      <c r="A9450"/>
      <c r="C9450"/>
      <c r="D9450"/>
      <c r="L9450"/>
      <c r="R9450"/>
      <c r="S9450"/>
      <c r="T9450"/>
      <c r="U9450"/>
    </row>
    <row r="9451" spans="1:21">
      <c r="A9451"/>
      <c r="C9451"/>
      <c r="D9451"/>
      <c r="L9451"/>
      <c r="R9451"/>
      <c r="S9451"/>
      <c r="T9451"/>
      <c r="U9451"/>
    </row>
    <row r="9452" spans="1:21">
      <c r="A9452"/>
      <c r="C9452"/>
      <c r="D9452"/>
      <c r="L9452"/>
      <c r="R9452"/>
      <c r="S9452"/>
      <c r="T9452"/>
      <c r="U9452"/>
    </row>
    <row r="9453" spans="1:21">
      <c r="A9453"/>
      <c r="C9453"/>
      <c r="D9453"/>
      <c r="L9453"/>
      <c r="R9453"/>
      <c r="S9453"/>
      <c r="T9453"/>
      <c r="U9453"/>
    </row>
    <row r="9454" spans="1:21">
      <c r="A9454"/>
      <c r="C9454"/>
      <c r="D9454"/>
      <c r="L9454"/>
      <c r="R9454"/>
      <c r="S9454"/>
      <c r="T9454"/>
      <c r="U9454"/>
    </row>
    <row r="9455" spans="1:21">
      <c r="A9455"/>
      <c r="C9455"/>
      <c r="D9455"/>
      <c r="L9455"/>
      <c r="R9455"/>
      <c r="S9455"/>
      <c r="T9455"/>
      <c r="U9455"/>
    </row>
    <row r="9456" spans="1:21">
      <c r="A9456"/>
      <c r="C9456"/>
      <c r="D9456"/>
      <c r="L9456"/>
      <c r="R9456"/>
      <c r="S9456"/>
      <c r="T9456"/>
      <c r="U9456"/>
    </row>
    <row r="9457" spans="1:21">
      <c r="A9457"/>
      <c r="C9457"/>
      <c r="D9457"/>
      <c r="L9457"/>
      <c r="R9457"/>
      <c r="S9457"/>
      <c r="T9457"/>
      <c r="U9457"/>
    </row>
    <row r="9458" spans="1:21">
      <c r="A9458"/>
      <c r="C9458"/>
      <c r="D9458"/>
      <c r="L9458"/>
      <c r="R9458"/>
      <c r="S9458"/>
      <c r="T9458"/>
      <c r="U9458"/>
    </row>
    <row r="9459" spans="1:21">
      <c r="A9459"/>
      <c r="C9459"/>
      <c r="D9459"/>
      <c r="L9459"/>
      <c r="R9459"/>
      <c r="S9459"/>
      <c r="T9459"/>
      <c r="U9459"/>
    </row>
    <row r="9460" spans="1:21">
      <c r="A9460"/>
      <c r="C9460"/>
      <c r="D9460"/>
      <c r="L9460"/>
      <c r="R9460"/>
      <c r="S9460"/>
      <c r="T9460"/>
      <c r="U9460"/>
    </row>
    <row r="9461" spans="1:21">
      <c r="A9461"/>
      <c r="C9461"/>
      <c r="D9461"/>
      <c r="L9461"/>
      <c r="R9461"/>
      <c r="S9461"/>
      <c r="T9461"/>
      <c r="U9461"/>
    </row>
    <row r="9462" spans="1:21">
      <c r="A9462"/>
      <c r="C9462"/>
      <c r="D9462"/>
      <c r="L9462"/>
      <c r="R9462"/>
      <c r="S9462"/>
      <c r="T9462"/>
      <c r="U9462"/>
    </row>
    <row r="9463" spans="1:21">
      <c r="A9463"/>
      <c r="C9463"/>
      <c r="D9463"/>
      <c r="L9463"/>
      <c r="R9463"/>
      <c r="S9463"/>
      <c r="T9463"/>
      <c r="U9463"/>
    </row>
    <row r="9464" spans="1:21">
      <c r="A9464"/>
      <c r="C9464"/>
      <c r="D9464"/>
      <c r="L9464"/>
      <c r="R9464"/>
      <c r="S9464"/>
      <c r="T9464"/>
      <c r="U9464"/>
    </row>
    <row r="9465" spans="1:21">
      <c r="A9465"/>
      <c r="C9465"/>
      <c r="D9465"/>
      <c r="L9465"/>
      <c r="R9465"/>
      <c r="S9465"/>
      <c r="T9465"/>
      <c r="U9465"/>
    </row>
    <row r="9466" spans="1:21">
      <c r="A9466"/>
      <c r="C9466"/>
      <c r="D9466"/>
      <c r="L9466"/>
      <c r="R9466"/>
      <c r="S9466"/>
      <c r="T9466"/>
      <c r="U9466"/>
    </row>
    <row r="9467" spans="1:21">
      <c r="A9467"/>
      <c r="C9467"/>
      <c r="D9467"/>
      <c r="L9467"/>
      <c r="R9467"/>
      <c r="S9467"/>
      <c r="T9467"/>
      <c r="U9467"/>
    </row>
    <row r="9468" spans="1:21">
      <c r="A9468"/>
      <c r="C9468"/>
      <c r="D9468"/>
      <c r="L9468"/>
      <c r="R9468"/>
      <c r="S9468"/>
      <c r="T9468"/>
      <c r="U9468"/>
    </row>
    <row r="9469" spans="1:21">
      <c r="A9469"/>
      <c r="C9469"/>
      <c r="D9469"/>
      <c r="L9469"/>
      <c r="R9469"/>
      <c r="S9469"/>
      <c r="T9469"/>
      <c r="U9469"/>
    </row>
    <row r="9470" spans="1:21">
      <c r="A9470"/>
      <c r="C9470"/>
      <c r="D9470"/>
      <c r="L9470"/>
      <c r="R9470"/>
      <c r="S9470"/>
      <c r="T9470"/>
      <c r="U9470"/>
    </row>
    <row r="9471" spans="1:21">
      <c r="A9471"/>
      <c r="C9471"/>
      <c r="D9471"/>
      <c r="L9471"/>
      <c r="R9471"/>
      <c r="S9471"/>
      <c r="T9471"/>
      <c r="U9471"/>
    </row>
    <row r="9472" spans="1:21">
      <c r="A9472"/>
      <c r="C9472"/>
      <c r="D9472"/>
      <c r="L9472"/>
      <c r="R9472"/>
      <c r="S9472"/>
      <c r="T9472"/>
      <c r="U9472"/>
    </row>
    <row r="9473" spans="1:21">
      <c r="A9473"/>
      <c r="C9473"/>
      <c r="D9473"/>
      <c r="L9473"/>
      <c r="R9473"/>
      <c r="S9473"/>
      <c r="T9473"/>
      <c r="U9473"/>
    </row>
    <row r="9474" spans="1:21">
      <c r="A9474"/>
      <c r="C9474"/>
      <c r="D9474"/>
      <c r="L9474"/>
      <c r="R9474"/>
      <c r="S9474"/>
      <c r="T9474"/>
      <c r="U9474"/>
    </row>
    <row r="9475" spans="1:21">
      <c r="A9475"/>
      <c r="C9475"/>
      <c r="D9475"/>
      <c r="L9475"/>
      <c r="R9475"/>
      <c r="S9475"/>
      <c r="T9475"/>
      <c r="U9475"/>
    </row>
    <row r="9476" spans="1:21">
      <c r="A9476"/>
      <c r="C9476"/>
      <c r="D9476"/>
      <c r="L9476"/>
      <c r="R9476"/>
      <c r="S9476"/>
      <c r="T9476"/>
      <c r="U9476"/>
    </row>
    <row r="9477" spans="1:21">
      <c r="A9477"/>
      <c r="C9477"/>
      <c r="D9477"/>
      <c r="L9477"/>
      <c r="R9477"/>
      <c r="S9477"/>
      <c r="T9477"/>
      <c r="U9477"/>
    </row>
    <row r="9478" spans="1:21">
      <c r="A9478"/>
      <c r="C9478"/>
      <c r="D9478"/>
      <c r="L9478"/>
      <c r="R9478"/>
      <c r="S9478"/>
      <c r="T9478"/>
      <c r="U9478"/>
    </row>
    <row r="9479" spans="1:21">
      <c r="A9479"/>
      <c r="C9479"/>
      <c r="D9479"/>
      <c r="L9479"/>
      <c r="R9479"/>
      <c r="S9479"/>
      <c r="T9479"/>
      <c r="U9479"/>
    </row>
    <row r="9480" spans="1:21">
      <c r="A9480"/>
      <c r="C9480"/>
      <c r="D9480"/>
      <c r="L9480"/>
      <c r="R9480"/>
      <c r="S9480"/>
      <c r="T9480"/>
      <c r="U9480"/>
    </row>
    <row r="9481" spans="1:21">
      <c r="A9481"/>
      <c r="C9481"/>
      <c r="D9481"/>
      <c r="L9481"/>
      <c r="R9481"/>
      <c r="S9481"/>
      <c r="T9481"/>
      <c r="U9481"/>
    </row>
    <row r="9482" spans="1:21">
      <c r="A9482"/>
      <c r="C9482"/>
      <c r="D9482"/>
      <c r="L9482"/>
      <c r="R9482"/>
      <c r="S9482"/>
      <c r="T9482"/>
      <c r="U9482"/>
    </row>
    <row r="9483" spans="1:21">
      <c r="A9483"/>
      <c r="C9483"/>
      <c r="D9483"/>
      <c r="L9483"/>
      <c r="R9483"/>
      <c r="S9483"/>
      <c r="T9483"/>
      <c r="U9483"/>
    </row>
    <row r="9484" spans="1:21">
      <c r="A9484"/>
      <c r="C9484"/>
      <c r="D9484"/>
      <c r="L9484"/>
      <c r="R9484"/>
      <c r="S9484"/>
      <c r="T9484"/>
      <c r="U9484"/>
    </row>
    <row r="9485" spans="1:21">
      <c r="A9485"/>
      <c r="C9485"/>
      <c r="D9485"/>
      <c r="L9485"/>
      <c r="R9485"/>
      <c r="S9485"/>
      <c r="T9485"/>
      <c r="U9485"/>
    </row>
    <row r="9486" spans="1:21">
      <c r="A9486"/>
      <c r="C9486"/>
      <c r="D9486"/>
      <c r="L9486"/>
      <c r="R9486"/>
      <c r="S9486"/>
      <c r="T9486"/>
      <c r="U9486"/>
    </row>
    <row r="9487" spans="1:21">
      <c r="A9487"/>
      <c r="C9487"/>
      <c r="D9487"/>
      <c r="L9487"/>
      <c r="R9487"/>
      <c r="S9487"/>
      <c r="T9487"/>
      <c r="U9487"/>
    </row>
    <row r="9488" spans="1:21">
      <c r="A9488"/>
      <c r="C9488"/>
      <c r="D9488"/>
      <c r="L9488"/>
      <c r="R9488"/>
      <c r="S9488"/>
      <c r="T9488"/>
      <c r="U9488"/>
    </row>
    <row r="9489" spans="1:21">
      <c r="A9489"/>
      <c r="C9489"/>
      <c r="D9489"/>
      <c r="L9489"/>
      <c r="R9489"/>
      <c r="S9489"/>
      <c r="T9489"/>
      <c r="U9489"/>
    </row>
    <row r="9490" spans="1:21">
      <c r="A9490"/>
      <c r="C9490"/>
      <c r="D9490"/>
      <c r="L9490"/>
      <c r="R9490"/>
      <c r="S9490"/>
      <c r="T9490"/>
      <c r="U9490"/>
    </row>
    <row r="9491" spans="1:21">
      <c r="A9491"/>
      <c r="C9491"/>
      <c r="D9491"/>
      <c r="L9491"/>
      <c r="R9491"/>
      <c r="S9491"/>
      <c r="T9491"/>
      <c r="U9491"/>
    </row>
    <row r="9492" spans="1:21">
      <c r="A9492"/>
      <c r="C9492"/>
      <c r="D9492"/>
      <c r="L9492"/>
      <c r="R9492"/>
      <c r="S9492"/>
      <c r="T9492"/>
      <c r="U9492"/>
    </row>
    <row r="9493" spans="1:21">
      <c r="A9493"/>
      <c r="C9493"/>
      <c r="D9493"/>
      <c r="L9493"/>
      <c r="R9493"/>
      <c r="S9493"/>
      <c r="T9493"/>
      <c r="U9493"/>
    </row>
    <row r="9494" spans="1:21">
      <c r="A9494"/>
      <c r="C9494"/>
      <c r="D9494"/>
      <c r="L9494"/>
      <c r="R9494"/>
      <c r="S9494"/>
      <c r="T9494"/>
      <c r="U9494"/>
    </row>
    <row r="9495" spans="1:21">
      <c r="A9495"/>
      <c r="C9495"/>
      <c r="D9495"/>
      <c r="L9495"/>
      <c r="R9495"/>
      <c r="S9495"/>
      <c r="T9495"/>
      <c r="U9495"/>
    </row>
    <row r="9496" spans="1:21">
      <c r="A9496"/>
      <c r="C9496"/>
      <c r="D9496"/>
      <c r="L9496"/>
      <c r="R9496"/>
      <c r="S9496"/>
      <c r="T9496"/>
      <c r="U9496"/>
    </row>
    <row r="9497" spans="1:21">
      <c r="A9497"/>
      <c r="C9497"/>
      <c r="D9497"/>
      <c r="L9497"/>
      <c r="R9497"/>
      <c r="S9497"/>
      <c r="T9497"/>
      <c r="U9497"/>
    </row>
    <row r="9498" spans="1:21">
      <c r="A9498"/>
      <c r="C9498"/>
      <c r="D9498"/>
      <c r="L9498"/>
      <c r="R9498"/>
      <c r="S9498"/>
      <c r="T9498"/>
      <c r="U9498"/>
    </row>
    <row r="9499" spans="1:21">
      <c r="A9499"/>
      <c r="C9499"/>
      <c r="D9499"/>
      <c r="L9499"/>
      <c r="R9499"/>
      <c r="S9499"/>
      <c r="T9499"/>
      <c r="U9499"/>
    </row>
    <row r="9500" spans="1:21">
      <c r="A9500"/>
      <c r="C9500"/>
      <c r="D9500"/>
      <c r="L9500"/>
      <c r="R9500"/>
      <c r="S9500"/>
      <c r="T9500"/>
      <c r="U9500"/>
    </row>
    <row r="9501" spans="1:21">
      <c r="A9501"/>
      <c r="C9501"/>
      <c r="D9501"/>
      <c r="L9501"/>
      <c r="R9501"/>
      <c r="S9501"/>
      <c r="T9501"/>
      <c r="U9501"/>
    </row>
    <row r="9502" spans="1:21">
      <c r="A9502"/>
      <c r="C9502"/>
      <c r="D9502"/>
      <c r="L9502"/>
      <c r="R9502"/>
      <c r="S9502"/>
      <c r="T9502"/>
      <c r="U9502"/>
    </row>
    <row r="9503" spans="1:21">
      <c r="A9503"/>
      <c r="C9503"/>
      <c r="D9503"/>
      <c r="L9503"/>
      <c r="R9503"/>
      <c r="S9503"/>
      <c r="T9503"/>
      <c r="U9503"/>
    </row>
    <row r="9504" spans="1:21">
      <c r="A9504"/>
      <c r="C9504"/>
      <c r="D9504"/>
      <c r="L9504"/>
      <c r="R9504"/>
      <c r="S9504"/>
      <c r="T9504"/>
      <c r="U9504"/>
    </row>
    <row r="9505" spans="1:21">
      <c r="A9505"/>
      <c r="C9505"/>
      <c r="D9505"/>
      <c r="L9505"/>
      <c r="R9505"/>
      <c r="S9505"/>
      <c r="T9505"/>
      <c r="U9505"/>
    </row>
    <row r="9506" spans="1:21">
      <c r="A9506"/>
      <c r="C9506"/>
      <c r="D9506"/>
      <c r="L9506"/>
      <c r="R9506"/>
      <c r="S9506"/>
      <c r="T9506"/>
      <c r="U9506"/>
    </row>
    <row r="9507" spans="1:21">
      <c r="A9507"/>
      <c r="C9507"/>
      <c r="D9507"/>
      <c r="L9507"/>
      <c r="R9507"/>
      <c r="S9507"/>
      <c r="T9507"/>
      <c r="U9507"/>
    </row>
    <row r="9508" spans="1:21">
      <c r="A9508"/>
      <c r="C9508"/>
      <c r="D9508"/>
      <c r="L9508"/>
      <c r="R9508"/>
      <c r="S9508"/>
      <c r="T9508"/>
      <c r="U9508"/>
    </row>
    <row r="9509" spans="1:21">
      <c r="A9509"/>
      <c r="C9509"/>
      <c r="D9509"/>
      <c r="L9509"/>
      <c r="R9509"/>
      <c r="S9509"/>
      <c r="T9509"/>
      <c r="U9509"/>
    </row>
    <row r="9510" spans="1:21">
      <c r="A9510"/>
      <c r="C9510"/>
      <c r="D9510"/>
      <c r="L9510"/>
      <c r="R9510"/>
      <c r="S9510"/>
      <c r="T9510"/>
      <c r="U9510"/>
    </row>
    <row r="9511" spans="1:21">
      <c r="A9511"/>
      <c r="C9511"/>
      <c r="D9511"/>
      <c r="L9511"/>
      <c r="R9511"/>
      <c r="S9511"/>
      <c r="T9511"/>
      <c r="U9511"/>
    </row>
    <row r="9512" spans="1:21">
      <c r="A9512"/>
      <c r="C9512"/>
      <c r="D9512"/>
      <c r="L9512"/>
      <c r="R9512"/>
      <c r="S9512"/>
      <c r="T9512"/>
      <c r="U9512"/>
    </row>
    <row r="9513" spans="1:21">
      <c r="A9513"/>
      <c r="C9513"/>
      <c r="D9513"/>
      <c r="L9513"/>
      <c r="R9513"/>
      <c r="S9513"/>
      <c r="T9513"/>
      <c r="U9513"/>
    </row>
    <row r="9514" spans="1:21">
      <c r="A9514"/>
      <c r="C9514"/>
      <c r="D9514"/>
      <c r="L9514"/>
      <c r="R9514"/>
      <c r="S9514"/>
      <c r="T9514"/>
      <c r="U9514"/>
    </row>
    <row r="9515" spans="1:21">
      <c r="A9515"/>
      <c r="C9515"/>
      <c r="D9515"/>
      <c r="L9515"/>
      <c r="R9515"/>
      <c r="S9515"/>
      <c r="T9515"/>
      <c r="U9515"/>
    </row>
    <row r="9516" spans="1:21">
      <c r="A9516"/>
      <c r="C9516"/>
      <c r="D9516"/>
      <c r="L9516"/>
      <c r="R9516"/>
      <c r="S9516"/>
      <c r="T9516"/>
      <c r="U9516"/>
    </row>
    <row r="9517" spans="1:21">
      <c r="A9517"/>
      <c r="C9517"/>
      <c r="D9517"/>
      <c r="L9517"/>
      <c r="R9517"/>
      <c r="S9517"/>
      <c r="T9517"/>
      <c r="U9517"/>
    </row>
    <row r="9518" spans="1:21">
      <c r="A9518"/>
      <c r="C9518"/>
      <c r="D9518"/>
      <c r="L9518"/>
      <c r="R9518"/>
      <c r="S9518"/>
      <c r="T9518"/>
      <c r="U9518"/>
    </row>
    <row r="9519" spans="1:21">
      <c r="A9519"/>
      <c r="C9519"/>
      <c r="D9519"/>
      <c r="L9519"/>
      <c r="R9519"/>
      <c r="S9519"/>
      <c r="T9519"/>
      <c r="U9519"/>
    </row>
    <row r="9520" spans="1:21">
      <c r="A9520"/>
      <c r="C9520"/>
      <c r="D9520"/>
      <c r="L9520"/>
      <c r="R9520"/>
      <c r="S9520"/>
      <c r="T9520"/>
      <c r="U9520"/>
    </row>
    <row r="9521" spans="1:21">
      <c r="A9521"/>
      <c r="C9521"/>
      <c r="D9521"/>
      <c r="L9521"/>
      <c r="R9521"/>
      <c r="S9521"/>
      <c r="T9521"/>
      <c r="U9521"/>
    </row>
    <row r="9522" spans="1:21">
      <c r="A9522"/>
      <c r="C9522"/>
      <c r="D9522"/>
      <c r="L9522"/>
      <c r="R9522"/>
      <c r="S9522"/>
      <c r="T9522"/>
      <c r="U9522"/>
    </row>
    <row r="9523" spans="1:21">
      <c r="A9523"/>
      <c r="C9523"/>
      <c r="D9523"/>
      <c r="L9523"/>
      <c r="R9523"/>
      <c r="S9523"/>
      <c r="T9523"/>
      <c r="U9523"/>
    </row>
    <row r="9524" spans="1:21">
      <c r="A9524"/>
      <c r="C9524"/>
      <c r="D9524"/>
      <c r="L9524"/>
      <c r="R9524"/>
      <c r="S9524"/>
      <c r="T9524"/>
      <c r="U9524"/>
    </row>
    <row r="9525" spans="1:21">
      <c r="A9525"/>
      <c r="C9525"/>
      <c r="D9525"/>
      <c r="L9525"/>
      <c r="R9525"/>
      <c r="S9525"/>
      <c r="T9525"/>
      <c r="U9525"/>
    </row>
    <row r="9526" spans="1:21">
      <c r="A9526"/>
      <c r="C9526"/>
      <c r="D9526"/>
      <c r="L9526"/>
      <c r="R9526"/>
      <c r="S9526"/>
      <c r="T9526"/>
      <c r="U9526"/>
    </row>
    <row r="9527" spans="1:21">
      <c r="A9527"/>
      <c r="C9527"/>
      <c r="D9527"/>
      <c r="L9527"/>
      <c r="R9527"/>
      <c r="S9527"/>
      <c r="T9527"/>
      <c r="U9527"/>
    </row>
    <row r="9528" spans="1:21">
      <c r="A9528"/>
      <c r="C9528"/>
      <c r="D9528"/>
      <c r="L9528"/>
      <c r="R9528"/>
      <c r="S9528"/>
      <c r="T9528"/>
      <c r="U9528"/>
    </row>
    <row r="9529" spans="1:21">
      <c r="A9529"/>
      <c r="C9529"/>
      <c r="D9529"/>
      <c r="L9529"/>
      <c r="R9529"/>
      <c r="S9529"/>
      <c r="T9529"/>
      <c r="U9529"/>
    </row>
    <row r="9530" spans="1:21">
      <c r="A9530"/>
      <c r="C9530"/>
      <c r="D9530"/>
      <c r="L9530"/>
      <c r="R9530"/>
      <c r="S9530"/>
      <c r="T9530"/>
      <c r="U9530"/>
    </row>
    <row r="9531" spans="1:21">
      <c r="A9531"/>
      <c r="C9531"/>
      <c r="D9531"/>
      <c r="L9531"/>
      <c r="R9531"/>
      <c r="S9531"/>
      <c r="T9531"/>
      <c r="U9531"/>
    </row>
    <row r="9532" spans="1:21">
      <c r="A9532"/>
      <c r="C9532"/>
      <c r="D9532"/>
      <c r="L9532"/>
      <c r="R9532"/>
      <c r="S9532"/>
      <c r="T9532"/>
      <c r="U9532"/>
    </row>
    <row r="9533" spans="1:21">
      <c r="A9533"/>
      <c r="C9533"/>
      <c r="D9533"/>
      <c r="L9533"/>
      <c r="R9533"/>
      <c r="S9533"/>
      <c r="T9533"/>
      <c r="U9533"/>
    </row>
    <row r="9534" spans="1:21">
      <c r="A9534"/>
      <c r="C9534"/>
      <c r="D9534"/>
      <c r="L9534"/>
      <c r="R9534"/>
      <c r="S9534"/>
      <c r="T9534"/>
      <c r="U9534"/>
    </row>
    <row r="9535" spans="1:21">
      <c r="A9535"/>
      <c r="C9535"/>
      <c r="D9535"/>
      <c r="L9535"/>
      <c r="R9535"/>
      <c r="S9535"/>
      <c r="T9535"/>
      <c r="U9535"/>
    </row>
    <row r="9536" spans="1:21">
      <c r="A9536"/>
      <c r="C9536"/>
      <c r="D9536"/>
      <c r="L9536"/>
      <c r="R9536"/>
      <c r="S9536"/>
      <c r="T9536"/>
      <c r="U9536"/>
    </row>
    <row r="9537" spans="1:21">
      <c r="A9537"/>
      <c r="C9537"/>
      <c r="D9537"/>
      <c r="L9537"/>
      <c r="R9537"/>
      <c r="S9537"/>
      <c r="T9537"/>
      <c r="U9537"/>
    </row>
    <row r="9538" spans="1:21">
      <c r="A9538"/>
      <c r="C9538"/>
      <c r="D9538"/>
      <c r="L9538"/>
      <c r="R9538"/>
      <c r="S9538"/>
      <c r="T9538"/>
      <c r="U9538"/>
    </row>
    <row r="9539" spans="1:21">
      <c r="A9539"/>
      <c r="C9539"/>
      <c r="D9539"/>
      <c r="L9539"/>
      <c r="R9539"/>
      <c r="S9539"/>
      <c r="T9539"/>
      <c r="U9539"/>
    </row>
    <row r="9540" spans="1:21">
      <c r="A9540"/>
      <c r="C9540"/>
      <c r="D9540"/>
      <c r="L9540"/>
      <c r="R9540"/>
      <c r="S9540"/>
      <c r="T9540"/>
      <c r="U9540"/>
    </row>
    <row r="9541" spans="1:21">
      <c r="A9541"/>
      <c r="C9541"/>
      <c r="D9541"/>
      <c r="L9541"/>
      <c r="R9541"/>
      <c r="S9541"/>
      <c r="T9541"/>
      <c r="U9541"/>
    </row>
    <row r="9542" spans="1:21">
      <c r="A9542"/>
      <c r="C9542"/>
      <c r="D9542"/>
      <c r="L9542"/>
      <c r="R9542"/>
      <c r="S9542"/>
      <c r="T9542"/>
      <c r="U9542"/>
    </row>
    <row r="9543" spans="1:21">
      <c r="A9543"/>
      <c r="C9543"/>
      <c r="D9543"/>
      <c r="L9543"/>
      <c r="R9543"/>
      <c r="S9543"/>
      <c r="T9543"/>
      <c r="U9543"/>
    </row>
    <row r="9544" spans="1:21">
      <c r="A9544"/>
      <c r="C9544"/>
      <c r="D9544"/>
      <c r="L9544"/>
      <c r="R9544"/>
      <c r="S9544"/>
      <c r="T9544"/>
      <c r="U9544"/>
    </row>
    <row r="9545" spans="1:21">
      <c r="A9545"/>
      <c r="C9545"/>
      <c r="D9545"/>
      <c r="L9545"/>
      <c r="R9545"/>
      <c r="S9545"/>
      <c r="T9545"/>
      <c r="U9545"/>
    </row>
    <row r="9546" spans="1:21">
      <c r="A9546"/>
      <c r="C9546"/>
      <c r="D9546"/>
      <c r="L9546"/>
      <c r="R9546"/>
      <c r="S9546"/>
      <c r="T9546"/>
      <c r="U9546"/>
    </row>
    <row r="9547" spans="1:21">
      <c r="A9547"/>
      <c r="C9547"/>
      <c r="D9547"/>
      <c r="L9547"/>
      <c r="R9547"/>
      <c r="S9547"/>
      <c r="T9547"/>
      <c r="U9547"/>
    </row>
    <row r="9548" spans="1:21">
      <c r="A9548"/>
      <c r="C9548"/>
      <c r="D9548"/>
      <c r="L9548"/>
      <c r="R9548"/>
      <c r="S9548"/>
      <c r="T9548"/>
      <c r="U9548"/>
    </row>
    <row r="9549" spans="1:21">
      <c r="A9549"/>
      <c r="C9549"/>
      <c r="D9549"/>
      <c r="L9549"/>
      <c r="R9549"/>
      <c r="S9549"/>
      <c r="T9549"/>
      <c r="U9549"/>
    </row>
    <row r="9550" spans="1:21">
      <c r="A9550"/>
      <c r="C9550"/>
      <c r="D9550"/>
      <c r="L9550"/>
      <c r="R9550"/>
      <c r="S9550"/>
      <c r="T9550"/>
      <c r="U9550"/>
    </row>
    <row r="9551" spans="1:21">
      <c r="A9551"/>
      <c r="C9551"/>
      <c r="D9551"/>
      <c r="L9551"/>
      <c r="R9551"/>
      <c r="S9551"/>
      <c r="T9551"/>
      <c r="U9551"/>
    </row>
    <row r="9552" spans="1:21">
      <c r="A9552"/>
      <c r="C9552"/>
      <c r="D9552"/>
      <c r="L9552"/>
      <c r="R9552"/>
      <c r="S9552"/>
      <c r="T9552"/>
      <c r="U9552"/>
    </row>
    <row r="9553" spans="1:21">
      <c r="A9553"/>
      <c r="C9553"/>
      <c r="D9553"/>
      <c r="L9553"/>
      <c r="R9553"/>
      <c r="S9553"/>
      <c r="T9553"/>
      <c r="U9553"/>
    </row>
    <row r="9554" spans="1:21">
      <c r="A9554"/>
      <c r="C9554"/>
      <c r="D9554"/>
      <c r="L9554"/>
      <c r="R9554"/>
      <c r="S9554"/>
      <c r="T9554"/>
      <c r="U9554"/>
    </row>
    <row r="9555" spans="1:21">
      <c r="A9555"/>
      <c r="C9555"/>
      <c r="D9555"/>
      <c r="L9555"/>
      <c r="R9555"/>
      <c r="S9555"/>
      <c r="T9555"/>
      <c r="U9555"/>
    </row>
    <row r="9556" spans="1:21">
      <c r="A9556"/>
      <c r="C9556"/>
      <c r="D9556"/>
      <c r="L9556"/>
      <c r="R9556"/>
      <c r="S9556"/>
      <c r="T9556"/>
      <c r="U9556"/>
    </row>
    <row r="9557" spans="1:21">
      <c r="A9557"/>
      <c r="C9557"/>
      <c r="D9557"/>
      <c r="L9557"/>
      <c r="R9557"/>
      <c r="S9557"/>
      <c r="T9557"/>
      <c r="U9557"/>
    </row>
    <row r="9558" spans="1:21">
      <c r="A9558"/>
      <c r="C9558"/>
      <c r="D9558"/>
      <c r="L9558"/>
      <c r="R9558"/>
      <c r="S9558"/>
      <c r="T9558"/>
      <c r="U9558"/>
    </row>
    <row r="9559" spans="1:21">
      <c r="A9559"/>
      <c r="C9559"/>
      <c r="D9559"/>
      <c r="L9559"/>
      <c r="R9559"/>
      <c r="S9559"/>
      <c r="T9559"/>
      <c r="U9559"/>
    </row>
    <row r="9560" spans="1:21">
      <c r="A9560"/>
      <c r="C9560"/>
      <c r="D9560"/>
      <c r="L9560"/>
      <c r="R9560"/>
      <c r="S9560"/>
      <c r="T9560"/>
      <c r="U9560"/>
    </row>
    <row r="9561" spans="1:21">
      <c r="A9561"/>
      <c r="C9561"/>
      <c r="D9561"/>
      <c r="L9561"/>
      <c r="R9561"/>
      <c r="S9561"/>
      <c r="T9561"/>
      <c r="U9561"/>
    </row>
    <row r="9562" spans="1:21">
      <c r="A9562"/>
      <c r="C9562"/>
      <c r="D9562"/>
      <c r="L9562"/>
      <c r="R9562"/>
      <c r="S9562"/>
      <c r="T9562"/>
      <c r="U9562"/>
    </row>
    <row r="9563" spans="1:21">
      <c r="A9563"/>
      <c r="C9563"/>
      <c r="D9563"/>
      <c r="L9563"/>
      <c r="R9563"/>
      <c r="S9563"/>
      <c r="T9563"/>
      <c r="U9563"/>
    </row>
    <row r="9564" spans="1:21">
      <c r="A9564"/>
      <c r="C9564"/>
      <c r="D9564"/>
      <c r="L9564"/>
      <c r="R9564"/>
      <c r="S9564"/>
      <c r="T9564"/>
      <c r="U9564"/>
    </row>
    <row r="9565" spans="1:21">
      <c r="A9565"/>
      <c r="C9565"/>
      <c r="D9565"/>
      <c r="L9565"/>
      <c r="R9565"/>
      <c r="S9565"/>
      <c r="T9565"/>
      <c r="U9565"/>
    </row>
    <row r="9566" spans="1:21">
      <c r="A9566"/>
      <c r="C9566"/>
      <c r="D9566"/>
      <c r="L9566"/>
      <c r="R9566"/>
      <c r="S9566"/>
      <c r="T9566"/>
      <c r="U9566"/>
    </row>
    <row r="9567" spans="1:21">
      <c r="A9567"/>
      <c r="C9567"/>
      <c r="D9567"/>
      <c r="L9567"/>
      <c r="R9567"/>
      <c r="S9567"/>
      <c r="T9567"/>
      <c r="U9567"/>
    </row>
    <row r="9568" spans="1:21">
      <c r="A9568"/>
      <c r="C9568"/>
      <c r="D9568"/>
      <c r="L9568"/>
      <c r="R9568"/>
      <c r="S9568"/>
      <c r="T9568"/>
      <c r="U9568"/>
    </row>
    <row r="9569" spans="1:21">
      <c r="A9569"/>
      <c r="C9569"/>
      <c r="D9569"/>
      <c r="L9569"/>
      <c r="R9569"/>
      <c r="S9569"/>
      <c r="T9569"/>
      <c r="U9569"/>
    </row>
    <row r="9570" spans="1:21">
      <c r="A9570"/>
      <c r="C9570"/>
      <c r="D9570"/>
      <c r="L9570"/>
      <c r="R9570"/>
      <c r="S9570"/>
      <c r="T9570"/>
      <c r="U9570"/>
    </row>
    <row r="9571" spans="1:21">
      <c r="A9571"/>
      <c r="C9571"/>
      <c r="D9571"/>
      <c r="L9571"/>
      <c r="R9571"/>
      <c r="S9571"/>
      <c r="T9571"/>
      <c r="U9571"/>
    </row>
    <row r="9572" spans="1:21">
      <c r="A9572"/>
      <c r="C9572"/>
      <c r="D9572"/>
      <c r="L9572"/>
      <c r="R9572"/>
      <c r="S9572"/>
      <c r="T9572"/>
      <c r="U9572"/>
    </row>
    <row r="9573" spans="1:21">
      <c r="A9573"/>
      <c r="C9573"/>
      <c r="D9573"/>
      <c r="L9573"/>
      <c r="R9573"/>
      <c r="S9573"/>
      <c r="T9573"/>
      <c r="U9573"/>
    </row>
    <row r="9574" spans="1:21">
      <c r="A9574"/>
      <c r="C9574"/>
      <c r="D9574"/>
      <c r="L9574"/>
      <c r="R9574"/>
      <c r="S9574"/>
      <c r="T9574"/>
      <c r="U9574"/>
    </row>
    <row r="9575" spans="1:21">
      <c r="A9575"/>
      <c r="C9575"/>
      <c r="D9575"/>
      <c r="L9575"/>
      <c r="R9575"/>
      <c r="S9575"/>
      <c r="T9575"/>
      <c r="U9575"/>
    </row>
    <row r="9576" spans="1:21">
      <c r="A9576"/>
      <c r="C9576"/>
      <c r="D9576"/>
      <c r="L9576"/>
      <c r="R9576"/>
      <c r="S9576"/>
      <c r="T9576"/>
      <c r="U9576"/>
    </row>
    <row r="9577" spans="1:21">
      <c r="A9577"/>
      <c r="C9577"/>
      <c r="D9577"/>
      <c r="L9577"/>
      <c r="R9577"/>
      <c r="S9577"/>
      <c r="T9577"/>
      <c r="U9577"/>
    </row>
    <row r="9578" spans="1:21">
      <c r="A9578"/>
      <c r="C9578"/>
      <c r="D9578"/>
      <c r="L9578"/>
      <c r="R9578"/>
      <c r="S9578"/>
      <c r="T9578"/>
      <c r="U9578"/>
    </row>
    <row r="9579" spans="1:21">
      <c r="A9579"/>
      <c r="C9579"/>
      <c r="D9579"/>
      <c r="L9579"/>
      <c r="R9579"/>
      <c r="S9579"/>
      <c r="T9579"/>
      <c r="U9579"/>
    </row>
    <row r="9580" spans="1:21">
      <c r="A9580"/>
      <c r="C9580"/>
      <c r="D9580"/>
      <c r="L9580"/>
      <c r="R9580"/>
      <c r="S9580"/>
      <c r="T9580"/>
      <c r="U9580"/>
    </row>
    <row r="9581" spans="1:21">
      <c r="A9581"/>
      <c r="C9581"/>
      <c r="D9581"/>
      <c r="L9581"/>
      <c r="R9581"/>
      <c r="S9581"/>
      <c r="T9581"/>
      <c r="U9581"/>
    </row>
    <row r="9582" spans="1:21">
      <c r="A9582"/>
      <c r="C9582"/>
      <c r="D9582"/>
      <c r="L9582"/>
      <c r="R9582"/>
      <c r="S9582"/>
      <c r="T9582"/>
      <c r="U9582"/>
    </row>
    <row r="9583" spans="1:21">
      <c r="A9583"/>
      <c r="C9583"/>
      <c r="D9583"/>
      <c r="L9583"/>
      <c r="R9583"/>
      <c r="S9583"/>
      <c r="T9583"/>
      <c r="U9583"/>
    </row>
    <row r="9584" spans="1:21">
      <c r="A9584"/>
      <c r="C9584"/>
      <c r="D9584"/>
      <c r="L9584"/>
      <c r="R9584"/>
      <c r="S9584"/>
      <c r="T9584"/>
      <c r="U9584"/>
    </row>
    <row r="9585" spans="1:21">
      <c r="A9585"/>
      <c r="C9585"/>
      <c r="D9585"/>
      <c r="L9585"/>
      <c r="R9585"/>
      <c r="S9585"/>
      <c r="T9585"/>
      <c r="U9585"/>
    </row>
    <row r="9586" spans="1:21">
      <c r="A9586"/>
      <c r="C9586"/>
      <c r="D9586"/>
      <c r="L9586"/>
      <c r="R9586"/>
      <c r="S9586"/>
      <c r="T9586"/>
      <c r="U9586"/>
    </row>
    <row r="9587" spans="1:21">
      <c r="A9587"/>
      <c r="C9587"/>
      <c r="D9587"/>
      <c r="L9587"/>
      <c r="R9587"/>
      <c r="S9587"/>
      <c r="T9587"/>
      <c r="U9587"/>
    </row>
    <row r="9588" spans="1:21">
      <c r="A9588"/>
      <c r="C9588"/>
      <c r="D9588"/>
      <c r="L9588"/>
      <c r="R9588"/>
      <c r="S9588"/>
      <c r="T9588"/>
      <c r="U9588"/>
    </row>
    <row r="9589" spans="1:21">
      <c r="A9589"/>
      <c r="C9589"/>
      <c r="D9589"/>
      <c r="L9589"/>
      <c r="R9589"/>
      <c r="S9589"/>
      <c r="T9589"/>
      <c r="U9589"/>
    </row>
    <row r="9590" spans="1:21">
      <c r="A9590"/>
      <c r="C9590"/>
      <c r="D9590"/>
      <c r="L9590"/>
      <c r="R9590"/>
      <c r="S9590"/>
      <c r="T9590"/>
      <c r="U9590"/>
    </row>
    <row r="9591" spans="1:21">
      <c r="A9591"/>
      <c r="C9591"/>
      <c r="D9591"/>
      <c r="L9591"/>
      <c r="R9591"/>
      <c r="S9591"/>
      <c r="T9591"/>
      <c r="U9591"/>
    </row>
    <row r="9592" spans="1:21">
      <c r="A9592"/>
      <c r="C9592"/>
      <c r="D9592"/>
      <c r="L9592"/>
      <c r="R9592"/>
      <c r="S9592"/>
      <c r="T9592"/>
      <c r="U9592"/>
    </row>
    <row r="9593" spans="1:21">
      <c r="A9593"/>
      <c r="C9593"/>
      <c r="D9593"/>
      <c r="L9593"/>
      <c r="R9593"/>
      <c r="S9593"/>
      <c r="T9593"/>
      <c r="U9593"/>
    </row>
    <row r="9594" spans="1:21">
      <c r="A9594"/>
      <c r="C9594"/>
      <c r="D9594"/>
      <c r="L9594"/>
      <c r="R9594"/>
      <c r="S9594"/>
      <c r="T9594"/>
      <c r="U9594"/>
    </row>
    <row r="9595" spans="1:21">
      <c r="A9595"/>
      <c r="C9595"/>
      <c r="D9595"/>
      <c r="L9595"/>
      <c r="R9595"/>
      <c r="S9595"/>
      <c r="T9595"/>
      <c r="U9595"/>
    </row>
    <row r="9596" spans="1:21">
      <c r="A9596"/>
      <c r="C9596"/>
      <c r="D9596"/>
      <c r="L9596"/>
      <c r="R9596"/>
      <c r="S9596"/>
      <c r="T9596"/>
      <c r="U9596"/>
    </row>
    <row r="9597" spans="1:21">
      <c r="A9597"/>
      <c r="C9597"/>
      <c r="D9597"/>
      <c r="L9597"/>
      <c r="R9597"/>
      <c r="S9597"/>
      <c r="T9597"/>
      <c r="U9597"/>
    </row>
    <row r="9598" spans="1:21">
      <c r="A9598"/>
      <c r="C9598"/>
      <c r="D9598"/>
      <c r="L9598"/>
      <c r="R9598"/>
      <c r="S9598"/>
      <c r="T9598"/>
      <c r="U9598"/>
    </row>
    <row r="9599" spans="1:21">
      <c r="A9599"/>
      <c r="C9599"/>
      <c r="D9599"/>
      <c r="L9599"/>
      <c r="R9599"/>
      <c r="S9599"/>
      <c r="T9599"/>
      <c r="U9599"/>
    </row>
    <row r="9600" spans="1:21">
      <c r="A9600"/>
      <c r="C9600"/>
      <c r="D9600"/>
      <c r="L9600"/>
      <c r="R9600"/>
      <c r="S9600"/>
      <c r="T9600"/>
      <c r="U9600"/>
    </row>
    <row r="9601" spans="1:21">
      <c r="A9601"/>
      <c r="C9601"/>
      <c r="D9601"/>
      <c r="L9601"/>
      <c r="R9601"/>
      <c r="S9601"/>
      <c r="T9601"/>
      <c r="U9601"/>
    </row>
    <row r="9602" spans="1:21">
      <c r="A9602"/>
      <c r="C9602"/>
      <c r="D9602"/>
      <c r="L9602"/>
      <c r="R9602"/>
      <c r="S9602"/>
      <c r="T9602"/>
      <c r="U9602"/>
    </row>
    <row r="9603" spans="1:21">
      <c r="A9603"/>
      <c r="C9603"/>
      <c r="D9603"/>
      <c r="L9603"/>
      <c r="R9603"/>
      <c r="S9603"/>
      <c r="T9603"/>
      <c r="U9603"/>
    </row>
    <row r="9604" spans="1:21">
      <c r="A9604"/>
      <c r="C9604"/>
      <c r="D9604"/>
      <c r="L9604"/>
      <c r="R9604"/>
      <c r="S9604"/>
      <c r="T9604"/>
      <c r="U9604"/>
    </row>
    <row r="9605" spans="1:21">
      <c r="A9605"/>
      <c r="C9605"/>
      <c r="D9605"/>
      <c r="L9605"/>
      <c r="R9605"/>
      <c r="S9605"/>
      <c r="T9605"/>
      <c r="U9605"/>
    </row>
    <row r="9606" spans="1:21">
      <c r="A9606"/>
      <c r="C9606"/>
      <c r="D9606"/>
      <c r="L9606"/>
      <c r="R9606"/>
      <c r="S9606"/>
      <c r="T9606"/>
      <c r="U9606"/>
    </row>
    <row r="9607" spans="1:21">
      <c r="A9607"/>
      <c r="C9607"/>
      <c r="D9607"/>
      <c r="L9607"/>
      <c r="R9607"/>
      <c r="S9607"/>
      <c r="T9607"/>
      <c r="U9607"/>
    </row>
    <row r="9608" spans="1:21">
      <c r="A9608"/>
      <c r="C9608"/>
      <c r="D9608"/>
      <c r="L9608"/>
      <c r="R9608"/>
      <c r="S9608"/>
      <c r="T9608"/>
      <c r="U9608"/>
    </row>
    <row r="9609" spans="1:21">
      <c r="A9609"/>
      <c r="C9609"/>
      <c r="D9609"/>
      <c r="L9609"/>
      <c r="R9609"/>
      <c r="S9609"/>
      <c r="T9609"/>
      <c r="U9609"/>
    </row>
    <row r="9610" spans="1:21">
      <c r="A9610"/>
      <c r="C9610"/>
      <c r="D9610"/>
      <c r="L9610"/>
      <c r="R9610"/>
      <c r="S9610"/>
      <c r="T9610"/>
      <c r="U9610"/>
    </row>
    <row r="9611" spans="1:21">
      <c r="A9611"/>
      <c r="C9611"/>
      <c r="D9611"/>
      <c r="L9611"/>
      <c r="R9611"/>
      <c r="S9611"/>
      <c r="T9611"/>
      <c r="U9611"/>
    </row>
    <row r="9612" spans="1:21">
      <c r="A9612"/>
      <c r="C9612"/>
      <c r="D9612"/>
      <c r="L9612"/>
      <c r="R9612"/>
      <c r="S9612"/>
      <c r="T9612"/>
      <c r="U9612"/>
    </row>
    <row r="9613" spans="1:21">
      <c r="A9613"/>
      <c r="C9613"/>
      <c r="D9613"/>
      <c r="L9613"/>
      <c r="R9613"/>
      <c r="S9613"/>
      <c r="T9613"/>
      <c r="U9613"/>
    </row>
    <row r="9614" spans="1:21">
      <c r="A9614"/>
      <c r="C9614"/>
      <c r="D9614"/>
      <c r="L9614"/>
      <c r="R9614"/>
      <c r="S9614"/>
      <c r="T9614"/>
      <c r="U9614"/>
    </row>
    <row r="9615" spans="1:21">
      <c r="A9615"/>
      <c r="C9615"/>
      <c r="D9615"/>
      <c r="L9615"/>
      <c r="R9615"/>
      <c r="S9615"/>
      <c r="T9615"/>
      <c r="U9615"/>
    </row>
    <row r="9616" spans="1:21">
      <c r="A9616"/>
      <c r="C9616"/>
      <c r="D9616"/>
      <c r="L9616"/>
      <c r="R9616"/>
      <c r="S9616"/>
      <c r="T9616"/>
      <c r="U9616"/>
    </row>
    <row r="9617" spans="1:21">
      <c r="A9617"/>
      <c r="C9617"/>
      <c r="D9617"/>
      <c r="L9617"/>
      <c r="R9617"/>
      <c r="S9617"/>
      <c r="T9617"/>
      <c r="U9617"/>
    </row>
    <row r="9618" spans="1:21">
      <c r="A9618"/>
      <c r="C9618"/>
      <c r="D9618"/>
      <c r="L9618"/>
      <c r="R9618"/>
      <c r="S9618"/>
      <c r="T9618"/>
      <c r="U9618"/>
    </row>
    <row r="9619" spans="1:21">
      <c r="A9619"/>
      <c r="C9619"/>
      <c r="D9619"/>
      <c r="L9619"/>
      <c r="R9619"/>
      <c r="S9619"/>
      <c r="T9619"/>
      <c r="U9619"/>
    </row>
    <row r="9620" spans="1:21">
      <c r="A9620"/>
      <c r="C9620"/>
      <c r="D9620"/>
      <c r="L9620"/>
      <c r="R9620"/>
      <c r="S9620"/>
      <c r="T9620"/>
      <c r="U9620"/>
    </row>
    <row r="9621" spans="1:21">
      <c r="A9621"/>
      <c r="C9621"/>
      <c r="D9621"/>
      <c r="L9621"/>
      <c r="R9621"/>
      <c r="S9621"/>
      <c r="T9621"/>
      <c r="U9621"/>
    </row>
    <row r="9622" spans="1:21">
      <c r="A9622"/>
      <c r="C9622"/>
      <c r="D9622"/>
      <c r="L9622"/>
      <c r="R9622"/>
      <c r="S9622"/>
      <c r="T9622"/>
      <c r="U9622"/>
    </row>
    <row r="9623" spans="1:21">
      <c r="A9623"/>
      <c r="C9623"/>
      <c r="D9623"/>
      <c r="L9623"/>
      <c r="R9623"/>
      <c r="S9623"/>
      <c r="T9623"/>
      <c r="U9623"/>
    </row>
    <row r="9624" spans="1:21">
      <c r="A9624"/>
      <c r="C9624"/>
      <c r="D9624"/>
      <c r="L9624"/>
      <c r="R9624"/>
      <c r="S9624"/>
      <c r="T9624"/>
      <c r="U9624"/>
    </row>
    <row r="9625" spans="1:21">
      <c r="A9625"/>
      <c r="C9625"/>
      <c r="D9625"/>
      <c r="L9625"/>
      <c r="R9625"/>
      <c r="S9625"/>
      <c r="T9625"/>
      <c r="U9625"/>
    </row>
    <row r="9626" spans="1:21">
      <c r="A9626"/>
      <c r="C9626"/>
      <c r="D9626"/>
      <c r="L9626"/>
      <c r="R9626"/>
      <c r="S9626"/>
      <c r="T9626"/>
      <c r="U9626"/>
    </row>
    <row r="9627" spans="1:21">
      <c r="A9627"/>
      <c r="C9627"/>
      <c r="D9627"/>
      <c r="L9627"/>
      <c r="R9627"/>
      <c r="S9627"/>
      <c r="T9627"/>
      <c r="U9627"/>
    </row>
    <row r="9628" spans="1:21">
      <c r="A9628"/>
      <c r="C9628"/>
      <c r="D9628"/>
      <c r="L9628"/>
      <c r="R9628"/>
      <c r="S9628"/>
      <c r="T9628"/>
      <c r="U9628"/>
    </row>
    <row r="9629" spans="1:21">
      <c r="A9629"/>
      <c r="C9629"/>
      <c r="D9629"/>
      <c r="L9629"/>
      <c r="R9629"/>
      <c r="S9629"/>
      <c r="T9629"/>
      <c r="U9629"/>
    </row>
    <row r="9630" spans="1:21">
      <c r="A9630"/>
      <c r="C9630"/>
      <c r="D9630"/>
      <c r="L9630"/>
      <c r="R9630"/>
      <c r="S9630"/>
      <c r="T9630"/>
      <c r="U9630"/>
    </row>
    <row r="9631" spans="1:21">
      <c r="A9631"/>
      <c r="C9631"/>
      <c r="D9631"/>
      <c r="L9631"/>
      <c r="R9631"/>
      <c r="S9631"/>
      <c r="T9631"/>
      <c r="U9631"/>
    </row>
    <row r="9632" spans="1:21">
      <c r="A9632"/>
      <c r="C9632"/>
      <c r="D9632"/>
      <c r="L9632"/>
      <c r="R9632"/>
      <c r="S9632"/>
      <c r="T9632"/>
      <c r="U9632"/>
    </row>
    <row r="9633" spans="1:21">
      <c r="A9633"/>
      <c r="C9633"/>
      <c r="D9633"/>
      <c r="L9633"/>
      <c r="R9633"/>
      <c r="S9633"/>
      <c r="T9633"/>
      <c r="U9633"/>
    </row>
    <row r="9634" spans="1:21">
      <c r="A9634"/>
      <c r="C9634"/>
      <c r="D9634"/>
      <c r="L9634"/>
      <c r="R9634"/>
      <c r="S9634"/>
      <c r="T9634"/>
      <c r="U9634"/>
    </row>
    <row r="9635" spans="1:21">
      <c r="A9635"/>
      <c r="C9635"/>
      <c r="D9635"/>
      <c r="L9635"/>
      <c r="R9635"/>
      <c r="S9635"/>
      <c r="T9635"/>
      <c r="U9635"/>
    </row>
    <row r="9636" spans="1:21">
      <c r="A9636"/>
      <c r="C9636"/>
      <c r="D9636"/>
      <c r="L9636"/>
      <c r="R9636"/>
      <c r="S9636"/>
      <c r="T9636"/>
      <c r="U9636"/>
    </row>
    <row r="9637" spans="1:21">
      <c r="A9637"/>
      <c r="C9637"/>
      <c r="D9637"/>
      <c r="L9637"/>
      <c r="R9637"/>
      <c r="S9637"/>
      <c r="T9637"/>
      <c r="U9637"/>
    </row>
    <row r="9638" spans="1:21">
      <c r="A9638"/>
      <c r="C9638"/>
      <c r="D9638"/>
      <c r="L9638"/>
      <c r="R9638"/>
      <c r="S9638"/>
      <c r="T9638"/>
      <c r="U9638"/>
    </row>
    <row r="9639" spans="1:21">
      <c r="A9639"/>
      <c r="C9639"/>
      <c r="D9639"/>
      <c r="L9639"/>
      <c r="R9639"/>
      <c r="S9639"/>
      <c r="T9639"/>
      <c r="U9639"/>
    </row>
    <row r="9640" spans="1:21">
      <c r="A9640"/>
      <c r="C9640"/>
      <c r="D9640"/>
      <c r="L9640"/>
      <c r="R9640"/>
      <c r="S9640"/>
      <c r="T9640"/>
      <c r="U9640"/>
    </row>
    <row r="9641" spans="1:21">
      <c r="A9641"/>
      <c r="C9641"/>
      <c r="D9641"/>
      <c r="L9641"/>
      <c r="R9641"/>
      <c r="S9641"/>
      <c r="T9641"/>
      <c r="U9641"/>
    </row>
    <row r="9642" spans="1:21">
      <c r="A9642"/>
      <c r="C9642"/>
      <c r="D9642"/>
      <c r="L9642"/>
      <c r="R9642"/>
      <c r="S9642"/>
      <c r="T9642"/>
      <c r="U9642"/>
    </row>
    <row r="9643" spans="1:21">
      <c r="A9643"/>
      <c r="C9643"/>
      <c r="D9643"/>
      <c r="L9643"/>
      <c r="R9643"/>
      <c r="S9643"/>
      <c r="T9643"/>
      <c r="U9643"/>
    </row>
    <row r="9644" spans="1:21">
      <c r="A9644"/>
      <c r="C9644"/>
      <c r="D9644"/>
      <c r="L9644"/>
      <c r="R9644"/>
      <c r="S9644"/>
      <c r="T9644"/>
      <c r="U9644"/>
    </row>
    <row r="9645" spans="1:21">
      <c r="A9645"/>
      <c r="C9645"/>
      <c r="D9645"/>
      <c r="L9645"/>
      <c r="R9645"/>
      <c r="S9645"/>
      <c r="T9645"/>
      <c r="U9645"/>
    </row>
    <row r="9646" spans="1:21">
      <c r="A9646"/>
      <c r="C9646"/>
      <c r="D9646"/>
      <c r="L9646"/>
      <c r="R9646"/>
      <c r="S9646"/>
      <c r="T9646"/>
      <c r="U9646"/>
    </row>
    <row r="9647" spans="1:21">
      <c r="A9647"/>
      <c r="C9647"/>
      <c r="D9647"/>
      <c r="L9647"/>
      <c r="R9647"/>
      <c r="S9647"/>
      <c r="T9647"/>
      <c r="U9647"/>
    </row>
    <row r="9648" spans="1:21">
      <c r="A9648"/>
      <c r="C9648"/>
      <c r="D9648"/>
      <c r="L9648"/>
      <c r="R9648"/>
      <c r="S9648"/>
      <c r="T9648"/>
      <c r="U9648"/>
    </row>
    <row r="9649" spans="1:21">
      <c r="A9649"/>
      <c r="C9649"/>
      <c r="D9649"/>
      <c r="L9649"/>
      <c r="R9649"/>
      <c r="S9649"/>
      <c r="T9649"/>
      <c r="U9649"/>
    </row>
    <row r="9650" spans="1:21">
      <c r="A9650"/>
      <c r="C9650"/>
      <c r="D9650"/>
      <c r="L9650"/>
      <c r="R9650"/>
      <c r="S9650"/>
      <c r="T9650"/>
      <c r="U9650"/>
    </row>
    <row r="9651" spans="1:21">
      <c r="A9651"/>
      <c r="C9651"/>
      <c r="D9651"/>
      <c r="L9651"/>
      <c r="R9651"/>
      <c r="S9651"/>
      <c r="T9651"/>
      <c r="U9651"/>
    </row>
    <row r="9652" spans="1:21">
      <c r="A9652"/>
      <c r="C9652"/>
      <c r="D9652"/>
      <c r="L9652"/>
      <c r="R9652"/>
      <c r="S9652"/>
      <c r="T9652"/>
      <c r="U9652"/>
    </row>
    <row r="9653" spans="1:21">
      <c r="A9653"/>
      <c r="C9653"/>
      <c r="D9653"/>
      <c r="L9653"/>
      <c r="R9653"/>
      <c r="S9653"/>
      <c r="T9653"/>
      <c r="U9653"/>
    </row>
    <row r="9654" spans="1:21">
      <c r="A9654"/>
      <c r="C9654"/>
      <c r="D9654"/>
      <c r="L9654"/>
      <c r="R9654"/>
      <c r="S9654"/>
      <c r="T9654"/>
      <c r="U9654"/>
    </row>
    <row r="9655" spans="1:21">
      <c r="A9655"/>
      <c r="C9655"/>
      <c r="D9655"/>
      <c r="L9655"/>
      <c r="R9655"/>
      <c r="S9655"/>
      <c r="T9655"/>
      <c r="U9655"/>
    </row>
    <row r="9656" spans="1:21">
      <c r="A9656"/>
      <c r="C9656"/>
      <c r="D9656"/>
      <c r="L9656"/>
      <c r="R9656"/>
      <c r="S9656"/>
      <c r="T9656"/>
      <c r="U9656"/>
    </row>
    <row r="9657" spans="1:21">
      <c r="A9657"/>
      <c r="C9657"/>
      <c r="D9657"/>
      <c r="L9657"/>
      <c r="R9657"/>
      <c r="S9657"/>
      <c r="T9657"/>
      <c r="U9657"/>
    </row>
    <row r="9658" spans="1:21">
      <c r="A9658"/>
      <c r="C9658"/>
      <c r="D9658"/>
      <c r="L9658"/>
      <c r="R9658"/>
      <c r="S9658"/>
      <c r="T9658"/>
      <c r="U9658"/>
    </row>
    <row r="9659" spans="1:21">
      <c r="A9659"/>
      <c r="C9659"/>
      <c r="D9659"/>
      <c r="L9659"/>
      <c r="R9659"/>
      <c r="S9659"/>
      <c r="T9659"/>
      <c r="U9659"/>
    </row>
    <row r="9660" spans="1:21">
      <c r="A9660"/>
      <c r="C9660"/>
      <c r="D9660"/>
      <c r="L9660"/>
      <c r="R9660"/>
      <c r="S9660"/>
      <c r="T9660"/>
      <c r="U9660"/>
    </row>
    <row r="9661" spans="1:21">
      <c r="A9661"/>
      <c r="C9661"/>
      <c r="D9661"/>
      <c r="L9661"/>
      <c r="R9661"/>
      <c r="S9661"/>
      <c r="T9661"/>
      <c r="U9661"/>
    </row>
    <row r="9662" spans="1:21">
      <c r="A9662"/>
      <c r="C9662"/>
      <c r="D9662"/>
      <c r="L9662"/>
      <c r="R9662"/>
      <c r="S9662"/>
      <c r="T9662"/>
      <c r="U9662"/>
    </row>
    <row r="9663" spans="1:21">
      <c r="A9663"/>
      <c r="C9663"/>
      <c r="D9663"/>
      <c r="L9663"/>
      <c r="R9663"/>
      <c r="S9663"/>
      <c r="T9663"/>
      <c r="U9663"/>
    </row>
    <row r="9664" spans="1:21">
      <c r="A9664"/>
      <c r="C9664"/>
      <c r="D9664"/>
      <c r="L9664"/>
      <c r="R9664"/>
      <c r="S9664"/>
      <c r="T9664"/>
      <c r="U9664"/>
    </row>
    <row r="9665" spans="1:21">
      <c r="A9665"/>
      <c r="C9665"/>
      <c r="D9665"/>
      <c r="L9665"/>
      <c r="R9665"/>
      <c r="S9665"/>
      <c r="T9665"/>
      <c r="U9665"/>
    </row>
    <row r="9666" spans="1:21">
      <c r="A9666"/>
      <c r="C9666"/>
      <c r="D9666"/>
      <c r="L9666"/>
      <c r="R9666"/>
      <c r="S9666"/>
      <c r="T9666"/>
      <c r="U9666"/>
    </row>
    <row r="9667" spans="1:21">
      <c r="A9667"/>
      <c r="C9667"/>
      <c r="D9667"/>
      <c r="L9667"/>
      <c r="R9667"/>
      <c r="S9667"/>
      <c r="T9667"/>
      <c r="U9667"/>
    </row>
    <row r="9668" spans="1:21">
      <c r="A9668"/>
      <c r="C9668"/>
      <c r="D9668"/>
      <c r="L9668"/>
      <c r="R9668"/>
      <c r="S9668"/>
      <c r="T9668"/>
      <c r="U9668"/>
    </row>
    <row r="9669" spans="1:21">
      <c r="A9669"/>
      <c r="C9669"/>
      <c r="D9669"/>
      <c r="L9669"/>
      <c r="R9669"/>
      <c r="S9669"/>
      <c r="T9669"/>
      <c r="U9669"/>
    </row>
    <row r="9670" spans="1:21">
      <c r="A9670"/>
      <c r="C9670"/>
      <c r="D9670"/>
      <c r="L9670"/>
      <c r="R9670"/>
      <c r="S9670"/>
      <c r="T9670"/>
      <c r="U9670"/>
    </row>
    <row r="9671" spans="1:21">
      <c r="A9671"/>
      <c r="C9671"/>
      <c r="D9671"/>
      <c r="L9671"/>
      <c r="R9671"/>
      <c r="S9671"/>
      <c r="T9671"/>
      <c r="U9671"/>
    </row>
    <row r="9672" spans="1:21">
      <c r="A9672"/>
      <c r="C9672"/>
      <c r="D9672"/>
      <c r="L9672"/>
      <c r="R9672"/>
      <c r="S9672"/>
      <c r="T9672"/>
      <c r="U9672"/>
    </row>
    <row r="9673" spans="1:21">
      <c r="A9673"/>
      <c r="C9673"/>
      <c r="D9673"/>
      <c r="L9673"/>
      <c r="R9673"/>
      <c r="S9673"/>
      <c r="T9673"/>
      <c r="U9673"/>
    </row>
    <row r="9674" spans="1:21">
      <c r="A9674"/>
      <c r="C9674"/>
      <c r="D9674"/>
      <c r="L9674"/>
      <c r="R9674"/>
      <c r="S9674"/>
      <c r="T9674"/>
      <c r="U9674"/>
    </row>
    <row r="9675" spans="1:21">
      <c r="A9675"/>
      <c r="C9675"/>
      <c r="D9675"/>
      <c r="L9675"/>
      <c r="R9675"/>
      <c r="S9675"/>
      <c r="T9675"/>
      <c r="U9675"/>
    </row>
    <row r="9676" spans="1:21">
      <c r="A9676"/>
      <c r="C9676"/>
      <c r="D9676"/>
      <c r="L9676"/>
      <c r="R9676"/>
      <c r="S9676"/>
      <c r="T9676"/>
      <c r="U9676"/>
    </row>
    <row r="9677" spans="1:21">
      <c r="A9677"/>
      <c r="C9677"/>
      <c r="D9677"/>
      <c r="L9677"/>
      <c r="R9677"/>
      <c r="S9677"/>
      <c r="T9677"/>
      <c r="U9677"/>
    </row>
    <row r="9678" spans="1:21">
      <c r="A9678"/>
      <c r="C9678"/>
      <c r="D9678"/>
      <c r="L9678"/>
      <c r="R9678"/>
      <c r="S9678"/>
      <c r="T9678"/>
      <c r="U9678"/>
    </row>
    <row r="9679" spans="1:21">
      <c r="A9679"/>
      <c r="C9679"/>
      <c r="D9679"/>
      <c r="L9679"/>
      <c r="R9679"/>
      <c r="S9679"/>
      <c r="T9679"/>
      <c r="U9679"/>
    </row>
    <row r="9680" spans="1:21">
      <c r="A9680"/>
      <c r="C9680"/>
      <c r="D9680"/>
      <c r="L9680"/>
      <c r="R9680"/>
      <c r="S9680"/>
      <c r="T9680"/>
      <c r="U9680"/>
    </row>
    <row r="9681" spans="1:21">
      <c r="A9681"/>
      <c r="C9681"/>
      <c r="D9681"/>
      <c r="L9681"/>
      <c r="R9681"/>
      <c r="S9681"/>
      <c r="T9681"/>
      <c r="U9681"/>
    </row>
    <row r="9682" spans="1:21">
      <c r="A9682"/>
      <c r="C9682"/>
      <c r="D9682"/>
      <c r="L9682"/>
      <c r="R9682"/>
      <c r="S9682"/>
      <c r="T9682"/>
      <c r="U9682"/>
    </row>
    <row r="9683" spans="1:21">
      <c r="A9683"/>
      <c r="C9683"/>
      <c r="D9683"/>
      <c r="L9683"/>
      <c r="R9683"/>
      <c r="S9683"/>
      <c r="T9683"/>
      <c r="U9683"/>
    </row>
    <row r="9684" spans="1:21">
      <c r="A9684"/>
      <c r="C9684"/>
      <c r="D9684"/>
      <c r="L9684"/>
      <c r="R9684"/>
      <c r="S9684"/>
      <c r="T9684"/>
      <c r="U9684"/>
    </row>
    <row r="9685" spans="1:21">
      <c r="A9685"/>
      <c r="C9685"/>
      <c r="D9685"/>
      <c r="L9685"/>
      <c r="R9685"/>
      <c r="S9685"/>
      <c r="T9685"/>
      <c r="U9685"/>
    </row>
    <row r="9686" spans="1:21">
      <c r="A9686"/>
      <c r="C9686"/>
      <c r="D9686"/>
      <c r="L9686"/>
      <c r="R9686"/>
      <c r="S9686"/>
      <c r="T9686"/>
      <c r="U9686"/>
    </row>
    <row r="9687" spans="1:21">
      <c r="A9687"/>
      <c r="C9687"/>
      <c r="D9687"/>
      <c r="L9687"/>
      <c r="R9687"/>
      <c r="S9687"/>
      <c r="T9687"/>
      <c r="U9687"/>
    </row>
    <row r="9688" spans="1:21">
      <c r="A9688"/>
      <c r="C9688"/>
      <c r="D9688"/>
      <c r="L9688"/>
      <c r="R9688"/>
      <c r="S9688"/>
      <c r="T9688"/>
      <c r="U9688"/>
    </row>
    <row r="9689" spans="1:21">
      <c r="A9689"/>
      <c r="C9689"/>
      <c r="D9689"/>
      <c r="L9689"/>
      <c r="R9689"/>
      <c r="S9689"/>
      <c r="T9689"/>
      <c r="U9689"/>
    </row>
    <row r="9690" spans="1:21">
      <c r="A9690"/>
      <c r="C9690"/>
      <c r="D9690"/>
      <c r="L9690"/>
      <c r="R9690"/>
      <c r="S9690"/>
      <c r="T9690"/>
      <c r="U9690"/>
    </row>
    <row r="9691" spans="1:21">
      <c r="A9691"/>
      <c r="C9691"/>
      <c r="D9691"/>
      <c r="L9691"/>
      <c r="R9691"/>
      <c r="S9691"/>
      <c r="T9691"/>
      <c r="U9691"/>
    </row>
    <row r="9692" spans="1:21">
      <c r="A9692"/>
      <c r="C9692"/>
      <c r="D9692"/>
      <c r="L9692"/>
      <c r="R9692"/>
      <c r="S9692"/>
      <c r="T9692"/>
      <c r="U9692"/>
    </row>
    <row r="9693" spans="1:21">
      <c r="A9693"/>
      <c r="C9693"/>
      <c r="D9693"/>
      <c r="L9693"/>
      <c r="R9693"/>
      <c r="S9693"/>
      <c r="T9693"/>
      <c r="U9693"/>
    </row>
    <row r="9694" spans="1:21">
      <c r="A9694"/>
      <c r="C9694"/>
      <c r="D9694"/>
      <c r="L9694"/>
      <c r="R9694"/>
      <c r="S9694"/>
      <c r="T9694"/>
      <c r="U9694"/>
    </row>
    <row r="9695" spans="1:21">
      <c r="A9695"/>
      <c r="C9695"/>
      <c r="D9695"/>
      <c r="L9695"/>
      <c r="R9695"/>
      <c r="S9695"/>
      <c r="T9695"/>
      <c r="U9695"/>
    </row>
    <row r="9696" spans="1:21">
      <c r="A9696"/>
      <c r="C9696"/>
      <c r="D9696"/>
      <c r="L9696"/>
      <c r="R9696"/>
      <c r="S9696"/>
      <c r="T9696"/>
      <c r="U9696"/>
    </row>
    <row r="9697" spans="1:21">
      <c r="A9697"/>
      <c r="C9697"/>
      <c r="D9697"/>
      <c r="L9697"/>
      <c r="R9697"/>
      <c r="S9697"/>
      <c r="T9697"/>
      <c r="U9697"/>
    </row>
    <row r="9698" spans="1:21">
      <c r="A9698"/>
      <c r="C9698"/>
      <c r="D9698"/>
      <c r="L9698"/>
      <c r="R9698"/>
      <c r="S9698"/>
      <c r="T9698"/>
      <c r="U9698"/>
    </row>
    <row r="9699" spans="1:21">
      <c r="A9699"/>
      <c r="C9699"/>
      <c r="D9699"/>
      <c r="L9699"/>
      <c r="R9699"/>
      <c r="S9699"/>
      <c r="T9699"/>
      <c r="U9699"/>
    </row>
    <row r="9700" spans="1:21">
      <c r="A9700"/>
      <c r="C9700"/>
      <c r="D9700"/>
      <c r="L9700"/>
      <c r="R9700"/>
      <c r="S9700"/>
      <c r="T9700"/>
      <c r="U9700"/>
    </row>
    <row r="9701" spans="1:21">
      <c r="A9701"/>
      <c r="C9701"/>
      <c r="D9701"/>
      <c r="L9701"/>
      <c r="R9701"/>
      <c r="S9701"/>
      <c r="T9701"/>
      <c r="U9701"/>
    </row>
    <row r="9702" spans="1:21">
      <c r="A9702"/>
      <c r="C9702"/>
      <c r="D9702"/>
      <c r="L9702"/>
      <c r="R9702"/>
      <c r="S9702"/>
      <c r="T9702"/>
      <c r="U9702"/>
    </row>
    <row r="9703" spans="1:21">
      <c r="A9703"/>
      <c r="C9703"/>
      <c r="D9703"/>
      <c r="L9703"/>
      <c r="R9703"/>
      <c r="S9703"/>
      <c r="T9703"/>
      <c r="U9703"/>
    </row>
    <row r="9704" spans="1:21">
      <c r="A9704"/>
      <c r="C9704"/>
      <c r="D9704"/>
      <c r="L9704"/>
      <c r="R9704"/>
      <c r="S9704"/>
      <c r="T9704"/>
      <c r="U9704"/>
    </row>
    <row r="9705" spans="1:21">
      <c r="A9705"/>
      <c r="C9705"/>
      <c r="D9705"/>
      <c r="L9705"/>
      <c r="R9705"/>
      <c r="S9705"/>
      <c r="T9705"/>
      <c r="U9705"/>
    </row>
    <row r="9706" spans="1:21">
      <c r="A9706"/>
      <c r="C9706"/>
      <c r="D9706"/>
      <c r="L9706"/>
      <c r="R9706"/>
      <c r="S9706"/>
      <c r="T9706"/>
      <c r="U9706"/>
    </row>
    <row r="9707" spans="1:21">
      <c r="A9707"/>
      <c r="C9707"/>
      <c r="D9707"/>
      <c r="L9707"/>
      <c r="R9707"/>
      <c r="S9707"/>
      <c r="T9707"/>
      <c r="U9707"/>
    </row>
    <row r="9708" spans="1:21">
      <c r="A9708"/>
      <c r="C9708"/>
      <c r="D9708"/>
      <c r="L9708"/>
      <c r="R9708"/>
      <c r="S9708"/>
      <c r="T9708"/>
      <c r="U9708"/>
    </row>
    <row r="9709" spans="1:21">
      <c r="A9709"/>
      <c r="C9709"/>
      <c r="D9709"/>
      <c r="L9709"/>
      <c r="R9709"/>
      <c r="S9709"/>
      <c r="T9709"/>
      <c r="U9709"/>
    </row>
    <row r="9710" spans="1:21">
      <c r="A9710"/>
      <c r="C9710"/>
      <c r="D9710"/>
      <c r="L9710"/>
      <c r="R9710"/>
      <c r="S9710"/>
      <c r="T9710"/>
      <c r="U9710"/>
    </row>
    <row r="9711" spans="1:21">
      <c r="A9711"/>
      <c r="C9711"/>
      <c r="D9711"/>
      <c r="L9711"/>
      <c r="R9711"/>
      <c r="S9711"/>
      <c r="T9711"/>
      <c r="U9711"/>
    </row>
    <row r="9712" spans="1:21">
      <c r="A9712"/>
      <c r="C9712"/>
      <c r="D9712"/>
      <c r="L9712"/>
      <c r="R9712"/>
      <c r="S9712"/>
      <c r="T9712"/>
      <c r="U9712"/>
    </row>
    <row r="9713" spans="1:21">
      <c r="A9713"/>
      <c r="C9713"/>
      <c r="D9713"/>
      <c r="L9713"/>
      <c r="R9713"/>
      <c r="S9713"/>
      <c r="T9713"/>
      <c r="U9713"/>
    </row>
    <row r="9714" spans="1:21">
      <c r="A9714"/>
      <c r="C9714"/>
      <c r="D9714"/>
      <c r="L9714"/>
      <c r="R9714"/>
      <c r="S9714"/>
      <c r="T9714"/>
      <c r="U9714"/>
    </row>
    <row r="9715" spans="1:21">
      <c r="A9715"/>
      <c r="C9715"/>
      <c r="D9715"/>
      <c r="L9715"/>
      <c r="R9715"/>
      <c r="S9715"/>
      <c r="T9715"/>
      <c r="U9715"/>
    </row>
    <row r="9716" spans="1:21">
      <c r="A9716"/>
      <c r="C9716"/>
      <c r="D9716"/>
      <c r="L9716"/>
      <c r="R9716"/>
      <c r="S9716"/>
      <c r="T9716"/>
      <c r="U9716"/>
    </row>
    <row r="9717" spans="1:21">
      <c r="A9717"/>
      <c r="C9717"/>
      <c r="D9717"/>
      <c r="L9717"/>
      <c r="R9717"/>
      <c r="S9717"/>
      <c r="T9717"/>
      <c r="U9717"/>
    </row>
    <row r="9718" spans="1:21">
      <c r="A9718"/>
      <c r="C9718"/>
      <c r="D9718"/>
      <c r="L9718"/>
      <c r="R9718"/>
      <c r="S9718"/>
      <c r="T9718"/>
      <c r="U9718"/>
    </row>
    <row r="9719" spans="1:21">
      <c r="A9719"/>
      <c r="C9719"/>
      <c r="D9719"/>
      <c r="L9719"/>
      <c r="R9719"/>
      <c r="S9719"/>
      <c r="T9719"/>
      <c r="U9719"/>
    </row>
    <row r="9720" spans="1:21">
      <c r="A9720"/>
      <c r="C9720"/>
      <c r="D9720"/>
      <c r="L9720"/>
      <c r="R9720"/>
      <c r="S9720"/>
      <c r="T9720"/>
      <c r="U9720"/>
    </row>
    <row r="9721" spans="1:21">
      <c r="A9721"/>
      <c r="C9721"/>
      <c r="D9721"/>
      <c r="L9721"/>
      <c r="R9721"/>
      <c r="S9721"/>
      <c r="T9721"/>
      <c r="U9721"/>
    </row>
    <row r="9722" spans="1:21">
      <c r="A9722"/>
      <c r="C9722"/>
      <c r="D9722"/>
      <c r="L9722"/>
      <c r="R9722"/>
      <c r="S9722"/>
      <c r="T9722"/>
      <c r="U9722"/>
    </row>
    <row r="9723" spans="1:21">
      <c r="A9723"/>
      <c r="C9723"/>
      <c r="D9723"/>
      <c r="L9723"/>
      <c r="R9723"/>
      <c r="S9723"/>
      <c r="T9723"/>
      <c r="U9723"/>
    </row>
    <row r="9724" spans="1:21">
      <c r="A9724"/>
      <c r="C9724"/>
      <c r="D9724"/>
      <c r="L9724"/>
      <c r="R9724"/>
      <c r="S9724"/>
      <c r="T9724"/>
      <c r="U9724"/>
    </row>
    <row r="9725" spans="1:21">
      <c r="A9725"/>
      <c r="C9725"/>
      <c r="D9725"/>
      <c r="L9725"/>
      <c r="R9725"/>
      <c r="S9725"/>
      <c r="T9725"/>
      <c r="U9725"/>
    </row>
    <row r="9726" spans="1:21">
      <c r="A9726"/>
      <c r="C9726"/>
      <c r="D9726"/>
      <c r="L9726"/>
      <c r="R9726"/>
      <c r="S9726"/>
      <c r="T9726"/>
      <c r="U9726"/>
    </row>
    <row r="9727" spans="1:21">
      <c r="A9727"/>
      <c r="C9727"/>
      <c r="D9727"/>
      <c r="L9727"/>
      <c r="R9727"/>
      <c r="S9727"/>
      <c r="T9727"/>
      <c r="U9727"/>
    </row>
    <row r="9728" spans="1:21">
      <c r="A9728"/>
      <c r="C9728"/>
      <c r="D9728"/>
      <c r="L9728"/>
      <c r="R9728"/>
      <c r="S9728"/>
      <c r="T9728"/>
      <c r="U9728"/>
    </row>
    <row r="9729" spans="1:21">
      <c r="A9729"/>
      <c r="C9729"/>
      <c r="D9729"/>
      <c r="L9729"/>
      <c r="R9729"/>
      <c r="S9729"/>
      <c r="T9729"/>
      <c r="U9729"/>
    </row>
    <row r="9730" spans="1:21">
      <c r="A9730"/>
      <c r="C9730"/>
      <c r="D9730"/>
      <c r="L9730"/>
      <c r="R9730"/>
      <c r="S9730"/>
      <c r="T9730"/>
      <c r="U9730"/>
    </row>
    <row r="9731" spans="1:21">
      <c r="A9731"/>
      <c r="C9731"/>
      <c r="D9731"/>
      <c r="L9731"/>
      <c r="R9731"/>
      <c r="S9731"/>
      <c r="T9731"/>
      <c r="U9731"/>
    </row>
    <row r="9732" spans="1:21">
      <c r="A9732"/>
      <c r="C9732"/>
      <c r="D9732"/>
      <c r="L9732"/>
      <c r="R9732"/>
      <c r="S9732"/>
      <c r="T9732"/>
      <c r="U9732"/>
    </row>
    <row r="9733" spans="1:21">
      <c r="A9733"/>
      <c r="C9733"/>
      <c r="D9733"/>
      <c r="L9733"/>
      <c r="R9733"/>
      <c r="S9733"/>
      <c r="T9733"/>
      <c r="U9733"/>
    </row>
    <row r="9734" spans="1:21">
      <c r="A9734"/>
      <c r="C9734"/>
      <c r="D9734"/>
      <c r="L9734"/>
      <c r="R9734"/>
      <c r="S9734"/>
      <c r="T9734"/>
      <c r="U9734"/>
    </row>
    <row r="9735" spans="1:21">
      <c r="A9735"/>
      <c r="C9735"/>
      <c r="D9735"/>
      <c r="L9735"/>
      <c r="R9735"/>
      <c r="S9735"/>
      <c r="T9735"/>
      <c r="U9735"/>
    </row>
    <row r="9736" spans="1:21">
      <c r="A9736"/>
      <c r="C9736"/>
      <c r="D9736"/>
      <c r="L9736"/>
      <c r="R9736"/>
      <c r="S9736"/>
      <c r="T9736"/>
      <c r="U9736"/>
    </row>
    <row r="9737" spans="1:21">
      <c r="A9737"/>
      <c r="C9737"/>
      <c r="D9737"/>
      <c r="L9737"/>
      <c r="R9737"/>
      <c r="S9737"/>
      <c r="T9737"/>
      <c r="U9737"/>
    </row>
    <row r="9738" spans="1:21">
      <c r="A9738"/>
      <c r="C9738"/>
      <c r="D9738"/>
      <c r="L9738"/>
      <c r="R9738"/>
      <c r="S9738"/>
      <c r="T9738"/>
      <c r="U9738"/>
    </row>
    <row r="9739" spans="1:21">
      <c r="A9739"/>
      <c r="C9739"/>
      <c r="D9739"/>
      <c r="L9739"/>
      <c r="R9739"/>
      <c r="S9739"/>
      <c r="T9739"/>
      <c r="U9739"/>
    </row>
    <row r="9740" spans="1:21">
      <c r="A9740"/>
      <c r="C9740"/>
      <c r="D9740"/>
      <c r="L9740"/>
      <c r="R9740"/>
      <c r="S9740"/>
      <c r="T9740"/>
      <c r="U9740"/>
    </row>
    <row r="9741" spans="1:21">
      <c r="A9741"/>
      <c r="C9741"/>
      <c r="D9741"/>
      <c r="L9741"/>
      <c r="R9741"/>
      <c r="S9741"/>
      <c r="T9741"/>
      <c r="U9741"/>
    </row>
    <row r="9742" spans="1:21">
      <c r="A9742"/>
      <c r="C9742"/>
      <c r="D9742"/>
      <c r="L9742"/>
      <c r="R9742"/>
      <c r="S9742"/>
      <c r="T9742"/>
      <c r="U9742"/>
    </row>
    <row r="9743" spans="1:21">
      <c r="A9743"/>
      <c r="C9743"/>
      <c r="D9743"/>
      <c r="L9743"/>
      <c r="R9743"/>
      <c r="S9743"/>
      <c r="T9743"/>
      <c r="U9743"/>
    </row>
    <row r="9744" spans="1:21">
      <c r="A9744"/>
      <c r="C9744"/>
      <c r="D9744"/>
      <c r="L9744"/>
      <c r="R9744"/>
      <c r="S9744"/>
      <c r="T9744"/>
      <c r="U9744"/>
    </row>
    <row r="9745" spans="1:21">
      <c r="A9745"/>
      <c r="C9745"/>
      <c r="D9745"/>
      <c r="L9745"/>
      <c r="R9745"/>
      <c r="S9745"/>
      <c r="T9745"/>
      <c r="U9745"/>
    </row>
    <row r="9746" spans="1:21">
      <c r="A9746"/>
      <c r="C9746"/>
      <c r="D9746"/>
      <c r="L9746"/>
      <c r="R9746"/>
      <c r="S9746"/>
      <c r="T9746"/>
      <c r="U9746"/>
    </row>
    <row r="9747" spans="1:21">
      <c r="A9747"/>
      <c r="C9747"/>
      <c r="D9747"/>
      <c r="L9747"/>
      <c r="R9747"/>
      <c r="S9747"/>
      <c r="T9747"/>
      <c r="U9747"/>
    </row>
    <row r="9748" spans="1:21">
      <c r="A9748"/>
      <c r="C9748"/>
      <c r="D9748"/>
      <c r="L9748"/>
      <c r="R9748"/>
      <c r="S9748"/>
      <c r="T9748"/>
      <c r="U9748"/>
    </row>
    <row r="9749" spans="1:21">
      <c r="A9749"/>
      <c r="C9749"/>
      <c r="D9749"/>
      <c r="L9749"/>
      <c r="R9749"/>
      <c r="S9749"/>
      <c r="T9749"/>
      <c r="U9749"/>
    </row>
    <row r="9750" spans="1:21">
      <c r="A9750"/>
      <c r="C9750"/>
      <c r="D9750"/>
      <c r="L9750"/>
      <c r="R9750"/>
      <c r="S9750"/>
      <c r="T9750"/>
      <c r="U9750"/>
    </row>
    <row r="9751" spans="1:21">
      <c r="A9751"/>
      <c r="C9751"/>
      <c r="D9751"/>
      <c r="L9751"/>
      <c r="R9751"/>
      <c r="S9751"/>
      <c r="T9751"/>
      <c r="U9751"/>
    </row>
    <row r="9752" spans="1:21">
      <c r="A9752"/>
      <c r="C9752"/>
      <c r="D9752"/>
      <c r="L9752"/>
      <c r="R9752"/>
      <c r="S9752"/>
      <c r="T9752"/>
      <c r="U9752"/>
    </row>
    <row r="9753" spans="1:21">
      <c r="A9753"/>
      <c r="C9753"/>
      <c r="D9753"/>
      <c r="L9753"/>
      <c r="R9753"/>
      <c r="S9753"/>
      <c r="T9753"/>
      <c r="U9753"/>
    </row>
    <row r="9754" spans="1:21">
      <c r="A9754"/>
      <c r="C9754"/>
      <c r="D9754"/>
      <c r="L9754"/>
      <c r="R9754"/>
      <c r="S9754"/>
      <c r="T9754"/>
      <c r="U9754"/>
    </row>
    <row r="9755" spans="1:21">
      <c r="A9755"/>
      <c r="C9755"/>
      <c r="D9755"/>
      <c r="L9755"/>
      <c r="R9755"/>
      <c r="S9755"/>
      <c r="T9755"/>
      <c r="U9755"/>
    </row>
    <row r="9756" spans="1:21">
      <c r="A9756"/>
      <c r="C9756"/>
      <c r="D9756"/>
      <c r="L9756"/>
      <c r="R9756"/>
      <c r="S9756"/>
      <c r="T9756"/>
      <c r="U9756"/>
    </row>
    <row r="9757" spans="1:21">
      <c r="A9757"/>
      <c r="C9757"/>
      <c r="D9757"/>
      <c r="L9757"/>
      <c r="R9757"/>
      <c r="S9757"/>
      <c r="T9757"/>
      <c r="U9757"/>
    </row>
    <row r="9758" spans="1:21">
      <c r="A9758"/>
      <c r="C9758"/>
      <c r="D9758"/>
      <c r="L9758"/>
      <c r="R9758"/>
      <c r="S9758"/>
      <c r="T9758"/>
      <c r="U9758"/>
    </row>
    <row r="9759" spans="1:21">
      <c r="A9759"/>
      <c r="C9759"/>
      <c r="D9759"/>
      <c r="L9759"/>
      <c r="R9759"/>
      <c r="S9759"/>
      <c r="T9759"/>
      <c r="U9759"/>
    </row>
    <row r="9760" spans="1:21">
      <c r="A9760"/>
      <c r="C9760"/>
      <c r="D9760"/>
      <c r="L9760"/>
      <c r="R9760"/>
      <c r="S9760"/>
      <c r="T9760"/>
      <c r="U9760"/>
    </row>
    <row r="9761" spans="1:21">
      <c r="A9761"/>
      <c r="C9761"/>
      <c r="D9761"/>
      <c r="L9761"/>
      <c r="R9761"/>
      <c r="S9761"/>
      <c r="T9761"/>
      <c r="U9761"/>
    </row>
    <row r="9762" spans="1:21">
      <c r="A9762"/>
      <c r="C9762"/>
      <c r="D9762"/>
      <c r="L9762"/>
      <c r="R9762"/>
      <c r="S9762"/>
      <c r="T9762"/>
      <c r="U9762"/>
    </row>
    <row r="9763" spans="1:21">
      <c r="A9763"/>
      <c r="C9763"/>
      <c r="D9763"/>
      <c r="L9763"/>
      <c r="R9763"/>
      <c r="S9763"/>
      <c r="T9763"/>
      <c r="U9763"/>
    </row>
    <row r="9764" spans="1:21">
      <c r="A9764"/>
      <c r="C9764"/>
      <c r="D9764"/>
      <c r="L9764"/>
      <c r="R9764"/>
      <c r="S9764"/>
      <c r="T9764"/>
      <c r="U9764"/>
    </row>
    <row r="9765" spans="1:21">
      <c r="A9765"/>
      <c r="C9765"/>
      <c r="D9765"/>
      <c r="L9765"/>
      <c r="R9765"/>
      <c r="S9765"/>
      <c r="T9765"/>
      <c r="U9765"/>
    </row>
    <row r="9766" spans="1:21">
      <c r="A9766"/>
      <c r="C9766"/>
      <c r="D9766"/>
      <c r="L9766"/>
      <c r="R9766"/>
      <c r="S9766"/>
      <c r="T9766"/>
      <c r="U9766"/>
    </row>
    <row r="9767" spans="1:21">
      <c r="A9767"/>
      <c r="C9767"/>
      <c r="D9767"/>
      <c r="L9767"/>
      <c r="R9767"/>
      <c r="S9767"/>
      <c r="T9767"/>
      <c r="U9767"/>
    </row>
    <row r="9768" spans="1:21">
      <c r="A9768"/>
      <c r="C9768"/>
      <c r="D9768"/>
      <c r="L9768"/>
      <c r="R9768"/>
      <c r="S9768"/>
      <c r="T9768"/>
      <c r="U9768"/>
    </row>
    <row r="9769" spans="1:21">
      <c r="A9769"/>
      <c r="C9769"/>
      <c r="D9769"/>
      <c r="L9769"/>
      <c r="R9769"/>
      <c r="S9769"/>
      <c r="T9769"/>
      <c r="U9769"/>
    </row>
    <row r="9770" spans="1:21">
      <c r="A9770"/>
      <c r="C9770"/>
      <c r="D9770"/>
      <c r="L9770"/>
      <c r="R9770"/>
      <c r="S9770"/>
      <c r="T9770"/>
      <c r="U9770"/>
    </row>
    <row r="9771" spans="1:21">
      <c r="A9771"/>
      <c r="C9771"/>
      <c r="D9771"/>
      <c r="L9771"/>
      <c r="R9771"/>
      <c r="S9771"/>
      <c r="T9771"/>
      <c r="U9771"/>
    </row>
    <row r="9772" spans="1:21">
      <c r="A9772"/>
      <c r="C9772"/>
      <c r="D9772"/>
      <c r="L9772"/>
      <c r="R9772"/>
      <c r="S9772"/>
      <c r="T9772"/>
      <c r="U9772"/>
    </row>
    <row r="9773" spans="1:21">
      <c r="A9773"/>
      <c r="C9773"/>
      <c r="D9773"/>
      <c r="L9773"/>
      <c r="R9773"/>
      <c r="S9773"/>
      <c r="T9773"/>
      <c r="U9773"/>
    </row>
    <row r="9774" spans="1:21">
      <c r="A9774"/>
      <c r="C9774"/>
      <c r="D9774"/>
      <c r="L9774"/>
      <c r="R9774"/>
      <c r="S9774"/>
      <c r="T9774"/>
      <c r="U9774"/>
    </row>
    <row r="9775" spans="1:21">
      <c r="A9775"/>
      <c r="C9775"/>
      <c r="D9775"/>
      <c r="L9775"/>
      <c r="R9775"/>
      <c r="S9775"/>
      <c r="T9775"/>
      <c r="U9775"/>
    </row>
    <row r="9776" spans="1:21">
      <c r="A9776"/>
      <c r="C9776"/>
      <c r="D9776"/>
      <c r="L9776"/>
      <c r="R9776"/>
      <c r="S9776"/>
      <c r="T9776"/>
      <c r="U9776"/>
    </row>
    <row r="9777" spans="1:21">
      <c r="A9777"/>
      <c r="C9777"/>
      <c r="D9777"/>
      <c r="L9777"/>
      <c r="R9777"/>
      <c r="S9777"/>
      <c r="T9777"/>
      <c r="U9777"/>
    </row>
    <row r="9778" spans="1:21">
      <c r="A9778"/>
      <c r="C9778"/>
      <c r="D9778"/>
      <c r="L9778"/>
      <c r="R9778"/>
      <c r="S9778"/>
      <c r="T9778"/>
      <c r="U9778"/>
    </row>
    <row r="9779" spans="1:21">
      <c r="A9779"/>
      <c r="C9779"/>
      <c r="D9779"/>
      <c r="L9779"/>
      <c r="R9779"/>
      <c r="S9779"/>
      <c r="T9779"/>
      <c r="U9779"/>
    </row>
    <row r="9780" spans="1:21">
      <c r="A9780"/>
      <c r="C9780"/>
      <c r="D9780"/>
      <c r="L9780"/>
      <c r="R9780"/>
      <c r="S9780"/>
      <c r="T9780"/>
      <c r="U9780"/>
    </row>
    <row r="9781" spans="1:21">
      <c r="A9781"/>
      <c r="C9781"/>
      <c r="D9781"/>
      <c r="L9781"/>
      <c r="R9781"/>
      <c r="S9781"/>
      <c r="T9781"/>
      <c r="U9781"/>
    </row>
    <row r="9782" spans="1:21">
      <c r="A9782"/>
      <c r="C9782"/>
      <c r="D9782"/>
      <c r="L9782"/>
      <c r="R9782"/>
      <c r="S9782"/>
      <c r="T9782"/>
      <c r="U9782"/>
    </row>
    <row r="9783" spans="1:21">
      <c r="A9783"/>
      <c r="C9783"/>
      <c r="D9783"/>
      <c r="L9783"/>
      <c r="R9783"/>
      <c r="S9783"/>
      <c r="T9783"/>
      <c r="U9783"/>
    </row>
    <row r="9784" spans="1:21">
      <c r="A9784"/>
      <c r="C9784"/>
      <c r="D9784"/>
      <c r="L9784"/>
      <c r="R9784"/>
      <c r="S9784"/>
      <c r="T9784"/>
      <c r="U9784"/>
    </row>
    <row r="9785" spans="1:21">
      <c r="A9785"/>
      <c r="C9785"/>
      <c r="D9785"/>
      <c r="L9785"/>
      <c r="R9785"/>
      <c r="S9785"/>
      <c r="T9785"/>
      <c r="U9785"/>
    </row>
    <row r="9786" spans="1:21">
      <c r="A9786"/>
      <c r="C9786"/>
      <c r="D9786"/>
      <c r="L9786"/>
      <c r="R9786"/>
      <c r="S9786"/>
      <c r="T9786"/>
      <c r="U9786"/>
    </row>
    <row r="9787" spans="1:21">
      <c r="A9787"/>
      <c r="C9787"/>
      <c r="D9787"/>
      <c r="L9787"/>
      <c r="R9787"/>
      <c r="S9787"/>
      <c r="T9787"/>
      <c r="U9787"/>
    </row>
    <row r="9788" spans="1:21">
      <c r="A9788"/>
      <c r="C9788"/>
      <c r="D9788"/>
      <c r="L9788"/>
      <c r="R9788"/>
      <c r="S9788"/>
      <c r="T9788"/>
      <c r="U9788"/>
    </row>
    <row r="9789" spans="1:21">
      <c r="A9789"/>
      <c r="C9789"/>
      <c r="D9789"/>
      <c r="L9789"/>
      <c r="R9789"/>
      <c r="S9789"/>
      <c r="T9789"/>
      <c r="U9789"/>
    </row>
    <row r="9790" spans="1:21">
      <c r="A9790"/>
      <c r="C9790"/>
      <c r="D9790"/>
      <c r="L9790"/>
      <c r="R9790"/>
      <c r="S9790"/>
      <c r="T9790"/>
      <c r="U9790"/>
    </row>
    <row r="9791" spans="1:21">
      <c r="A9791"/>
      <c r="C9791"/>
      <c r="D9791"/>
      <c r="L9791"/>
      <c r="R9791"/>
      <c r="S9791"/>
      <c r="T9791"/>
      <c r="U9791"/>
    </row>
    <row r="9792" spans="1:21">
      <c r="A9792"/>
      <c r="C9792"/>
      <c r="D9792"/>
      <c r="L9792"/>
      <c r="R9792"/>
      <c r="S9792"/>
      <c r="T9792"/>
      <c r="U9792"/>
    </row>
    <row r="9793" spans="1:21">
      <c r="A9793"/>
      <c r="C9793"/>
      <c r="D9793"/>
      <c r="L9793"/>
      <c r="R9793"/>
      <c r="S9793"/>
      <c r="T9793"/>
      <c r="U9793"/>
    </row>
    <row r="9794" spans="1:21">
      <c r="A9794"/>
      <c r="C9794"/>
      <c r="D9794"/>
      <c r="L9794"/>
      <c r="R9794"/>
      <c r="S9794"/>
      <c r="T9794"/>
      <c r="U9794"/>
    </row>
    <row r="9795" spans="1:21">
      <c r="A9795"/>
      <c r="C9795"/>
      <c r="D9795"/>
      <c r="L9795"/>
      <c r="R9795"/>
      <c r="S9795"/>
      <c r="T9795"/>
      <c r="U9795"/>
    </row>
    <row r="9796" spans="1:21">
      <c r="A9796"/>
      <c r="C9796"/>
      <c r="D9796"/>
      <c r="L9796"/>
      <c r="R9796"/>
      <c r="S9796"/>
      <c r="T9796"/>
      <c r="U9796"/>
    </row>
    <row r="9797" spans="1:21">
      <c r="A9797"/>
      <c r="C9797"/>
      <c r="D9797"/>
      <c r="L9797"/>
      <c r="R9797"/>
      <c r="S9797"/>
      <c r="T9797"/>
      <c r="U9797"/>
    </row>
    <row r="9798" spans="1:21">
      <c r="A9798"/>
      <c r="C9798"/>
      <c r="D9798"/>
      <c r="L9798"/>
      <c r="R9798"/>
      <c r="S9798"/>
      <c r="T9798"/>
      <c r="U9798"/>
    </row>
    <row r="9799" spans="1:21">
      <c r="A9799"/>
      <c r="C9799"/>
      <c r="D9799"/>
      <c r="L9799"/>
      <c r="R9799"/>
      <c r="S9799"/>
      <c r="T9799"/>
      <c r="U9799"/>
    </row>
    <row r="9800" spans="1:21">
      <c r="A9800"/>
      <c r="C9800"/>
      <c r="D9800"/>
      <c r="L9800"/>
      <c r="R9800"/>
      <c r="S9800"/>
      <c r="T9800"/>
      <c r="U9800"/>
    </row>
    <row r="9801" spans="1:21">
      <c r="A9801"/>
      <c r="C9801"/>
      <c r="D9801"/>
      <c r="L9801"/>
      <c r="R9801"/>
      <c r="S9801"/>
      <c r="T9801"/>
      <c r="U9801"/>
    </row>
    <row r="9802" spans="1:21">
      <c r="A9802"/>
      <c r="C9802"/>
      <c r="D9802"/>
      <c r="L9802"/>
      <c r="R9802"/>
      <c r="S9802"/>
      <c r="T9802"/>
      <c r="U9802"/>
    </row>
    <row r="9803" spans="1:21">
      <c r="A9803"/>
      <c r="C9803"/>
      <c r="D9803"/>
      <c r="L9803"/>
      <c r="R9803"/>
      <c r="S9803"/>
      <c r="T9803"/>
      <c r="U9803"/>
    </row>
    <row r="9804" spans="1:21">
      <c r="A9804"/>
      <c r="C9804"/>
      <c r="D9804"/>
      <c r="L9804"/>
      <c r="R9804"/>
      <c r="S9804"/>
      <c r="T9804"/>
      <c r="U9804"/>
    </row>
    <row r="9805" spans="1:21">
      <c r="A9805"/>
      <c r="C9805"/>
      <c r="D9805"/>
      <c r="L9805"/>
      <c r="R9805"/>
      <c r="S9805"/>
      <c r="T9805"/>
      <c r="U9805"/>
    </row>
    <row r="9806" spans="1:21">
      <c r="A9806"/>
      <c r="C9806"/>
      <c r="D9806"/>
      <c r="L9806"/>
      <c r="R9806"/>
      <c r="S9806"/>
      <c r="T9806"/>
      <c r="U9806"/>
    </row>
    <row r="9807" spans="1:21">
      <c r="A9807"/>
      <c r="C9807"/>
      <c r="D9807"/>
      <c r="L9807"/>
      <c r="R9807"/>
      <c r="S9807"/>
      <c r="T9807"/>
      <c r="U9807"/>
    </row>
    <row r="9808" spans="1:21">
      <c r="A9808"/>
      <c r="C9808"/>
      <c r="D9808"/>
      <c r="L9808"/>
      <c r="R9808"/>
      <c r="S9808"/>
      <c r="T9808"/>
      <c r="U9808"/>
    </row>
    <row r="9809" spans="1:21">
      <c r="A9809"/>
      <c r="C9809"/>
      <c r="D9809"/>
      <c r="L9809"/>
      <c r="R9809"/>
      <c r="S9809"/>
      <c r="T9809"/>
      <c r="U9809"/>
    </row>
    <row r="9810" spans="1:21">
      <c r="A9810"/>
      <c r="C9810"/>
      <c r="D9810"/>
      <c r="L9810"/>
      <c r="R9810"/>
      <c r="S9810"/>
      <c r="T9810"/>
      <c r="U9810"/>
    </row>
    <row r="9811" spans="1:21">
      <c r="A9811"/>
      <c r="C9811"/>
      <c r="D9811"/>
      <c r="L9811"/>
      <c r="R9811"/>
      <c r="S9811"/>
      <c r="T9811"/>
      <c r="U9811"/>
    </row>
    <row r="9812" spans="1:21">
      <c r="A9812"/>
      <c r="C9812"/>
      <c r="D9812"/>
      <c r="L9812"/>
      <c r="R9812"/>
      <c r="S9812"/>
      <c r="T9812"/>
      <c r="U9812"/>
    </row>
    <row r="9813" spans="1:21">
      <c r="A9813"/>
      <c r="C9813"/>
      <c r="D9813"/>
      <c r="L9813"/>
      <c r="R9813"/>
      <c r="S9813"/>
      <c r="T9813"/>
      <c r="U9813"/>
    </row>
    <row r="9814" spans="1:21">
      <c r="A9814"/>
      <c r="C9814"/>
      <c r="D9814"/>
      <c r="L9814"/>
      <c r="R9814"/>
      <c r="S9814"/>
      <c r="T9814"/>
      <c r="U9814"/>
    </row>
    <row r="9815" spans="1:21">
      <c r="A9815"/>
      <c r="C9815"/>
      <c r="D9815"/>
      <c r="L9815"/>
      <c r="R9815"/>
      <c r="S9815"/>
      <c r="T9815"/>
      <c r="U9815"/>
    </row>
    <row r="9816" spans="1:21">
      <c r="A9816"/>
      <c r="C9816"/>
      <c r="D9816"/>
      <c r="L9816"/>
      <c r="R9816"/>
      <c r="S9816"/>
      <c r="T9816"/>
      <c r="U9816"/>
    </row>
    <row r="9817" spans="1:21">
      <c r="A9817"/>
      <c r="C9817"/>
      <c r="D9817"/>
      <c r="L9817"/>
      <c r="R9817"/>
      <c r="S9817"/>
      <c r="T9817"/>
      <c r="U9817"/>
    </row>
    <row r="9818" spans="1:21">
      <c r="A9818"/>
      <c r="C9818"/>
      <c r="D9818"/>
      <c r="L9818"/>
      <c r="R9818"/>
      <c r="S9818"/>
      <c r="T9818"/>
      <c r="U9818"/>
    </row>
    <row r="9819" spans="1:21">
      <c r="A9819"/>
      <c r="C9819"/>
      <c r="D9819"/>
      <c r="L9819"/>
      <c r="R9819"/>
      <c r="S9819"/>
      <c r="T9819"/>
      <c r="U9819"/>
    </row>
    <row r="9820" spans="1:21">
      <c r="A9820"/>
      <c r="C9820"/>
      <c r="D9820"/>
      <c r="L9820"/>
      <c r="R9820"/>
      <c r="S9820"/>
      <c r="T9820"/>
      <c r="U9820"/>
    </row>
    <row r="9821" spans="1:21">
      <c r="A9821"/>
      <c r="C9821"/>
      <c r="D9821"/>
      <c r="L9821"/>
      <c r="R9821"/>
      <c r="S9821"/>
      <c r="T9821"/>
      <c r="U9821"/>
    </row>
    <row r="9822" spans="1:21">
      <c r="A9822"/>
      <c r="C9822"/>
      <c r="D9822"/>
      <c r="L9822"/>
      <c r="R9822"/>
      <c r="S9822"/>
      <c r="T9822"/>
      <c r="U9822"/>
    </row>
    <row r="9823" spans="1:21">
      <c r="A9823"/>
      <c r="C9823"/>
      <c r="D9823"/>
      <c r="L9823"/>
      <c r="R9823"/>
      <c r="S9823"/>
      <c r="T9823"/>
      <c r="U9823"/>
    </row>
    <row r="9824" spans="1:21">
      <c r="A9824"/>
      <c r="C9824"/>
      <c r="D9824"/>
      <c r="L9824"/>
      <c r="R9824"/>
      <c r="S9824"/>
      <c r="T9824"/>
      <c r="U9824"/>
    </row>
    <row r="9825" spans="1:21">
      <c r="A9825"/>
      <c r="C9825"/>
      <c r="D9825"/>
      <c r="L9825"/>
      <c r="R9825"/>
      <c r="S9825"/>
      <c r="T9825"/>
      <c r="U9825"/>
    </row>
    <row r="9826" spans="1:21">
      <c r="A9826"/>
      <c r="C9826"/>
      <c r="D9826"/>
      <c r="L9826"/>
      <c r="R9826"/>
      <c r="S9826"/>
      <c r="T9826"/>
      <c r="U9826"/>
    </row>
    <row r="9827" spans="1:21">
      <c r="A9827"/>
      <c r="C9827"/>
      <c r="D9827"/>
      <c r="L9827"/>
      <c r="R9827"/>
      <c r="S9827"/>
      <c r="T9827"/>
      <c r="U9827"/>
    </row>
    <row r="9828" spans="1:21">
      <c r="A9828"/>
      <c r="C9828"/>
      <c r="D9828"/>
      <c r="L9828"/>
      <c r="R9828"/>
      <c r="S9828"/>
      <c r="T9828"/>
      <c r="U9828"/>
    </row>
    <row r="9829" spans="1:21">
      <c r="A9829"/>
      <c r="C9829"/>
      <c r="D9829"/>
      <c r="L9829"/>
      <c r="R9829"/>
      <c r="S9829"/>
      <c r="T9829"/>
      <c r="U9829"/>
    </row>
    <row r="9830" spans="1:21">
      <c r="A9830"/>
      <c r="C9830"/>
      <c r="D9830"/>
      <c r="L9830"/>
      <c r="R9830"/>
      <c r="S9830"/>
      <c r="T9830"/>
      <c r="U9830"/>
    </row>
    <row r="9831" spans="1:21">
      <c r="A9831"/>
      <c r="C9831"/>
      <c r="D9831"/>
      <c r="L9831"/>
      <c r="R9831"/>
      <c r="S9831"/>
      <c r="T9831"/>
      <c r="U9831"/>
    </row>
    <row r="9832" spans="1:21">
      <c r="A9832"/>
      <c r="C9832"/>
      <c r="D9832"/>
      <c r="L9832"/>
      <c r="R9832"/>
      <c r="S9832"/>
      <c r="T9832"/>
      <c r="U9832"/>
    </row>
    <row r="9833" spans="1:21">
      <c r="A9833"/>
      <c r="C9833"/>
      <c r="D9833"/>
      <c r="L9833"/>
      <c r="R9833"/>
      <c r="S9833"/>
      <c r="T9833"/>
      <c r="U9833"/>
    </row>
    <row r="9834" spans="1:21">
      <c r="A9834"/>
      <c r="C9834"/>
      <c r="D9834"/>
      <c r="L9834"/>
      <c r="R9834"/>
      <c r="S9834"/>
      <c r="T9834"/>
      <c r="U9834"/>
    </row>
    <row r="9835" spans="1:21">
      <c r="A9835"/>
      <c r="C9835"/>
      <c r="D9835"/>
      <c r="L9835"/>
      <c r="R9835"/>
      <c r="S9835"/>
      <c r="T9835"/>
      <c r="U9835"/>
    </row>
    <row r="9836" spans="1:21">
      <c r="A9836"/>
      <c r="C9836"/>
      <c r="D9836"/>
      <c r="L9836"/>
      <c r="R9836"/>
      <c r="S9836"/>
      <c r="T9836"/>
      <c r="U9836"/>
    </row>
    <row r="9837" spans="1:21">
      <c r="A9837"/>
      <c r="C9837"/>
      <c r="D9837"/>
      <c r="L9837"/>
      <c r="R9837"/>
      <c r="S9837"/>
      <c r="T9837"/>
      <c r="U9837"/>
    </row>
    <row r="9838" spans="1:21">
      <c r="A9838"/>
      <c r="C9838"/>
      <c r="D9838"/>
      <c r="L9838"/>
      <c r="R9838"/>
      <c r="S9838"/>
      <c r="T9838"/>
      <c r="U9838"/>
    </row>
    <row r="9839" spans="1:21">
      <c r="A9839"/>
      <c r="C9839"/>
      <c r="D9839"/>
      <c r="L9839"/>
      <c r="R9839"/>
      <c r="S9839"/>
      <c r="T9839"/>
      <c r="U9839"/>
    </row>
    <row r="9840" spans="1:21">
      <c r="A9840"/>
      <c r="C9840"/>
      <c r="D9840"/>
      <c r="L9840"/>
      <c r="R9840"/>
      <c r="S9840"/>
      <c r="T9840"/>
      <c r="U9840"/>
    </row>
    <row r="9841" spans="1:21">
      <c r="A9841"/>
      <c r="C9841"/>
      <c r="D9841"/>
      <c r="L9841"/>
      <c r="R9841"/>
      <c r="S9841"/>
      <c r="T9841"/>
      <c r="U9841"/>
    </row>
    <row r="9842" spans="1:21">
      <c r="A9842"/>
      <c r="C9842"/>
      <c r="D9842"/>
      <c r="L9842"/>
      <c r="R9842"/>
      <c r="S9842"/>
      <c r="T9842"/>
      <c r="U9842"/>
    </row>
    <row r="9843" spans="1:21">
      <c r="A9843"/>
      <c r="C9843"/>
      <c r="D9843"/>
      <c r="L9843"/>
      <c r="R9843"/>
      <c r="S9843"/>
      <c r="T9843"/>
      <c r="U9843"/>
    </row>
    <row r="9844" spans="1:21">
      <c r="A9844"/>
      <c r="C9844"/>
      <c r="D9844"/>
      <c r="L9844"/>
      <c r="R9844"/>
      <c r="S9844"/>
      <c r="T9844"/>
      <c r="U9844"/>
    </row>
    <row r="9845" spans="1:21">
      <c r="A9845"/>
      <c r="C9845"/>
      <c r="D9845"/>
      <c r="L9845"/>
      <c r="R9845"/>
      <c r="S9845"/>
      <c r="T9845"/>
      <c r="U9845"/>
    </row>
    <row r="9846" spans="1:21">
      <c r="A9846"/>
      <c r="C9846"/>
      <c r="D9846"/>
      <c r="L9846"/>
      <c r="R9846"/>
      <c r="S9846"/>
      <c r="T9846"/>
      <c r="U9846"/>
    </row>
    <row r="9847" spans="1:21">
      <c r="A9847"/>
      <c r="C9847"/>
      <c r="D9847"/>
      <c r="L9847"/>
      <c r="R9847"/>
      <c r="S9847"/>
      <c r="T9847"/>
      <c r="U9847"/>
    </row>
    <row r="9848" spans="1:21">
      <c r="A9848"/>
      <c r="C9848"/>
      <c r="D9848"/>
      <c r="L9848"/>
      <c r="R9848"/>
      <c r="S9848"/>
      <c r="T9848"/>
      <c r="U9848"/>
    </row>
    <row r="9849" spans="1:21">
      <c r="A9849"/>
      <c r="C9849"/>
      <c r="D9849"/>
      <c r="L9849"/>
      <c r="R9849"/>
      <c r="S9849"/>
      <c r="T9849"/>
      <c r="U9849"/>
    </row>
    <row r="9850" spans="1:21">
      <c r="A9850"/>
      <c r="C9850"/>
      <c r="D9850"/>
      <c r="L9850"/>
      <c r="R9850"/>
      <c r="S9850"/>
      <c r="T9850"/>
      <c r="U9850"/>
    </row>
    <row r="9851" spans="1:21">
      <c r="A9851"/>
      <c r="C9851"/>
      <c r="D9851"/>
      <c r="L9851"/>
      <c r="R9851"/>
      <c r="S9851"/>
      <c r="T9851"/>
      <c r="U9851"/>
    </row>
    <row r="9852" spans="1:21">
      <c r="A9852"/>
      <c r="C9852"/>
      <c r="D9852"/>
      <c r="L9852"/>
      <c r="R9852"/>
      <c r="S9852"/>
      <c r="T9852"/>
      <c r="U9852"/>
    </row>
    <row r="9853" spans="1:21">
      <c r="A9853"/>
      <c r="C9853"/>
      <c r="D9853"/>
      <c r="L9853"/>
      <c r="R9853"/>
      <c r="S9853"/>
      <c r="T9853"/>
      <c r="U9853"/>
    </row>
    <row r="9854" spans="1:21">
      <c r="A9854"/>
      <c r="C9854"/>
      <c r="D9854"/>
      <c r="L9854"/>
      <c r="R9854"/>
      <c r="S9854"/>
      <c r="T9854"/>
      <c r="U9854"/>
    </row>
    <row r="9855" spans="1:21">
      <c r="A9855"/>
      <c r="C9855"/>
      <c r="D9855"/>
      <c r="L9855"/>
      <c r="R9855"/>
      <c r="S9855"/>
      <c r="T9855"/>
      <c r="U9855"/>
    </row>
    <row r="9856" spans="1:21">
      <c r="A9856"/>
      <c r="C9856"/>
      <c r="D9856"/>
      <c r="L9856"/>
      <c r="R9856"/>
      <c r="S9856"/>
      <c r="T9856"/>
      <c r="U9856"/>
    </row>
    <row r="9857" spans="1:21">
      <c r="A9857"/>
      <c r="C9857"/>
      <c r="D9857"/>
      <c r="L9857"/>
      <c r="R9857"/>
      <c r="S9857"/>
      <c r="T9857"/>
      <c r="U9857"/>
    </row>
    <row r="9858" spans="1:21">
      <c r="A9858"/>
      <c r="C9858"/>
      <c r="D9858"/>
      <c r="L9858"/>
      <c r="R9858"/>
      <c r="S9858"/>
      <c r="T9858"/>
      <c r="U9858"/>
    </row>
    <row r="9859" spans="1:21">
      <c r="A9859"/>
      <c r="C9859"/>
      <c r="D9859"/>
      <c r="L9859"/>
      <c r="R9859"/>
      <c r="S9859"/>
      <c r="T9859"/>
      <c r="U9859"/>
    </row>
    <row r="9860" spans="1:21">
      <c r="A9860"/>
      <c r="C9860"/>
      <c r="D9860"/>
      <c r="L9860"/>
      <c r="R9860"/>
      <c r="S9860"/>
      <c r="T9860"/>
      <c r="U9860"/>
    </row>
    <row r="9861" spans="1:21">
      <c r="A9861"/>
      <c r="C9861"/>
      <c r="D9861"/>
      <c r="L9861"/>
      <c r="R9861"/>
      <c r="S9861"/>
      <c r="T9861"/>
      <c r="U9861"/>
    </row>
    <row r="9862" spans="1:21">
      <c r="A9862"/>
      <c r="C9862"/>
      <c r="D9862"/>
      <c r="L9862"/>
      <c r="R9862"/>
      <c r="S9862"/>
      <c r="T9862"/>
      <c r="U9862"/>
    </row>
    <row r="9863" spans="1:21">
      <c r="A9863"/>
      <c r="C9863"/>
      <c r="D9863"/>
      <c r="L9863"/>
      <c r="R9863"/>
      <c r="S9863"/>
      <c r="T9863"/>
      <c r="U9863"/>
    </row>
    <row r="9864" spans="1:21">
      <c r="A9864"/>
      <c r="C9864"/>
      <c r="D9864"/>
      <c r="L9864"/>
      <c r="R9864"/>
      <c r="S9864"/>
      <c r="T9864"/>
      <c r="U9864"/>
    </row>
    <row r="9865" spans="1:21">
      <c r="A9865"/>
      <c r="C9865"/>
      <c r="D9865"/>
      <c r="L9865"/>
      <c r="R9865"/>
      <c r="S9865"/>
      <c r="T9865"/>
      <c r="U9865"/>
    </row>
    <row r="9866" spans="1:21">
      <c r="A9866"/>
      <c r="C9866"/>
      <c r="D9866"/>
      <c r="L9866"/>
      <c r="R9866"/>
      <c r="S9866"/>
      <c r="T9866"/>
      <c r="U9866"/>
    </row>
    <row r="9867" spans="1:21">
      <c r="A9867"/>
      <c r="C9867"/>
      <c r="D9867"/>
      <c r="L9867"/>
      <c r="R9867"/>
      <c r="S9867"/>
      <c r="T9867"/>
      <c r="U9867"/>
    </row>
    <row r="9868" spans="1:21">
      <c r="A9868"/>
      <c r="C9868"/>
      <c r="D9868"/>
      <c r="L9868"/>
      <c r="R9868"/>
      <c r="S9868"/>
      <c r="T9868"/>
      <c r="U9868"/>
    </row>
    <row r="9869" spans="1:21">
      <c r="A9869"/>
      <c r="C9869"/>
      <c r="D9869"/>
      <c r="L9869"/>
      <c r="R9869"/>
      <c r="S9869"/>
      <c r="T9869"/>
      <c r="U9869"/>
    </row>
    <row r="9870" spans="1:21">
      <c r="A9870"/>
      <c r="C9870"/>
      <c r="D9870"/>
      <c r="L9870"/>
      <c r="R9870"/>
      <c r="S9870"/>
      <c r="T9870"/>
      <c r="U9870"/>
    </row>
    <row r="9871" spans="1:21">
      <c r="A9871"/>
      <c r="C9871"/>
      <c r="D9871"/>
      <c r="L9871"/>
      <c r="R9871"/>
      <c r="S9871"/>
      <c r="T9871"/>
      <c r="U9871"/>
    </row>
    <row r="9872" spans="1:21">
      <c r="A9872"/>
      <c r="C9872"/>
      <c r="D9872"/>
      <c r="L9872"/>
      <c r="R9872"/>
      <c r="S9872"/>
      <c r="T9872"/>
      <c r="U9872"/>
    </row>
    <row r="9873" spans="1:21">
      <c r="A9873"/>
      <c r="C9873"/>
      <c r="D9873"/>
      <c r="L9873"/>
      <c r="R9873"/>
      <c r="S9873"/>
      <c r="T9873"/>
      <c r="U9873"/>
    </row>
    <row r="9874" spans="1:21">
      <c r="A9874"/>
      <c r="C9874"/>
      <c r="D9874"/>
      <c r="L9874"/>
      <c r="R9874"/>
      <c r="S9874"/>
      <c r="T9874"/>
      <c r="U9874"/>
    </row>
    <row r="9875" spans="1:21">
      <c r="A9875"/>
      <c r="C9875"/>
      <c r="D9875"/>
      <c r="L9875"/>
      <c r="R9875"/>
      <c r="S9875"/>
      <c r="T9875"/>
      <c r="U9875"/>
    </row>
    <row r="9876" spans="1:21">
      <c r="A9876"/>
      <c r="C9876"/>
      <c r="D9876"/>
      <c r="L9876"/>
      <c r="R9876"/>
      <c r="S9876"/>
      <c r="T9876"/>
      <c r="U9876"/>
    </row>
    <row r="9877" spans="1:21">
      <c r="A9877"/>
      <c r="C9877"/>
      <c r="D9877"/>
      <c r="L9877"/>
      <c r="R9877"/>
      <c r="S9877"/>
      <c r="T9877"/>
      <c r="U9877"/>
    </row>
    <row r="9878" spans="1:21">
      <c r="A9878"/>
      <c r="C9878"/>
      <c r="D9878"/>
      <c r="L9878"/>
      <c r="R9878"/>
      <c r="S9878"/>
      <c r="T9878"/>
      <c r="U9878"/>
    </row>
    <row r="9879" spans="1:21">
      <c r="A9879"/>
      <c r="C9879"/>
      <c r="D9879"/>
      <c r="L9879"/>
      <c r="R9879"/>
      <c r="S9879"/>
      <c r="T9879"/>
      <c r="U9879"/>
    </row>
    <row r="9880" spans="1:21">
      <c r="A9880"/>
      <c r="C9880"/>
      <c r="D9880"/>
      <c r="L9880"/>
      <c r="R9880"/>
      <c r="S9880"/>
      <c r="T9880"/>
      <c r="U9880"/>
    </row>
    <row r="9881" spans="1:21">
      <c r="A9881"/>
      <c r="C9881"/>
      <c r="D9881"/>
      <c r="L9881"/>
      <c r="R9881"/>
      <c r="S9881"/>
      <c r="T9881"/>
      <c r="U9881"/>
    </row>
    <row r="9882" spans="1:21">
      <c r="A9882"/>
      <c r="C9882"/>
      <c r="D9882"/>
      <c r="L9882"/>
      <c r="R9882"/>
      <c r="S9882"/>
      <c r="T9882"/>
      <c r="U9882"/>
    </row>
    <row r="9883" spans="1:21">
      <c r="A9883"/>
      <c r="C9883"/>
      <c r="D9883"/>
      <c r="L9883"/>
      <c r="R9883"/>
      <c r="S9883"/>
      <c r="T9883"/>
      <c r="U9883"/>
    </row>
    <row r="9884" spans="1:21">
      <c r="A9884"/>
      <c r="C9884"/>
      <c r="D9884"/>
      <c r="L9884"/>
      <c r="R9884"/>
      <c r="S9884"/>
      <c r="T9884"/>
      <c r="U9884"/>
    </row>
    <row r="9885" spans="1:21">
      <c r="A9885"/>
      <c r="C9885"/>
      <c r="D9885"/>
      <c r="L9885"/>
      <c r="R9885"/>
      <c r="S9885"/>
      <c r="T9885"/>
      <c r="U9885"/>
    </row>
    <row r="9886" spans="1:21">
      <c r="A9886"/>
      <c r="C9886"/>
      <c r="D9886"/>
      <c r="L9886"/>
      <c r="R9886"/>
      <c r="S9886"/>
      <c r="T9886"/>
      <c r="U9886"/>
    </row>
    <row r="9887" spans="1:21">
      <c r="A9887"/>
      <c r="C9887"/>
      <c r="D9887"/>
      <c r="L9887"/>
      <c r="R9887"/>
      <c r="S9887"/>
      <c r="T9887"/>
      <c r="U9887"/>
    </row>
    <row r="9888" spans="1:21">
      <c r="A9888"/>
      <c r="C9888"/>
      <c r="D9888"/>
      <c r="L9888"/>
      <c r="R9888"/>
      <c r="S9888"/>
      <c r="T9888"/>
      <c r="U9888"/>
    </row>
    <row r="9889" spans="1:21">
      <c r="A9889"/>
      <c r="C9889"/>
      <c r="D9889"/>
      <c r="L9889"/>
      <c r="R9889"/>
      <c r="S9889"/>
      <c r="T9889"/>
      <c r="U9889"/>
    </row>
    <row r="9890" spans="1:21">
      <c r="A9890"/>
      <c r="C9890"/>
      <c r="D9890"/>
      <c r="L9890"/>
      <c r="R9890"/>
      <c r="S9890"/>
      <c r="T9890"/>
      <c r="U9890"/>
    </row>
    <row r="9891" spans="1:21">
      <c r="A9891"/>
      <c r="C9891"/>
      <c r="D9891"/>
      <c r="L9891"/>
      <c r="R9891"/>
      <c r="S9891"/>
      <c r="T9891"/>
      <c r="U9891"/>
    </row>
    <row r="9892" spans="1:21">
      <c r="A9892"/>
      <c r="C9892"/>
      <c r="D9892"/>
      <c r="L9892"/>
      <c r="R9892"/>
      <c r="S9892"/>
      <c r="T9892"/>
      <c r="U9892"/>
    </row>
    <row r="9893" spans="1:21">
      <c r="A9893"/>
      <c r="C9893"/>
      <c r="D9893"/>
      <c r="L9893"/>
      <c r="R9893"/>
      <c r="S9893"/>
      <c r="T9893"/>
      <c r="U9893"/>
    </row>
    <row r="9894" spans="1:21">
      <c r="A9894"/>
      <c r="C9894"/>
      <c r="D9894"/>
      <c r="L9894"/>
      <c r="R9894"/>
      <c r="S9894"/>
      <c r="T9894"/>
      <c r="U9894"/>
    </row>
    <row r="9895" spans="1:21">
      <c r="A9895"/>
      <c r="C9895"/>
      <c r="D9895"/>
      <c r="L9895"/>
      <c r="R9895"/>
      <c r="S9895"/>
      <c r="T9895"/>
      <c r="U9895"/>
    </row>
    <row r="9896" spans="1:21">
      <c r="A9896"/>
      <c r="C9896"/>
      <c r="D9896"/>
      <c r="L9896"/>
      <c r="R9896"/>
      <c r="S9896"/>
      <c r="T9896"/>
      <c r="U9896"/>
    </row>
    <row r="9897" spans="1:21">
      <c r="A9897"/>
      <c r="C9897"/>
      <c r="D9897"/>
      <c r="L9897"/>
      <c r="R9897"/>
      <c r="S9897"/>
      <c r="T9897"/>
      <c r="U9897"/>
    </row>
    <row r="9898" spans="1:21">
      <c r="A9898"/>
      <c r="C9898"/>
      <c r="D9898"/>
      <c r="L9898"/>
      <c r="R9898"/>
      <c r="S9898"/>
      <c r="T9898"/>
      <c r="U9898"/>
    </row>
    <row r="9899" spans="1:21">
      <c r="A9899"/>
      <c r="C9899"/>
      <c r="D9899"/>
      <c r="L9899"/>
      <c r="R9899"/>
      <c r="S9899"/>
      <c r="T9899"/>
      <c r="U9899"/>
    </row>
    <row r="9900" spans="1:21">
      <c r="A9900"/>
      <c r="C9900"/>
      <c r="D9900"/>
      <c r="L9900"/>
      <c r="R9900"/>
      <c r="S9900"/>
      <c r="T9900"/>
      <c r="U9900"/>
    </row>
    <row r="9901" spans="1:21">
      <c r="A9901"/>
      <c r="C9901"/>
      <c r="D9901"/>
      <c r="L9901"/>
      <c r="R9901"/>
      <c r="S9901"/>
      <c r="T9901"/>
      <c r="U9901"/>
    </row>
    <row r="9902" spans="1:21">
      <c r="A9902"/>
      <c r="C9902"/>
      <c r="D9902"/>
      <c r="L9902"/>
      <c r="R9902"/>
      <c r="S9902"/>
      <c r="T9902"/>
      <c r="U9902"/>
    </row>
    <row r="9903" spans="1:21">
      <c r="A9903"/>
      <c r="C9903"/>
      <c r="D9903"/>
      <c r="L9903"/>
      <c r="R9903"/>
      <c r="S9903"/>
      <c r="T9903"/>
      <c r="U9903"/>
    </row>
    <row r="9904" spans="1:21">
      <c r="A9904"/>
      <c r="C9904"/>
      <c r="D9904"/>
      <c r="L9904"/>
      <c r="R9904"/>
      <c r="S9904"/>
      <c r="T9904"/>
      <c r="U9904"/>
    </row>
    <row r="9905" spans="1:21">
      <c r="A9905"/>
      <c r="C9905"/>
      <c r="D9905"/>
      <c r="L9905"/>
      <c r="R9905"/>
      <c r="S9905"/>
      <c r="T9905"/>
      <c r="U9905"/>
    </row>
    <row r="9906" spans="1:21">
      <c r="A9906"/>
      <c r="C9906"/>
      <c r="D9906"/>
      <c r="L9906"/>
      <c r="R9906"/>
      <c r="S9906"/>
      <c r="T9906"/>
      <c r="U9906"/>
    </row>
    <row r="9907" spans="1:21">
      <c r="A9907"/>
      <c r="C9907"/>
      <c r="D9907"/>
      <c r="L9907"/>
      <c r="R9907"/>
      <c r="S9907"/>
      <c r="T9907"/>
      <c r="U9907"/>
    </row>
    <row r="9908" spans="1:21">
      <c r="A9908"/>
      <c r="C9908"/>
      <c r="D9908"/>
      <c r="L9908"/>
      <c r="R9908"/>
      <c r="S9908"/>
      <c r="T9908"/>
      <c r="U9908"/>
    </row>
    <row r="9909" spans="1:21">
      <c r="A9909"/>
      <c r="C9909"/>
      <c r="D9909"/>
      <c r="L9909"/>
      <c r="R9909"/>
      <c r="S9909"/>
      <c r="T9909"/>
      <c r="U9909"/>
    </row>
    <row r="9910" spans="1:21">
      <c r="A9910"/>
      <c r="C9910"/>
      <c r="D9910"/>
      <c r="L9910"/>
      <c r="R9910"/>
      <c r="S9910"/>
      <c r="T9910"/>
      <c r="U9910"/>
    </row>
    <row r="9911" spans="1:21">
      <c r="A9911"/>
      <c r="C9911"/>
      <c r="D9911"/>
      <c r="L9911"/>
      <c r="R9911"/>
      <c r="S9911"/>
      <c r="T9911"/>
      <c r="U9911"/>
    </row>
    <row r="9912" spans="1:21">
      <c r="A9912"/>
      <c r="C9912"/>
      <c r="D9912"/>
      <c r="L9912"/>
      <c r="R9912"/>
      <c r="S9912"/>
      <c r="T9912"/>
      <c r="U9912"/>
    </row>
    <row r="9913" spans="1:21">
      <c r="A9913"/>
      <c r="C9913"/>
      <c r="D9913"/>
      <c r="L9913"/>
      <c r="R9913"/>
      <c r="S9913"/>
      <c r="T9913"/>
      <c r="U9913"/>
    </row>
    <row r="9914" spans="1:21">
      <c r="A9914"/>
      <c r="C9914"/>
      <c r="D9914"/>
      <c r="L9914"/>
      <c r="R9914"/>
      <c r="S9914"/>
      <c r="T9914"/>
      <c r="U9914"/>
    </row>
    <row r="9915" spans="1:21">
      <c r="A9915"/>
      <c r="C9915"/>
      <c r="D9915"/>
      <c r="L9915"/>
      <c r="R9915"/>
      <c r="S9915"/>
      <c r="T9915"/>
      <c r="U9915"/>
    </row>
    <row r="9916" spans="1:21">
      <c r="A9916"/>
      <c r="C9916"/>
      <c r="D9916"/>
      <c r="L9916"/>
      <c r="R9916"/>
      <c r="S9916"/>
      <c r="T9916"/>
      <c r="U9916"/>
    </row>
    <row r="9917" spans="1:21">
      <c r="A9917"/>
      <c r="C9917"/>
      <c r="D9917"/>
      <c r="L9917"/>
      <c r="R9917"/>
      <c r="S9917"/>
      <c r="T9917"/>
      <c r="U9917"/>
    </row>
    <row r="9918" spans="1:21">
      <c r="A9918"/>
      <c r="C9918"/>
      <c r="D9918"/>
      <c r="L9918"/>
      <c r="R9918"/>
      <c r="S9918"/>
      <c r="T9918"/>
      <c r="U9918"/>
    </row>
    <row r="9919" spans="1:21">
      <c r="A9919"/>
      <c r="C9919"/>
      <c r="D9919"/>
      <c r="L9919"/>
      <c r="R9919"/>
      <c r="S9919"/>
      <c r="T9919"/>
      <c r="U9919"/>
    </row>
    <row r="9920" spans="1:21">
      <c r="A9920"/>
      <c r="C9920"/>
      <c r="D9920"/>
      <c r="L9920"/>
      <c r="R9920"/>
      <c r="S9920"/>
      <c r="T9920"/>
      <c r="U9920"/>
    </row>
    <row r="9921" spans="1:21">
      <c r="A9921"/>
      <c r="C9921"/>
      <c r="D9921"/>
      <c r="L9921"/>
      <c r="R9921"/>
      <c r="S9921"/>
      <c r="T9921"/>
      <c r="U9921"/>
    </row>
    <row r="9922" spans="1:21">
      <c r="A9922"/>
      <c r="C9922"/>
      <c r="D9922"/>
      <c r="L9922"/>
      <c r="R9922"/>
      <c r="S9922"/>
      <c r="T9922"/>
      <c r="U9922"/>
    </row>
    <row r="9923" spans="1:21">
      <c r="A9923"/>
      <c r="C9923"/>
      <c r="D9923"/>
      <c r="L9923"/>
      <c r="R9923"/>
      <c r="S9923"/>
      <c r="T9923"/>
      <c r="U9923"/>
    </row>
    <row r="9924" spans="1:21">
      <c r="A9924"/>
      <c r="C9924"/>
      <c r="D9924"/>
      <c r="L9924"/>
      <c r="R9924"/>
      <c r="S9924"/>
      <c r="T9924"/>
      <c r="U9924"/>
    </row>
    <row r="9925" spans="1:21">
      <c r="A9925"/>
      <c r="C9925"/>
      <c r="D9925"/>
      <c r="L9925"/>
      <c r="R9925"/>
      <c r="S9925"/>
      <c r="T9925"/>
      <c r="U9925"/>
    </row>
    <row r="9926" spans="1:21">
      <c r="A9926"/>
      <c r="C9926"/>
      <c r="D9926"/>
      <c r="L9926"/>
      <c r="R9926"/>
      <c r="S9926"/>
      <c r="T9926"/>
      <c r="U9926"/>
    </row>
    <row r="9927" spans="1:21">
      <c r="A9927"/>
      <c r="C9927"/>
      <c r="D9927"/>
      <c r="L9927"/>
      <c r="R9927"/>
      <c r="S9927"/>
      <c r="T9927"/>
      <c r="U9927"/>
    </row>
    <row r="9928" spans="1:21">
      <c r="A9928"/>
      <c r="C9928"/>
      <c r="D9928"/>
      <c r="L9928"/>
      <c r="R9928"/>
      <c r="S9928"/>
      <c r="T9928"/>
      <c r="U9928"/>
    </row>
    <row r="9929" spans="1:21">
      <c r="A9929"/>
      <c r="C9929"/>
      <c r="D9929"/>
      <c r="L9929"/>
      <c r="R9929"/>
      <c r="S9929"/>
      <c r="T9929"/>
      <c r="U9929"/>
    </row>
    <row r="9930" spans="1:21">
      <c r="A9930"/>
      <c r="C9930"/>
      <c r="D9930"/>
      <c r="L9930"/>
      <c r="R9930"/>
      <c r="S9930"/>
      <c r="T9930"/>
      <c r="U9930"/>
    </row>
    <row r="9931" spans="1:21">
      <c r="A9931"/>
      <c r="C9931"/>
      <c r="D9931"/>
      <c r="L9931"/>
      <c r="R9931"/>
      <c r="S9931"/>
      <c r="T9931"/>
      <c r="U9931"/>
    </row>
    <row r="9932" spans="1:21">
      <c r="A9932"/>
      <c r="C9932"/>
      <c r="D9932"/>
      <c r="L9932"/>
      <c r="R9932"/>
      <c r="S9932"/>
      <c r="T9932"/>
      <c r="U9932"/>
    </row>
    <row r="9933" spans="1:21">
      <c r="A9933"/>
      <c r="C9933"/>
      <c r="D9933"/>
      <c r="L9933"/>
      <c r="R9933"/>
      <c r="S9933"/>
      <c r="T9933"/>
      <c r="U9933"/>
    </row>
    <row r="9934" spans="1:21">
      <c r="A9934"/>
      <c r="C9934"/>
      <c r="D9934"/>
      <c r="L9934"/>
      <c r="R9934"/>
      <c r="S9934"/>
      <c r="T9934"/>
      <c r="U9934"/>
    </row>
    <row r="9935" spans="1:21">
      <c r="A9935"/>
      <c r="C9935"/>
      <c r="D9935"/>
      <c r="L9935"/>
      <c r="R9935"/>
      <c r="S9935"/>
      <c r="T9935"/>
      <c r="U9935"/>
    </row>
    <row r="9936" spans="1:21">
      <c r="A9936"/>
      <c r="C9936"/>
      <c r="D9936"/>
      <c r="L9936"/>
      <c r="R9936"/>
      <c r="S9936"/>
      <c r="T9936"/>
      <c r="U9936"/>
    </row>
    <row r="9937" spans="1:21">
      <c r="A9937"/>
      <c r="C9937"/>
      <c r="D9937"/>
      <c r="L9937"/>
      <c r="R9937"/>
      <c r="S9937"/>
      <c r="T9937"/>
      <c r="U9937"/>
    </row>
    <row r="9938" spans="1:21">
      <c r="A9938"/>
      <c r="C9938"/>
      <c r="D9938"/>
      <c r="L9938"/>
      <c r="R9938"/>
      <c r="S9938"/>
      <c r="T9938"/>
      <c r="U9938"/>
    </row>
    <row r="9939" spans="1:21">
      <c r="A9939"/>
      <c r="C9939"/>
      <c r="D9939"/>
      <c r="L9939"/>
      <c r="R9939"/>
      <c r="S9939"/>
      <c r="T9939"/>
      <c r="U9939"/>
    </row>
    <row r="9940" spans="1:21">
      <c r="A9940"/>
      <c r="C9940"/>
      <c r="D9940"/>
      <c r="L9940"/>
      <c r="R9940"/>
      <c r="S9940"/>
      <c r="T9940"/>
      <c r="U9940"/>
    </row>
    <row r="9941" spans="1:21">
      <c r="A9941"/>
      <c r="C9941"/>
      <c r="D9941"/>
      <c r="L9941"/>
      <c r="R9941"/>
      <c r="S9941"/>
      <c r="T9941"/>
      <c r="U9941"/>
    </row>
    <row r="9942" spans="1:21">
      <c r="A9942"/>
      <c r="C9942"/>
      <c r="D9942"/>
      <c r="L9942"/>
      <c r="R9942"/>
      <c r="S9942"/>
      <c r="T9942"/>
      <c r="U9942"/>
    </row>
    <row r="9943" spans="1:21">
      <c r="A9943"/>
      <c r="C9943"/>
      <c r="D9943"/>
      <c r="L9943"/>
      <c r="R9943"/>
      <c r="S9943"/>
      <c r="T9943"/>
      <c r="U9943"/>
    </row>
    <row r="9944" spans="1:21">
      <c r="A9944"/>
      <c r="C9944"/>
      <c r="D9944"/>
      <c r="L9944"/>
      <c r="R9944"/>
      <c r="S9944"/>
      <c r="T9944"/>
      <c r="U9944"/>
    </row>
    <row r="9945" spans="1:21">
      <c r="A9945"/>
      <c r="C9945"/>
      <c r="D9945"/>
      <c r="L9945"/>
      <c r="R9945"/>
      <c r="S9945"/>
      <c r="T9945"/>
      <c r="U9945"/>
    </row>
    <row r="9946" spans="1:21">
      <c r="A9946"/>
      <c r="C9946"/>
      <c r="D9946"/>
      <c r="L9946"/>
      <c r="R9946"/>
      <c r="S9946"/>
      <c r="T9946"/>
      <c r="U9946"/>
    </row>
    <row r="9947" spans="1:21">
      <c r="A9947"/>
      <c r="C9947"/>
      <c r="D9947"/>
      <c r="L9947"/>
      <c r="R9947"/>
      <c r="S9947"/>
      <c r="T9947"/>
      <c r="U9947"/>
    </row>
    <row r="9948" spans="1:21">
      <c r="A9948"/>
      <c r="C9948"/>
      <c r="D9948"/>
      <c r="L9948"/>
      <c r="R9948"/>
      <c r="S9948"/>
      <c r="T9948"/>
      <c r="U9948"/>
    </row>
    <row r="9949" spans="1:21">
      <c r="A9949"/>
      <c r="C9949"/>
      <c r="D9949"/>
      <c r="L9949"/>
      <c r="R9949"/>
      <c r="S9949"/>
      <c r="T9949"/>
      <c r="U9949"/>
    </row>
    <row r="9950" spans="1:21">
      <c r="A9950"/>
      <c r="C9950"/>
      <c r="D9950"/>
      <c r="L9950"/>
      <c r="R9950"/>
      <c r="S9950"/>
      <c r="T9950"/>
      <c r="U9950"/>
    </row>
    <row r="9951" spans="1:21">
      <c r="A9951"/>
      <c r="C9951"/>
      <c r="D9951"/>
      <c r="L9951"/>
      <c r="R9951"/>
      <c r="S9951"/>
      <c r="T9951"/>
      <c r="U9951"/>
    </row>
    <row r="9952" spans="1:21">
      <c r="A9952"/>
      <c r="C9952"/>
      <c r="D9952"/>
      <c r="L9952"/>
      <c r="R9952"/>
      <c r="S9952"/>
      <c r="T9952"/>
      <c r="U9952"/>
    </row>
    <row r="9953" spans="1:21">
      <c r="A9953"/>
      <c r="C9953"/>
      <c r="D9953"/>
      <c r="L9953"/>
      <c r="R9953"/>
      <c r="S9953"/>
      <c r="T9953"/>
      <c r="U9953"/>
    </row>
    <row r="9954" spans="1:21">
      <c r="A9954"/>
      <c r="C9954"/>
      <c r="D9954"/>
      <c r="L9954"/>
      <c r="R9954"/>
      <c r="S9954"/>
      <c r="T9954"/>
      <c r="U9954"/>
    </row>
    <row r="9955" spans="1:21">
      <c r="A9955"/>
      <c r="C9955"/>
      <c r="D9955"/>
      <c r="L9955"/>
      <c r="R9955"/>
      <c r="S9955"/>
      <c r="T9955"/>
      <c r="U9955"/>
    </row>
    <row r="9956" spans="1:21">
      <c r="A9956"/>
      <c r="C9956"/>
      <c r="D9956"/>
      <c r="L9956"/>
      <c r="R9956"/>
      <c r="S9956"/>
      <c r="T9956"/>
      <c r="U9956"/>
    </row>
    <row r="9957" spans="1:21">
      <c r="A9957"/>
      <c r="C9957"/>
      <c r="D9957"/>
      <c r="L9957"/>
      <c r="R9957"/>
      <c r="S9957"/>
      <c r="T9957"/>
      <c r="U9957"/>
    </row>
    <row r="9958" spans="1:21">
      <c r="A9958"/>
      <c r="C9958"/>
      <c r="D9958"/>
      <c r="L9958"/>
      <c r="R9958"/>
      <c r="S9958"/>
      <c r="T9958"/>
      <c r="U9958"/>
    </row>
    <row r="9959" spans="1:21">
      <c r="A9959"/>
      <c r="C9959"/>
      <c r="D9959"/>
      <c r="L9959"/>
      <c r="R9959"/>
      <c r="S9959"/>
      <c r="T9959"/>
      <c r="U9959"/>
    </row>
    <row r="9960" spans="1:21">
      <c r="A9960"/>
      <c r="C9960"/>
      <c r="D9960"/>
      <c r="L9960"/>
      <c r="R9960"/>
      <c r="S9960"/>
      <c r="T9960"/>
      <c r="U9960"/>
    </row>
    <row r="9961" spans="1:21">
      <c r="A9961"/>
      <c r="C9961"/>
      <c r="D9961"/>
      <c r="L9961"/>
      <c r="R9961"/>
      <c r="S9961"/>
      <c r="T9961"/>
      <c r="U9961"/>
    </row>
    <row r="9962" spans="1:21">
      <c r="A9962"/>
      <c r="C9962"/>
      <c r="D9962"/>
      <c r="L9962"/>
      <c r="R9962"/>
      <c r="S9962"/>
      <c r="T9962"/>
      <c r="U9962"/>
    </row>
    <row r="9963" spans="1:21">
      <c r="A9963"/>
      <c r="C9963"/>
      <c r="D9963"/>
      <c r="L9963"/>
      <c r="R9963"/>
      <c r="S9963"/>
      <c r="T9963"/>
      <c r="U9963"/>
    </row>
    <row r="9964" spans="1:21">
      <c r="A9964"/>
      <c r="C9964"/>
      <c r="D9964"/>
      <c r="L9964"/>
      <c r="R9964"/>
      <c r="S9964"/>
      <c r="T9964"/>
      <c r="U9964"/>
    </row>
    <row r="9965" spans="1:21">
      <c r="A9965"/>
      <c r="C9965"/>
      <c r="D9965"/>
      <c r="L9965"/>
      <c r="R9965"/>
      <c r="S9965"/>
      <c r="T9965"/>
      <c r="U9965"/>
    </row>
    <row r="9966" spans="1:21">
      <c r="A9966"/>
      <c r="C9966"/>
      <c r="D9966"/>
      <c r="L9966"/>
      <c r="R9966"/>
      <c r="S9966"/>
      <c r="T9966"/>
      <c r="U9966"/>
    </row>
    <row r="9967" spans="1:21">
      <c r="A9967"/>
      <c r="C9967"/>
      <c r="D9967"/>
      <c r="L9967"/>
      <c r="R9967"/>
      <c r="S9967"/>
      <c r="T9967"/>
      <c r="U9967"/>
    </row>
    <row r="9968" spans="1:21">
      <c r="A9968"/>
      <c r="C9968"/>
      <c r="D9968"/>
      <c r="L9968"/>
      <c r="R9968"/>
      <c r="S9968"/>
      <c r="T9968"/>
      <c r="U9968"/>
    </row>
    <row r="9969" spans="1:21">
      <c r="A9969"/>
      <c r="C9969"/>
      <c r="D9969"/>
      <c r="L9969"/>
      <c r="R9969"/>
      <c r="S9969"/>
      <c r="T9969"/>
      <c r="U9969"/>
    </row>
    <row r="9970" spans="1:21">
      <c r="A9970"/>
      <c r="C9970"/>
      <c r="D9970"/>
      <c r="L9970"/>
      <c r="R9970"/>
      <c r="S9970"/>
      <c r="T9970"/>
      <c r="U9970"/>
    </row>
    <row r="9971" spans="1:21">
      <c r="A9971"/>
      <c r="C9971"/>
      <c r="D9971"/>
      <c r="L9971"/>
      <c r="R9971"/>
      <c r="S9971"/>
      <c r="T9971"/>
      <c r="U9971"/>
    </row>
    <row r="9972" spans="1:21">
      <c r="A9972"/>
      <c r="C9972"/>
      <c r="D9972"/>
      <c r="L9972"/>
      <c r="R9972"/>
      <c r="S9972"/>
      <c r="T9972"/>
      <c r="U9972"/>
    </row>
    <row r="9973" spans="1:21">
      <c r="A9973"/>
      <c r="C9973"/>
      <c r="D9973"/>
      <c r="L9973"/>
      <c r="R9973"/>
      <c r="S9973"/>
      <c r="T9973"/>
      <c r="U9973"/>
    </row>
    <row r="9974" spans="1:21">
      <c r="A9974"/>
      <c r="C9974"/>
      <c r="D9974"/>
      <c r="L9974"/>
      <c r="R9974"/>
      <c r="S9974"/>
      <c r="T9974"/>
      <c r="U9974"/>
    </row>
    <row r="9975" spans="1:21">
      <c r="A9975"/>
      <c r="C9975"/>
      <c r="D9975"/>
      <c r="L9975"/>
      <c r="R9975"/>
      <c r="S9975"/>
      <c r="T9975"/>
      <c r="U9975"/>
    </row>
    <row r="9976" spans="1:21">
      <c r="A9976"/>
      <c r="C9976"/>
      <c r="D9976"/>
      <c r="L9976"/>
      <c r="R9976"/>
      <c r="S9976"/>
      <c r="T9976"/>
      <c r="U9976"/>
    </row>
    <row r="9977" spans="1:21">
      <c r="A9977"/>
      <c r="C9977"/>
      <c r="D9977"/>
      <c r="L9977"/>
      <c r="R9977"/>
      <c r="S9977"/>
      <c r="T9977"/>
      <c r="U9977"/>
    </row>
    <row r="9978" spans="1:21">
      <c r="A9978"/>
      <c r="C9978"/>
      <c r="D9978"/>
      <c r="L9978"/>
      <c r="R9978"/>
      <c r="S9978"/>
      <c r="T9978"/>
      <c r="U9978"/>
    </row>
    <row r="9979" spans="1:21">
      <c r="A9979"/>
      <c r="C9979"/>
      <c r="D9979"/>
      <c r="L9979"/>
      <c r="R9979"/>
      <c r="S9979"/>
      <c r="T9979"/>
      <c r="U9979"/>
    </row>
    <row r="9980" spans="1:21">
      <c r="A9980"/>
      <c r="C9980"/>
      <c r="D9980"/>
      <c r="L9980"/>
      <c r="R9980"/>
      <c r="S9980"/>
      <c r="T9980"/>
      <c r="U9980"/>
    </row>
    <row r="9981" spans="1:21">
      <c r="A9981"/>
      <c r="C9981"/>
      <c r="D9981"/>
      <c r="L9981"/>
      <c r="R9981"/>
      <c r="S9981"/>
      <c r="T9981"/>
      <c r="U9981"/>
    </row>
    <row r="9982" spans="1:21">
      <c r="A9982"/>
      <c r="C9982"/>
      <c r="D9982"/>
      <c r="L9982"/>
      <c r="R9982"/>
      <c r="S9982"/>
      <c r="T9982"/>
      <c r="U9982"/>
    </row>
    <row r="9983" spans="1:21">
      <c r="A9983"/>
      <c r="C9983"/>
      <c r="D9983"/>
      <c r="L9983"/>
      <c r="R9983"/>
      <c r="S9983"/>
      <c r="T9983"/>
      <c r="U9983"/>
    </row>
    <row r="9984" spans="1:21">
      <c r="A9984"/>
      <c r="C9984"/>
      <c r="D9984"/>
      <c r="L9984"/>
      <c r="R9984"/>
      <c r="S9984"/>
      <c r="T9984"/>
      <c r="U9984"/>
    </row>
    <row r="9985" spans="1:21">
      <c r="A9985"/>
      <c r="C9985"/>
      <c r="D9985"/>
      <c r="L9985"/>
      <c r="R9985"/>
      <c r="S9985"/>
      <c r="T9985"/>
      <c r="U9985"/>
    </row>
    <row r="9986" spans="1:21">
      <c r="A9986"/>
      <c r="C9986"/>
      <c r="D9986"/>
      <c r="L9986"/>
      <c r="R9986"/>
      <c r="S9986"/>
      <c r="T9986"/>
      <c r="U9986"/>
    </row>
    <row r="9987" spans="1:21">
      <c r="A9987"/>
      <c r="C9987"/>
      <c r="D9987"/>
      <c r="L9987"/>
      <c r="R9987"/>
      <c r="S9987"/>
      <c r="T9987"/>
      <c r="U9987"/>
    </row>
    <row r="9988" spans="1:21">
      <c r="A9988"/>
      <c r="C9988"/>
      <c r="D9988"/>
      <c r="L9988"/>
      <c r="R9988"/>
      <c r="S9988"/>
      <c r="T9988"/>
      <c r="U9988"/>
    </row>
    <row r="9989" spans="1:21">
      <c r="A9989"/>
      <c r="C9989"/>
      <c r="D9989"/>
      <c r="L9989"/>
      <c r="R9989"/>
      <c r="S9989"/>
      <c r="T9989"/>
      <c r="U9989"/>
    </row>
    <row r="9990" spans="1:21">
      <c r="A9990"/>
      <c r="C9990"/>
      <c r="D9990"/>
      <c r="L9990"/>
      <c r="R9990"/>
      <c r="S9990"/>
      <c r="T9990"/>
      <c r="U9990"/>
    </row>
    <row r="9991" spans="1:21">
      <c r="A9991"/>
      <c r="C9991"/>
      <c r="D9991"/>
      <c r="L9991"/>
      <c r="R9991"/>
      <c r="S9991"/>
      <c r="T9991"/>
      <c r="U9991"/>
    </row>
    <row r="9992" spans="1:21">
      <c r="A9992"/>
      <c r="C9992"/>
      <c r="D9992"/>
      <c r="L9992"/>
      <c r="R9992"/>
      <c r="S9992"/>
      <c r="T9992"/>
      <c r="U9992"/>
    </row>
    <row r="9993" spans="1:21">
      <c r="A9993"/>
      <c r="C9993"/>
      <c r="D9993"/>
      <c r="L9993"/>
      <c r="R9993"/>
      <c r="S9993"/>
      <c r="T9993"/>
      <c r="U9993"/>
    </row>
    <row r="9994" spans="1:21">
      <c r="A9994"/>
      <c r="C9994"/>
      <c r="D9994"/>
      <c r="L9994"/>
      <c r="R9994"/>
      <c r="S9994"/>
      <c r="T9994"/>
      <c r="U9994"/>
    </row>
    <row r="9995" spans="1:21">
      <c r="A9995"/>
      <c r="C9995"/>
      <c r="D9995"/>
      <c r="L9995"/>
      <c r="R9995"/>
      <c r="S9995"/>
      <c r="T9995"/>
      <c r="U9995"/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797"/>
  <sheetViews>
    <sheetView zoomScale="96" zoomScaleNormal="96" workbookViewId="0">
      <selection activeCell="D13" sqref="D13"/>
    </sheetView>
  </sheetViews>
  <sheetFormatPr defaultColWidth="8.88888888888889" defaultRowHeight="14.4"/>
  <cols>
    <col min="1" max="1" width="15.5555555555556" customWidth="1"/>
    <col min="2" max="2" width="15.4444444444444" customWidth="1"/>
    <col min="3" max="3" width="14.5555555555556" customWidth="1"/>
    <col min="4" max="4" width="8.66666666666667" customWidth="1"/>
    <col min="6" max="6" width="98.6666666666667" customWidth="1"/>
    <col min="7" max="7" width="22.8888888888889" customWidth="1"/>
    <col min="8" max="8" width="17" customWidth="1"/>
    <col min="9" max="10" width="16" customWidth="1"/>
    <col min="11" max="11" width="11.2222222222222" customWidth="1"/>
    <col min="12" max="12" width="14.6666666666667" customWidth="1"/>
    <col min="13" max="13" width="19.6666666666667" customWidth="1"/>
  </cols>
  <sheetData>
    <row r="1" ht="15.15"/>
    <row r="2" spans="2:13">
      <c r="B2" s="2" t="s">
        <v>3215</v>
      </c>
      <c r="C2" s="3" t="s">
        <v>3216</v>
      </c>
      <c r="D2" s="4" t="s">
        <v>3217</v>
      </c>
      <c r="F2" s="5" t="s">
        <v>3218</v>
      </c>
      <c r="G2" s="5"/>
      <c r="H2" s="5"/>
      <c r="I2" s="5"/>
      <c r="K2" s="10" t="s">
        <v>3219</v>
      </c>
      <c r="L2" s="10" t="s">
        <v>3220</v>
      </c>
      <c r="M2" s="10" t="s">
        <v>3221</v>
      </c>
    </row>
    <row r="3" spans="2:13">
      <c r="B3" s="6" t="str" cm="1">
        <f t="array" ref="B3:B12">_xlfn.UNIQUE(Superstores_sales_dataset_1_!P768:P794)</f>
        <v>Binders</v>
      </c>
      <c r="C3" s="7">
        <f>SUMIF(Superstores_sales_dataset_1_!P768:P794,"BINDERS",Superstores_sales_dataset_1_!R768:R794)</f>
        <v>165.9</v>
      </c>
      <c r="D3" s="8">
        <f ca="1">SUMIF(Superstores_sales_dataset_1_!P1:P794,"BINDERS",Superstores_sales_dataset_1_!U768:U794)</f>
        <v>25.023</v>
      </c>
      <c r="F3" s="9" t="s">
        <v>3222</v>
      </c>
      <c r="G3" s="10" t="s">
        <v>3223</v>
      </c>
      <c r="H3" s="11" t="s">
        <v>3224</v>
      </c>
      <c r="I3" s="11" t="s">
        <v>3225</v>
      </c>
      <c r="K3" s="23" t="str" cm="1">
        <f t="array" ref="K3:K19">_xlfn.UNIQUE(Superstores_sales_dataset_1_!P2:P794)</f>
        <v>Bookcases</v>
      </c>
      <c r="L3" s="23">
        <f>COUNTA(Superstores_sales_dataset_1_!P2:P794,"BOOKCASE")</f>
        <v>794</v>
      </c>
      <c r="M3" s="24">
        <f>AVERAGEIF(Superstores_sales_dataset_1_!P2:P794,"BOOKCASES",Superstores_sales_dataset_1_!T2:T794)</f>
        <v>0.186470588235294</v>
      </c>
    </row>
    <row r="4" spans="2:13">
      <c r="B4" s="6" t="str">
        <v>Accessories</v>
      </c>
      <c r="C4" s="7">
        <f>SUMIF(Superstores_sales_dataset_1_!P769:P795,"ACCESSORIES",Superstores_sales_dataset_1_!R769:R795)</f>
        <v>845.67</v>
      </c>
      <c r="D4" s="8">
        <f ca="1">SUMIF(Superstores_sales_dataset_1_!P2:P795,"ACCESSORIES",Superstores_sales_dataset_1_!U769:U795)</f>
        <v>2.8868</v>
      </c>
      <c r="F4" s="12" t="s">
        <v>48</v>
      </c>
      <c r="G4" s="13">
        <f>AVERAGE(Superstores_sales_dataset_1_!R2)</f>
        <v>261.96</v>
      </c>
      <c r="H4" s="14">
        <v>0</v>
      </c>
      <c r="I4" s="25">
        <f>SUM(Superstores_sales_dataset_1_!R2,Superstores_sales_dataset_1_!U2)</f>
        <v>303.8736</v>
      </c>
      <c r="K4" s="23" t="str">
        <v>Labels</v>
      </c>
      <c r="L4" s="23">
        <f>COUNTA(Superstores_sales_dataset_1_!P3:P795,"LABLES")</f>
        <v>793</v>
      </c>
      <c r="M4" s="24">
        <f>AVERAGEIF(Superstores_sales_dataset_1_!P3:P795,"LABELS",Superstores_sales_dataset_1_!T3:T795)</f>
        <v>0.0538461538461538</v>
      </c>
    </row>
    <row r="5" spans="2:13">
      <c r="B5" s="6" t="str">
        <v>Furnishings</v>
      </c>
      <c r="C5" s="7">
        <f>SUMIF(Superstores_sales_dataset_1_!P770:P796,"FURNISHINGS",Superstores_sales_dataset_1_!R770:R796)</f>
        <v>229.792</v>
      </c>
      <c r="D5" s="8">
        <f ca="1">SUMIF(Superstores_sales_dataset_1_!P3:P796,"FURNISHINGS",Superstores_sales_dataset_1_!U770:U796)</f>
        <v>5.7568</v>
      </c>
      <c r="F5" s="12" t="s">
        <v>55</v>
      </c>
      <c r="G5" s="13">
        <f>AVERAGE(Superstores_sales_dataset_1_!R3)</f>
        <v>14.62</v>
      </c>
      <c r="H5" s="14">
        <v>0</v>
      </c>
      <c r="I5" s="25">
        <f>SUM(Superstores_sales_dataset_1_!R3,Superstores_sales_dataset_1_!U3)</f>
        <v>21.4914</v>
      </c>
      <c r="K5" s="23" t="str">
        <v>Tables</v>
      </c>
      <c r="L5" s="23">
        <f>COUNTA(Superstores_sales_dataset_1_!P4:P796,"TABLES")</f>
        <v>792</v>
      </c>
      <c r="M5" s="24">
        <f>AVERAGEIF(Superstores_sales_dataset_1_!P4:P796,"TABLES",Superstores_sales_dataset_1_!T4:T796)</f>
        <v>0.260714285714286</v>
      </c>
    </row>
    <row r="6" spans="2:13">
      <c r="B6" s="6" t="str">
        <v>Phones</v>
      </c>
      <c r="C6" s="7">
        <f>SUMIF(Superstores_sales_dataset_1_!P771:P797,"PHONES",Superstores_sales_dataset_1_!R771:R797)</f>
        <v>777.52</v>
      </c>
      <c r="D6" s="8">
        <f ca="1">SUMIF(Superstores_sales_dataset_1_!P4:P797,"PHONES",Superstores_sales_dataset_1_!U771:U797)</f>
        <v>58.2996</v>
      </c>
      <c r="F6" s="12" t="s">
        <v>64</v>
      </c>
      <c r="G6" s="13">
        <f>AVERAGE(Superstores_sales_dataset_1_!R4)</f>
        <v>957.5775</v>
      </c>
      <c r="H6" s="14">
        <v>0.45</v>
      </c>
      <c r="I6" s="25">
        <f>SUM(Superstores_sales_dataset_1_!R4,Superstores_sales_dataset_1_!U4)</f>
        <v>574.5465</v>
      </c>
      <c r="K6" s="23" t="str">
        <v>Furnishings</v>
      </c>
      <c r="L6" s="23">
        <f>COUNTA(Superstores_sales_dataset_1_!P5:P797,"FURNISHINGS")</f>
        <v>791</v>
      </c>
      <c r="M6" s="24">
        <f>AVERAGEIF(Superstores_sales_dataset_1_!P5:P797,"FURNISHINGS",Superstores_sales_dataset_1_!T5:T797)</f>
        <v>0.0941176470588236</v>
      </c>
    </row>
    <row r="7" spans="2:13">
      <c r="B7" s="6" t="str">
        <v>Storage</v>
      </c>
      <c r="C7" s="7">
        <f>SUMIF(Superstores_sales_dataset_1_!P772:P798,"STORAGE",Superstores_sales_dataset_1_!R772:R798)</f>
        <v>42.76</v>
      </c>
      <c r="D7" s="8">
        <f ca="1">SUMIF(Superstores_sales_dataset_1_!P5:P798,"STORAGE",Superstores_sales_dataset_1_!U772:U798)</f>
        <v>35.9539</v>
      </c>
      <c r="F7" s="12" t="s">
        <v>69</v>
      </c>
      <c r="G7" s="13">
        <f>AVERAGE(Superstores_sales_dataset_1_!R5)</f>
        <v>48.86</v>
      </c>
      <c r="H7" s="14">
        <v>0</v>
      </c>
      <c r="I7" s="25">
        <f>SUM(Superstores_sales_dataset_1_!R5,Superstores_sales_dataset_1_!U5)</f>
        <v>63.0294</v>
      </c>
      <c r="K7" s="23" t="str">
        <v>Paper</v>
      </c>
      <c r="L7" s="23">
        <f>COUNTA(Superstores_sales_dataset_1_!P6:P798,"PAPER")</f>
        <v>790</v>
      </c>
      <c r="M7" s="24">
        <f>AVERAGEIF(Superstores_sales_dataset_1_!P6:P798,"PAPER",Superstores_sales_dataset_1_!T6:T798)</f>
        <v>0.079646017699115</v>
      </c>
    </row>
    <row r="8" spans="2:13">
      <c r="B8" s="6" t="str">
        <v>Art</v>
      </c>
      <c r="C8" s="7">
        <f>SUMIF(Superstores_sales_dataset_1_!P773:P799,"ART",Superstores_sales_dataset_1_!R773:R799)</f>
        <v>113.246</v>
      </c>
      <c r="D8" s="8">
        <f ca="1">SUMIF(Superstores_sales_dataset_1_!P6:P799,"ART",Superstores_sales_dataset_1_!U773:U799)</f>
        <v>6.5367</v>
      </c>
      <c r="F8" s="12" t="s">
        <v>76</v>
      </c>
      <c r="G8" s="13">
        <f>AVERAGE(Superstores_sales_dataset_1_!R6)</f>
        <v>15.552</v>
      </c>
      <c r="H8" s="14">
        <v>0.2</v>
      </c>
      <c r="I8" s="25">
        <f>SUM(Superstores_sales_dataset_1_!R6,Superstores_sales_dataset_1_!U6)</f>
        <v>20.9952</v>
      </c>
      <c r="K8" s="23" t="str">
        <v>Binders</v>
      </c>
      <c r="L8" s="23">
        <f>COUNTA(Superstores_sales_dataset_1_!P7:P799,"BINDERS")</f>
        <v>789</v>
      </c>
      <c r="M8" s="24">
        <f>AVERAGEIF(Superstores_sales_dataset_1_!P7:P799,"BINDERS",Superstores_sales_dataset_1_!T7:T799)</f>
        <v>0.394495412844037</v>
      </c>
    </row>
    <row r="9" spans="2:13">
      <c r="B9" s="6" t="str">
        <v>Tables</v>
      </c>
      <c r="C9" s="7">
        <f>SUMIF(Superstores_sales_dataset_1_!P774:P800,"TABLES",Superstores_sales_dataset_1_!R774:R800)</f>
        <v>161.28</v>
      </c>
      <c r="D9" s="8">
        <f ca="1">SUMIF(Superstores_sales_dataset_1_!P7:P800,"TABLES",Superstores_sales_dataset_1_!U774:U800)</f>
        <v>18.96</v>
      </c>
      <c r="F9" s="12" t="s">
        <v>83</v>
      </c>
      <c r="G9" s="13">
        <f>AVERAGE(Superstores_sales_dataset_1_!R7)</f>
        <v>407.976</v>
      </c>
      <c r="H9" s="14">
        <v>0.2</v>
      </c>
      <c r="I9" s="25">
        <f>SUM(Superstores_sales_dataset_1_!R7,Superstores_sales_dataset_1_!U7)</f>
        <v>540.5682</v>
      </c>
      <c r="K9" s="23" t="str">
        <v>Appliances</v>
      </c>
      <c r="L9" s="23">
        <f>COUNTA(Superstores_sales_dataset_1_!P8:P800,"APPLIANCES")</f>
        <v>788</v>
      </c>
      <c r="M9" s="24">
        <f>AVERAGEIF(Superstores_sales_dataset_1_!P8:P800,"APPLIANCES",Superstores_sales_dataset_1_!T8:T800)</f>
        <v>0.251219512195122</v>
      </c>
    </row>
    <row r="10" spans="2:13">
      <c r="B10" s="6" t="str">
        <v>Paper</v>
      </c>
      <c r="C10" s="7">
        <f>SUMIF(Superstores_sales_dataset_1_!P775:P801,"PAPER",Superstores_sales_dataset_1_!R775:R801)</f>
        <v>202.192</v>
      </c>
      <c r="D10" s="8">
        <f ca="1">SUMIF(Superstores_sales_dataset_1_!P8:P801,"PAPER",Superstores_sales_dataset_1_!U775:U801)</f>
        <v>71.9952</v>
      </c>
      <c r="F10" s="12" t="s">
        <v>90</v>
      </c>
      <c r="G10" s="13">
        <f>AVERAGE(Superstores_sales_dataset_1_!R8)</f>
        <v>68.81</v>
      </c>
      <c r="H10" s="14">
        <v>0.8</v>
      </c>
      <c r="I10" s="25">
        <f>SUM(Superstores_sales_dataset_1_!R8,Superstores_sales_dataset_1_!U8)</f>
        <v>-55.048</v>
      </c>
      <c r="K10" s="23" t="str">
        <v>Storage</v>
      </c>
      <c r="L10" s="23">
        <f>COUNTA(Superstores_sales_dataset_1_!P9:P801,"STORAGE")</f>
        <v>787</v>
      </c>
      <c r="M10" s="24">
        <f>AVERAGEIF(Superstores_sales_dataset_1_!P9:P801,"STORAGE",Superstores_sales_dataset_1_!T9:T801)</f>
        <v>0.0709677419354839</v>
      </c>
    </row>
    <row r="11" spans="2:13">
      <c r="B11" s="6" t="str">
        <v>Envelopes</v>
      </c>
      <c r="C11" s="7">
        <f>SUMIF(Superstores_sales_dataset_1_!P776:P802,"ENVELOPES",Superstores_sales_dataset_1_!R776:R802)</f>
        <v>7.28</v>
      </c>
      <c r="D11" s="8">
        <f ca="1">SUMIF(Superstores_sales_dataset_1_!P9:P802,"ENVELOPES",Superstores_sales_dataset_1_!U776:U802)</f>
        <v>18.33</v>
      </c>
      <c r="F11" s="12" t="s">
        <v>97</v>
      </c>
      <c r="G11" s="13">
        <f>AVERAGE(Superstores_sales_dataset_1_!R9)</f>
        <v>665.88</v>
      </c>
      <c r="H11" s="14">
        <v>0</v>
      </c>
      <c r="I11" s="25">
        <f>SUM(Superstores_sales_dataset_1_!R9,Superstores_sales_dataset_1_!U9)</f>
        <v>679.1976</v>
      </c>
      <c r="K11" s="23" t="str">
        <v>Art</v>
      </c>
      <c r="L11" s="23">
        <f>COUNTA(Superstores_sales_dataset_1_!P10:P802,"ART")</f>
        <v>786</v>
      </c>
      <c r="M11" s="24">
        <f>AVERAGEIF(Superstores_sales_dataset_1_!P10:P802,"ART",Superstores_sales_dataset_1_!T10:T802)</f>
        <v>0.0763157894736842</v>
      </c>
    </row>
    <row r="12" spans="2:13">
      <c r="B12" s="6" t="str">
        <v>Appliances</v>
      </c>
      <c r="C12" s="7">
        <f>SUMIF(Superstores_sales_dataset_1_!P777:P803,"APPLIANCES",Superstores_sales_dataset_1_!R777:R803)</f>
        <v>48.36</v>
      </c>
      <c r="D12" s="8">
        <f ca="1">SUMIF(Superstores_sales_dataset_1_!P10:P803,"APPLIANCES",Superstores_sales_dataset_1_!U777:U803)</f>
        <v>0</v>
      </c>
      <c r="F12" s="12" t="s">
        <v>103</v>
      </c>
      <c r="G12" s="13">
        <f>AVERAGE(Superstores_sales_dataset_1_!R10)</f>
        <v>55.5</v>
      </c>
      <c r="H12" s="14">
        <v>0</v>
      </c>
      <c r="I12" s="25">
        <f>SUM(Superstores_sales_dataset_1_!R10,Superstores_sales_dataset_1_!U10)</f>
        <v>65.49</v>
      </c>
      <c r="K12" s="23" t="str">
        <v>Chairs</v>
      </c>
      <c r="L12" s="23">
        <f>COUNTA(Superstores_sales_dataset_1_!P11:P803,"CAHIRS")</f>
        <v>785</v>
      </c>
      <c r="M12" s="24">
        <f>AVERAGEIF(Superstores_sales_dataset_1_!P11:P803,"CHAIRS",Superstores_sales_dataset_1_!T11:T803)</f>
        <v>0.172222222222222</v>
      </c>
    </row>
    <row r="13" ht="15.15" spans="2:13">
      <c r="B13" s="15" t="s">
        <v>3226</v>
      </c>
      <c r="C13" s="16">
        <f>SUM(C3:C12)</f>
        <v>2594</v>
      </c>
      <c r="D13" s="17">
        <f ca="1">SUM(D3:D12)</f>
        <v>243.742</v>
      </c>
      <c r="F13" s="12" t="s">
        <v>109</v>
      </c>
      <c r="G13" s="13">
        <f>AVERAGE(Superstores_sales_dataset_1_!R11)</f>
        <v>8.56</v>
      </c>
      <c r="H13" s="14">
        <v>0</v>
      </c>
      <c r="I13" s="25">
        <f>SUM(Superstores_sales_dataset_1_!R11,Superstores_sales_dataset_1_!U11)</f>
        <v>11.0424</v>
      </c>
      <c r="K13" s="23" t="str">
        <v>Phones</v>
      </c>
      <c r="L13" s="23">
        <f>COUNTA(Superstores_sales_dataset_1_!P12:P804,"PHONES")</f>
        <v>784</v>
      </c>
      <c r="M13" s="24">
        <f>AVERAGEIF(Superstores_sales_dataset_1_!P12:P804,"PHONES",Superstores_sales_dataset_1_!T12:T804)</f>
        <v>0.163076923076923</v>
      </c>
    </row>
    <row r="14" spans="6:13">
      <c r="F14" s="12" t="s">
        <v>115</v>
      </c>
      <c r="G14" s="13">
        <f>AVERAGE(Superstores_sales_dataset_1_!R12)</f>
        <v>19.46</v>
      </c>
      <c r="H14" s="14">
        <v>0</v>
      </c>
      <c r="I14" s="25">
        <f>SUM(Superstores_sales_dataset_1_!R12,Superstores_sales_dataset_1_!U12)</f>
        <v>24.5196</v>
      </c>
      <c r="K14" s="23" t="str">
        <v>Envelopes</v>
      </c>
      <c r="L14" s="23">
        <f>COUNTA(Superstores_sales_dataset_1_!P13:P805,"ENVELOPES")</f>
        <v>783</v>
      </c>
      <c r="M14" s="24">
        <f>AVERAGEIF(Superstores_sales_dataset_1_!P13:P805,"ENVELOPES",Superstores_sales_dataset_1_!T13:T805)</f>
        <v>0.105263157894737</v>
      </c>
    </row>
    <row r="15" spans="6:13">
      <c r="F15" s="12" t="s">
        <v>122</v>
      </c>
      <c r="G15" s="13">
        <f>AVERAGE(Superstores_sales_dataset_1_!R13)</f>
        <v>71.372</v>
      </c>
      <c r="H15" s="14">
        <v>0.3</v>
      </c>
      <c r="I15" s="25">
        <f>SUM(Superstores_sales_dataset_1_!R13,Superstores_sales_dataset_1_!U13)</f>
        <v>70.3524</v>
      </c>
      <c r="K15" s="23" t="str">
        <v>Accessories</v>
      </c>
      <c r="L15" s="23">
        <f>COUNTA(Superstores_sales_dataset_1_!P14:P806,"ACCESSORIES")</f>
        <v>782</v>
      </c>
      <c r="M15" s="24">
        <f>AVERAGEIF(Superstores_sales_dataset_1_!P14:P806,"ACCESSORIES",Superstores_sales_dataset_1_!T14:T806)</f>
        <v>0.0622950819672131</v>
      </c>
    </row>
    <row r="16" spans="2:13">
      <c r="B16" s="18" t="s">
        <v>3227</v>
      </c>
      <c r="C16" s="18" t="s">
        <v>3217</v>
      </c>
      <c r="D16" s="18" t="s">
        <v>3228</v>
      </c>
      <c r="F16" s="12" t="s">
        <v>64</v>
      </c>
      <c r="G16" s="13">
        <f>AVERAGE(Superstores_sales_dataset_1_!R14)</f>
        <v>1044.63</v>
      </c>
      <c r="H16" s="14">
        <v>0</v>
      </c>
      <c r="I16" s="25">
        <f>SUM(Superstores_sales_dataset_1_!R14,Superstores_sales_dataset_1_!U14)</f>
        <v>1284.8949</v>
      </c>
      <c r="K16" s="23" t="str">
        <v>Fasteners</v>
      </c>
      <c r="L16" s="23">
        <f>COUNTA(Superstores_sales_dataset_1_!P15:P807,"FASTENERS")</f>
        <v>781</v>
      </c>
      <c r="M16" s="24">
        <f>AVERAGEIF(Superstores_sales_dataset_1_!P15:P807,"FASTENERS",Superstores_sales_dataset_1_!T15:T807)</f>
        <v>0.0875</v>
      </c>
    </row>
    <row r="17" spans="2:13">
      <c r="B17" s="19" t="str" cm="1">
        <f t="array" ref="B17:B20">_xlfn.UNIQUE(Superstores_sales_dataset_1_!M768:M794)</f>
        <v>East</v>
      </c>
      <c r="C17" s="20">
        <f>SUMIF(Superstores_sales_dataset_1_!M768:M794,"EAST",Superstores_sales_dataset_1_!U768:U794)</f>
        <v>104.1632</v>
      </c>
      <c r="D17" s="19">
        <f>SUMIF(Superstores_sales_dataset_1_!M765:M791,"EAST",Superstores_sales_dataset_1_!R765:R791)</f>
        <v>392.74</v>
      </c>
      <c r="F17" s="12" t="s">
        <v>129</v>
      </c>
      <c r="G17" s="13">
        <f>AVERAGE(Superstores_sales_dataset_1_!R15)</f>
        <v>11.648</v>
      </c>
      <c r="H17" s="14">
        <v>0.2</v>
      </c>
      <c r="I17" s="25">
        <f>SUM(Superstores_sales_dataset_1_!R15,Superstores_sales_dataset_1_!U15)</f>
        <v>15.8704</v>
      </c>
      <c r="K17" s="23" t="str">
        <v>Machines</v>
      </c>
      <c r="L17" s="23">
        <f>COUNTA(Superstores_sales_dataset_1_!P16:P808,"MACHINES")</f>
        <v>780</v>
      </c>
      <c r="M17" s="24">
        <f>AVERAGEIF(Superstores_sales_dataset_1_!P16:P808,"MACHINES",Superstores_sales_dataset_1_!T16:T808)</f>
        <v>0.4</v>
      </c>
    </row>
    <row r="18" spans="2:13">
      <c r="B18" s="19" t="str">
        <v>South</v>
      </c>
      <c r="C18" s="20">
        <f>SUMIF(Superstores_sales_dataset_1_!M769:M795,"SOUTH",Superstores_sales_dataset_1_!U769:U795)</f>
        <v>299.4848</v>
      </c>
      <c r="D18" s="19">
        <f>SUMIF(Superstores_sales_dataset_1_!M766:M792,"SOUTH",Superstores_sales_dataset_1_!R766:R792)</f>
        <v>909.622</v>
      </c>
      <c r="F18" s="12" t="s">
        <v>133</v>
      </c>
      <c r="G18" s="13">
        <f>AVERAGE(Superstores_sales_dataset_1_!R16)</f>
        <v>3083.43</v>
      </c>
      <c r="H18" s="14">
        <v>0.5</v>
      </c>
      <c r="I18" s="25">
        <f>SUM(Superstores_sales_dataset_1_!R16,Superstores_sales_dataset_1_!U16)</f>
        <v>1418.3778</v>
      </c>
      <c r="K18" s="23" t="str">
        <v>Supplies</v>
      </c>
      <c r="L18" s="23">
        <f>COUNTA(Superstores_sales_dataset_1_!P17:P809,"SUPPLIES")</f>
        <v>779</v>
      </c>
      <c r="M18" s="24">
        <f>AVERAGEIF(Superstores_sales_dataset_1_!P17:P809,"SUPPLIES",Superstores_sales_dataset_1_!T17:T809)</f>
        <v>0.109090909090909</v>
      </c>
    </row>
    <row r="19" spans="2:13">
      <c r="B19" s="19" t="str">
        <v>West</v>
      </c>
      <c r="C19" s="20">
        <f>SUMIF(Superstores_sales_dataset_1_!M770:M796,"WEST",Superstores_sales_dataset_1_!U770:U796)</f>
        <v>53.8188</v>
      </c>
      <c r="D19" s="19">
        <f>SUMIF(Superstores_sales_dataset_1_!M767:M793,"WEST",Superstores_sales_dataset_1_!R767:R793)</f>
        <v>314.728</v>
      </c>
      <c r="F19" s="12" t="s">
        <v>138</v>
      </c>
      <c r="G19" s="13">
        <f>AVERAGE(Superstores_sales_dataset_1_!R17)</f>
        <v>29.472</v>
      </c>
      <c r="H19" s="14">
        <v>0.2</v>
      </c>
      <c r="I19" s="25">
        <f>SUM(Superstores_sales_dataset_1_!R17,Superstores_sales_dataset_1_!U17)</f>
        <v>39.4188</v>
      </c>
      <c r="K19" s="23" t="str">
        <v>Copiers</v>
      </c>
      <c r="L19" s="23">
        <f>COUNTA(Superstores_sales_dataset_1_!P18:P810,"COPIERS")</f>
        <v>778</v>
      </c>
      <c r="M19" s="24">
        <f>AVERAGEIF(Superstores_sales_dataset_1_!P18:P810,"COPIERS",Superstores_sales_dataset_1_!T18:T810)</f>
        <v>0.3</v>
      </c>
    </row>
    <row r="20" spans="2:13">
      <c r="B20" s="19" t="str">
        <v>Central</v>
      </c>
      <c r="C20" s="20">
        <f>SUMIF(Superstores_sales_dataset_1_!M771:M797,"CENTRAL",Superstores_sales_dataset_1_!U771:U797)</f>
        <v>146.1813</v>
      </c>
      <c r="D20" s="19">
        <f>SUMIF(Superstores_sales_dataset_1_!M768:M794,"EAST",Superstores_sales_dataset_1_!R768:R794)</f>
        <v>408.74</v>
      </c>
      <c r="F20" s="12" t="s">
        <v>145</v>
      </c>
      <c r="G20" s="13">
        <f>AVERAGE(Superstores_sales_dataset_1_!R18)</f>
        <v>1097.544</v>
      </c>
      <c r="H20" s="14">
        <v>0.2</v>
      </c>
      <c r="I20" s="25">
        <f>SUM(Superstores_sales_dataset_1_!R18,Superstores_sales_dataset_1_!U18)</f>
        <v>1221.0177</v>
      </c>
      <c r="K20" s="10" t="s">
        <v>3226</v>
      </c>
      <c r="L20" s="22">
        <f>SUM(L3:L19)</f>
        <v>13362</v>
      </c>
      <c r="M20" s="26">
        <f>SUM(M3:M19)</f>
        <v>2.867241443254</v>
      </c>
    </row>
    <row r="21" spans="2:9">
      <c r="B21" s="10" t="s">
        <v>3226</v>
      </c>
      <c r="C21" s="21">
        <f>SUM(C17:C20)</f>
        <v>603.6481</v>
      </c>
      <c r="D21" s="22">
        <f>SUM(D17:D20)</f>
        <v>2025.83</v>
      </c>
      <c r="F21" s="12" t="s">
        <v>150</v>
      </c>
      <c r="G21" s="13">
        <f>AVERAGE(Superstores_sales_dataset_1_!R19)</f>
        <v>113.328</v>
      </c>
      <c r="H21" s="14">
        <v>0.2</v>
      </c>
      <c r="I21" s="25">
        <f>SUM(Superstores_sales_dataset_1_!R19,Superstores_sales_dataset_1_!U19)</f>
        <v>148.743</v>
      </c>
    </row>
    <row r="22" spans="6:9">
      <c r="F22" s="12" t="s">
        <v>156</v>
      </c>
      <c r="G22" s="13">
        <f>AVERAGE(Superstores_sales_dataset_1_!R20)</f>
        <v>147.168</v>
      </c>
      <c r="H22" s="14">
        <v>0.2</v>
      </c>
      <c r="I22" s="25">
        <f>SUM(Superstores_sales_dataset_1_!R20,Superstores_sales_dataset_1_!U20)</f>
        <v>163.7244</v>
      </c>
    </row>
    <row r="23" spans="6:9">
      <c r="F23" s="12" t="s">
        <v>160</v>
      </c>
      <c r="G23" s="13">
        <f>AVERAGE(Superstores_sales_dataset_1_!R21)</f>
        <v>77.88</v>
      </c>
      <c r="H23" s="14">
        <v>0</v>
      </c>
      <c r="I23" s="25">
        <f>SUM(Superstores_sales_dataset_1_!R21,Superstores_sales_dataset_1_!U21)</f>
        <v>81.774</v>
      </c>
    </row>
    <row r="24" spans="6:9">
      <c r="F24" s="12" t="s">
        <v>165</v>
      </c>
      <c r="G24" s="13">
        <f>AVERAGE(Superstores_sales_dataset_1_!R22)</f>
        <v>95.616</v>
      </c>
      <c r="H24" s="14">
        <v>0.2</v>
      </c>
      <c r="I24" s="25">
        <f>SUM(Superstores_sales_dataset_1_!R22,Superstores_sales_dataset_1_!U22)</f>
        <v>105.1776</v>
      </c>
    </row>
    <row r="25" spans="6:9">
      <c r="F25" s="12" t="s">
        <v>172</v>
      </c>
      <c r="G25" s="13">
        <f>AVERAGE(Superstores_sales_dataset_1_!R23)</f>
        <v>45.98</v>
      </c>
      <c r="H25" s="14">
        <v>0</v>
      </c>
      <c r="I25" s="25">
        <f>SUM(Superstores_sales_dataset_1_!R23,Superstores_sales_dataset_1_!U23)</f>
        <v>65.7514</v>
      </c>
    </row>
    <row r="26" spans="6:9">
      <c r="F26" s="12" t="s">
        <v>178</v>
      </c>
      <c r="G26" s="13">
        <f>AVERAGE(Superstores_sales_dataset_1_!R24)</f>
        <v>211.96</v>
      </c>
      <c r="H26" s="14">
        <v>0</v>
      </c>
      <c r="I26" s="25">
        <f>SUM(Superstores_sales_dataset_1_!R24,Superstores_sales_dataset_1_!U24)</f>
        <v>220.4384</v>
      </c>
    </row>
    <row r="27" spans="6:9">
      <c r="F27" s="12" t="s">
        <v>184</v>
      </c>
      <c r="G27" s="13">
        <f>AVERAGE(Superstores_sales_dataset_1_!R25)</f>
        <v>45</v>
      </c>
      <c r="H27" s="14">
        <v>0</v>
      </c>
      <c r="I27" s="25">
        <f>SUM(Superstores_sales_dataset_1_!R25,Superstores_sales_dataset_1_!U25)</f>
        <v>49.95</v>
      </c>
    </row>
    <row r="28" spans="6:9">
      <c r="F28" s="12" t="s">
        <v>190</v>
      </c>
      <c r="G28" s="13">
        <f>AVERAGE(Superstores_sales_dataset_1_!R26)</f>
        <v>38.22</v>
      </c>
      <c r="H28" s="14">
        <v>0</v>
      </c>
      <c r="I28" s="25">
        <f>SUM(Superstores_sales_dataset_1_!R26,Superstores_sales_dataset_1_!U26)</f>
        <v>56.1834</v>
      </c>
    </row>
    <row r="29" spans="6:9">
      <c r="F29" s="12" t="s">
        <v>197</v>
      </c>
      <c r="G29" s="13">
        <f>AVERAGE(Superstores_sales_dataset_1_!R27)</f>
        <v>15.26</v>
      </c>
      <c r="H29" s="14">
        <v>0</v>
      </c>
      <c r="I29" s="25">
        <f>SUM(Superstores_sales_dataset_1_!R27,Superstores_sales_dataset_1_!U27)</f>
        <v>21.5166</v>
      </c>
    </row>
    <row r="30" spans="6:9">
      <c r="F30" s="12" t="s">
        <v>202</v>
      </c>
      <c r="G30" s="13">
        <f>AVERAGE(Superstores_sales_dataset_1_!R28)</f>
        <v>208.56</v>
      </c>
      <c r="H30" s="14">
        <v>0</v>
      </c>
      <c r="I30" s="25">
        <f>SUM(Superstores_sales_dataset_1_!R28,Superstores_sales_dataset_1_!U28)</f>
        <v>260.7</v>
      </c>
    </row>
    <row r="31" spans="6:9">
      <c r="F31" s="12" t="s">
        <v>206</v>
      </c>
      <c r="G31" s="13">
        <f>AVERAGE(Superstores_sales_dataset_1_!R29)</f>
        <v>13.98</v>
      </c>
      <c r="H31" s="14">
        <v>0</v>
      </c>
      <c r="I31" s="25">
        <f>SUM(Superstores_sales_dataset_1_!R29,Superstores_sales_dataset_1_!U29)</f>
        <v>20.1312</v>
      </c>
    </row>
    <row r="32" spans="6:9">
      <c r="F32" s="12" t="s">
        <v>211</v>
      </c>
      <c r="G32" s="13">
        <f>AVERAGE(Superstores_sales_dataset_1_!R30)</f>
        <v>213.115</v>
      </c>
      <c r="H32" s="14">
        <v>0.3</v>
      </c>
      <c r="I32" s="25">
        <f>SUM(Superstores_sales_dataset_1_!R30,Superstores_sales_dataset_1_!U30)</f>
        <v>197.8925</v>
      </c>
    </row>
    <row r="33" spans="6:9">
      <c r="F33" s="12" t="s">
        <v>217</v>
      </c>
      <c r="G33" s="13">
        <f>AVERAGE(Superstores_sales_dataset_1_!R31)</f>
        <v>1113.024</v>
      </c>
      <c r="H33" s="14">
        <v>0.2</v>
      </c>
      <c r="I33" s="25">
        <f>SUM(Superstores_sales_dataset_1_!R31,Superstores_sales_dataset_1_!U31)</f>
        <v>1224.3264</v>
      </c>
    </row>
    <row r="34" spans="6:9">
      <c r="F34" s="12" t="s">
        <v>223</v>
      </c>
      <c r="G34" s="13">
        <f>AVERAGE(Superstores_sales_dataset_1_!R32)</f>
        <v>75.88</v>
      </c>
      <c r="H34" s="14">
        <v>0</v>
      </c>
      <c r="I34" s="25">
        <f>SUM(Superstores_sales_dataset_1_!R32,Superstores_sales_dataset_1_!U32)</f>
        <v>111.5436</v>
      </c>
    </row>
    <row r="35" spans="6:9">
      <c r="F35" s="12" t="s">
        <v>227</v>
      </c>
      <c r="G35" s="13">
        <f>AVERAGE(Superstores_sales_dataset_1_!R33)</f>
        <v>4.616</v>
      </c>
      <c r="H35" s="14">
        <v>0.2</v>
      </c>
      <c r="I35" s="25">
        <f>SUM(Superstores_sales_dataset_1_!R33,Superstores_sales_dataset_1_!U33)</f>
        <v>6.347</v>
      </c>
    </row>
    <row r="36" spans="6:9">
      <c r="F36" s="12" t="s">
        <v>233</v>
      </c>
      <c r="G36" s="13">
        <f>AVERAGE(Superstores_sales_dataset_1_!R34)</f>
        <v>831.936</v>
      </c>
      <c r="H36" s="14">
        <v>0.2</v>
      </c>
      <c r="I36" s="25">
        <f>SUM(Superstores_sales_dataset_1_!R34,Superstores_sales_dataset_1_!U34)</f>
        <v>717.5448</v>
      </c>
    </row>
    <row r="37" spans="6:9">
      <c r="F37" s="12" t="s">
        <v>237</v>
      </c>
      <c r="G37" s="13">
        <f>AVERAGE(Superstores_sales_dataset_1_!R35)</f>
        <v>1.248</v>
      </c>
      <c r="H37" s="14">
        <v>0.8</v>
      </c>
      <c r="I37" s="25">
        <f>SUM(Superstores_sales_dataset_1_!R35,Superstores_sales_dataset_1_!U35)</f>
        <v>-0.6864</v>
      </c>
    </row>
    <row r="38" spans="6:9">
      <c r="F38" s="12" t="s">
        <v>243</v>
      </c>
      <c r="G38" s="13">
        <f>AVERAGE(Superstores_sales_dataset_1_!R36)</f>
        <v>208.16</v>
      </c>
      <c r="H38" s="14">
        <v>0</v>
      </c>
      <c r="I38" s="25">
        <f>SUM(Superstores_sales_dataset_1_!R36,Superstores_sales_dataset_1_!U36)</f>
        <v>264.3632</v>
      </c>
    </row>
    <row r="39" spans="6:9">
      <c r="F39" s="12" t="s">
        <v>247</v>
      </c>
      <c r="G39" s="13">
        <f>AVERAGE(Superstores_sales_dataset_1_!R37)</f>
        <v>14.9</v>
      </c>
      <c r="H39" s="14">
        <v>0</v>
      </c>
      <c r="I39" s="25">
        <f>SUM(Superstores_sales_dataset_1_!R37,Superstores_sales_dataset_1_!U37)</f>
        <v>19.072</v>
      </c>
    </row>
    <row r="40" spans="6:9">
      <c r="F40" s="12" t="s">
        <v>252</v>
      </c>
      <c r="G40" s="13">
        <f>AVERAGE(Superstores_sales_dataset_1_!R38)</f>
        <v>200.984</v>
      </c>
      <c r="H40" s="14">
        <v>0.2</v>
      </c>
      <c r="I40" s="25">
        <f>SUM(Superstores_sales_dataset_1_!R38,Superstores_sales_dataset_1_!U38)</f>
        <v>263.7915</v>
      </c>
    </row>
    <row r="41" spans="6:9">
      <c r="F41" s="12" t="s">
        <v>256</v>
      </c>
      <c r="G41" s="13">
        <f>AVERAGE(Superstores_sales_dataset_1_!R39)</f>
        <v>230.376</v>
      </c>
      <c r="H41" s="14">
        <v>0.2</v>
      </c>
      <c r="I41" s="25">
        <f>SUM(Superstores_sales_dataset_1_!R39,Superstores_sales_dataset_1_!U39)</f>
        <v>181.4211</v>
      </c>
    </row>
    <row r="42" spans="6:9">
      <c r="F42" s="12" t="s">
        <v>261</v>
      </c>
      <c r="G42" s="13">
        <f>AVERAGE(Superstores_sales_dataset_1_!R40)</f>
        <v>19.99</v>
      </c>
      <c r="H42" s="14">
        <v>0</v>
      </c>
      <c r="I42" s="25">
        <f>SUM(Superstores_sales_dataset_1_!R40,Superstores_sales_dataset_1_!U40)</f>
        <v>26.7866</v>
      </c>
    </row>
    <row r="43" spans="6:9">
      <c r="F43" s="12" t="s">
        <v>265</v>
      </c>
      <c r="G43" s="13">
        <f>AVERAGE(Superstores_sales_dataset_1_!R41)</f>
        <v>158.368</v>
      </c>
      <c r="H43" s="14">
        <v>0.2</v>
      </c>
      <c r="I43" s="25">
        <f>SUM(Superstores_sales_dataset_1_!R41,Superstores_sales_dataset_1_!U41)</f>
        <v>172.2252</v>
      </c>
    </row>
    <row r="44" spans="6:9">
      <c r="F44" s="12" t="s">
        <v>269</v>
      </c>
      <c r="G44" s="13">
        <f>AVERAGE(Superstores_sales_dataset_1_!R42)</f>
        <v>20.1</v>
      </c>
      <c r="H44" s="14">
        <v>0</v>
      </c>
      <c r="I44" s="25">
        <f>SUM(Superstores_sales_dataset_1_!R42,Superstores_sales_dataset_1_!U42)</f>
        <v>26.733</v>
      </c>
    </row>
    <row r="45" spans="6:9">
      <c r="F45" s="12" t="s">
        <v>274</v>
      </c>
      <c r="G45" s="13">
        <f>AVERAGE(Superstores_sales_dataset_1_!R43)</f>
        <v>12.96</v>
      </c>
      <c r="H45" s="14">
        <v>0</v>
      </c>
      <c r="I45" s="25">
        <f>SUM(Superstores_sales_dataset_1_!R43,Superstores_sales_dataset_1_!U43)</f>
        <v>19.1808</v>
      </c>
    </row>
    <row r="46" spans="6:9">
      <c r="F46" s="12" t="s">
        <v>280</v>
      </c>
      <c r="G46" s="13">
        <f>AVERAGE(Superstores_sales_dataset_1_!R44)</f>
        <v>5.682</v>
      </c>
      <c r="H46" s="14">
        <v>0.7</v>
      </c>
      <c r="I46" s="25">
        <f>SUM(Superstores_sales_dataset_1_!R44,Superstores_sales_dataset_1_!U44)</f>
        <v>1.894</v>
      </c>
    </row>
    <row r="47" spans="6:9">
      <c r="F47" s="12" t="s">
        <v>284</v>
      </c>
      <c r="G47" s="13">
        <f>AVERAGE(Superstores_sales_dataset_1_!R45)</f>
        <v>96.53</v>
      </c>
      <c r="H47" s="14">
        <v>0</v>
      </c>
      <c r="I47" s="25">
        <f>SUM(Superstores_sales_dataset_1_!R45,Superstores_sales_dataset_1_!U45)</f>
        <v>137.0726</v>
      </c>
    </row>
    <row r="48" spans="6:9">
      <c r="F48" s="12" t="s">
        <v>288</v>
      </c>
      <c r="G48" s="13">
        <f>AVERAGE(Superstores_sales_dataset_1_!R46)</f>
        <v>51.312</v>
      </c>
      <c r="H48" s="14">
        <v>0.2</v>
      </c>
      <c r="I48" s="25">
        <f>SUM(Superstores_sales_dataset_1_!R46,Superstores_sales_dataset_1_!U46)</f>
        <v>69.2712</v>
      </c>
    </row>
    <row r="49" spans="6:9">
      <c r="F49" s="12" t="s">
        <v>293</v>
      </c>
      <c r="G49" s="13">
        <f>AVERAGE(Superstores_sales_dataset_1_!R47)</f>
        <v>77.88</v>
      </c>
      <c r="H49" s="14">
        <v>0</v>
      </c>
      <c r="I49" s="25">
        <f>SUM(Superstores_sales_dataset_1_!R47,Superstores_sales_dataset_1_!U47)</f>
        <v>100.4652</v>
      </c>
    </row>
    <row r="50" spans="6:9">
      <c r="F50" s="12" t="s">
        <v>297</v>
      </c>
      <c r="G50" s="13">
        <f>AVERAGE(Superstores_sales_dataset_1_!R48)</f>
        <v>64.624</v>
      </c>
      <c r="H50" s="14">
        <v>0.2</v>
      </c>
      <c r="I50" s="25">
        <f>SUM(Superstores_sales_dataset_1_!R48,Superstores_sales_dataset_1_!U48)</f>
        <v>87.2424</v>
      </c>
    </row>
    <row r="51" spans="6:9">
      <c r="F51" s="12" t="s">
        <v>301</v>
      </c>
      <c r="G51" s="13">
        <f>AVERAGE(Superstores_sales_dataset_1_!R49)</f>
        <v>23.92</v>
      </c>
      <c r="H51" s="14">
        <v>0</v>
      </c>
      <c r="I51" s="25">
        <f>SUM(Superstores_sales_dataset_1_!R49,Superstores_sales_dataset_1_!U49)</f>
        <v>35.6408</v>
      </c>
    </row>
    <row r="52" spans="6:9">
      <c r="F52" s="12" t="s">
        <v>307</v>
      </c>
      <c r="G52" s="13">
        <f>AVERAGE(Superstores_sales_dataset_1_!R50)</f>
        <v>238.896</v>
      </c>
      <c r="H52" s="14">
        <v>0.2</v>
      </c>
      <c r="I52" s="25">
        <f>SUM(Superstores_sales_dataset_1_!R50,Superstores_sales_dataset_1_!U50)</f>
        <v>212.0202</v>
      </c>
    </row>
    <row r="53" spans="6:9">
      <c r="F53" s="12" t="s">
        <v>312</v>
      </c>
      <c r="G53" s="13">
        <f>AVERAGE(Superstores_sales_dataset_1_!R51)</f>
        <v>74.112</v>
      </c>
      <c r="H53" s="14">
        <v>0.2</v>
      </c>
      <c r="I53" s="25">
        <f>SUM(Superstores_sales_dataset_1_!R51,Superstores_sales_dataset_1_!U51)</f>
        <v>91.7136</v>
      </c>
    </row>
    <row r="54" spans="6:9">
      <c r="F54" s="12" t="s">
        <v>317</v>
      </c>
      <c r="G54" s="13">
        <f>AVERAGE(Superstores_sales_dataset_1_!R52)</f>
        <v>339.96</v>
      </c>
      <c r="H54" s="14">
        <v>0.2</v>
      </c>
      <c r="I54" s="25">
        <f>SUM(Superstores_sales_dataset_1_!R52,Superstores_sales_dataset_1_!U52)</f>
        <v>407.952</v>
      </c>
    </row>
    <row r="55" spans="6:9">
      <c r="F55" s="12" t="s">
        <v>321</v>
      </c>
      <c r="G55" s="13">
        <f>AVERAGE(Superstores_sales_dataset_1_!R53)</f>
        <v>41.96</v>
      </c>
      <c r="H55" s="14">
        <v>0</v>
      </c>
      <c r="I55" s="25">
        <f>SUM(Superstores_sales_dataset_1_!R53,Superstores_sales_dataset_1_!U53)</f>
        <v>52.8696</v>
      </c>
    </row>
    <row r="56" spans="6:9">
      <c r="F56" s="12" t="s">
        <v>327</v>
      </c>
      <c r="G56" s="13">
        <f>AVERAGE(Superstores_sales_dataset_1_!R54)</f>
        <v>75.96</v>
      </c>
      <c r="H56" s="14">
        <v>0</v>
      </c>
      <c r="I56" s="25">
        <f>SUM(Superstores_sales_dataset_1_!R54,Superstores_sales_dataset_1_!U54)</f>
        <v>98.748</v>
      </c>
    </row>
    <row r="57" spans="6:9">
      <c r="F57" s="12" t="s">
        <v>333</v>
      </c>
      <c r="G57" s="13">
        <f>AVERAGE(Superstores_sales_dataset_1_!R55)</f>
        <v>40.096</v>
      </c>
      <c r="H57" s="14">
        <v>0.2</v>
      </c>
      <c r="I57" s="25">
        <f>SUM(Superstores_sales_dataset_1_!R55,Superstores_sales_dataset_1_!U55)</f>
        <v>54.6308</v>
      </c>
    </row>
    <row r="58" spans="6:9">
      <c r="F58" s="12" t="s">
        <v>337</v>
      </c>
      <c r="G58" s="13">
        <f>AVERAGE(Superstores_sales_dataset_1_!R56)</f>
        <v>787.53</v>
      </c>
      <c r="H58" s="14">
        <v>0</v>
      </c>
      <c r="I58" s="25">
        <f>SUM(Superstores_sales_dataset_1_!R56,Superstores_sales_dataset_1_!U56)</f>
        <v>952.9113</v>
      </c>
    </row>
    <row r="59" spans="6:9">
      <c r="F59" s="12" t="s">
        <v>342</v>
      </c>
      <c r="G59" s="13">
        <f>AVERAGE(Superstores_sales_dataset_1_!R57)</f>
        <v>157.794</v>
      </c>
      <c r="H59" s="14">
        <v>0.7</v>
      </c>
      <c r="I59" s="25">
        <f>SUM(Superstores_sales_dataset_1_!R57,Superstores_sales_dataset_1_!U57)</f>
        <v>42.0784</v>
      </c>
    </row>
    <row r="60" spans="6:9">
      <c r="F60" s="12" t="s">
        <v>347</v>
      </c>
      <c r="G60" s="13">
        <f>AVERAGE(Superstores_sales_dataset_1_!R58)</f>
        <v>47.04</v>
      </c>
      <c r="H60" s="14">
        <v>0</v>
      </c>
      <c r="I60" s="25">
        <f>SUM(Superstores_sales_dataset_1_!R58,Superstores_sales_dataset_1_!U58)</f>
        <v>65.3856</v>
      </c>
    </row>
    <row r="61" spans="6:9">
      <c r="F61" s="12" t="s">
        <v>351</v>
      </c>
      <c r="G61" s="13">
        <f>AVERAGE(Superstores_sales_dataset_1_!R59)</f>
        <v>600.558</v>
      </c>
      <c r="H61" s="14">
        <v>0.3</v>
      </c>
      <c r="I61" s="25">
        <f>SUM(Superstores_sales_dataset_1_!R59,Superstores_sales_dataset_1_!U59)</f>
        <v>591.9786</v>
      </c>
    </row>
    <row r="62" spans="6:9">
      <c r="F62" s="12" t="s">
        <v>356</v>
      </c>
      <c r="G62" s="13">
        <f>AVERAGE(Superstores_sales_dataset_1_!R60)</f>
        <v>617.7</v>
      </c>
      <c r="H62" s="14">
        <v>0.5</v>
      </c>
      <c r="I62" s="25">
        <f>SUM(Superstores_sales_dataset_1_!R60,Superstores_sales_dataset_1_!U60)</f>
        <v>210.018</v>
      </c>
    </row>
    <row r="63" spans="6:9">
      <c r="F63" s="12" t="s">
        <v>361</v>
      </c>
      <c r="G63" s="13">
        <f>AVERAGE(Superstores_sales_dataset_1_!R61)</f>
        <v>2.388</v>
      </c>
      <c r="H63" s="14">
        <v>0.7</v>
      </c>
      <c r="I63" s="25">
        <f>SUM(Superstores_sales_dataset_1_!R61,Superstores_sales_dataset_1_!U61)</f>
        <v>0.5572</v>
      </c>
    </row>
    <row r="64" spans="6:9">
      <c r="F64" s="12" t="s">
        <v>364</v>
      </c>
      <c r="G64" s="13">
        <f>AVERAGE(Superstores_sales_dataset_1_!R62)</f>
        <v>81.424</v>
      </c>
      <c r="H64" s="14">
        <v>0.2</v>
      </c>
      <c r="I64" s="25">
        <f>SUM(Superstores_sales_dataset_1_!R62,Superstores_sales_dataset_1_!U62)</f>
        <v>72.2638</v>
      </c>
    </row>
    <row r="65" spans="6:9">
      <c r="F65" s="12" t="s">
        <v>368</v>
      </c>
      <c r="G65" s="13">
        <f>AVERAGE(Superstores_sales_dataset_1_!R63)</f>
        <v>59.97</v>
      </c>
      <c r="H65" s="14">
        <v>0.4</v>
      </c>
      <c r="I65" s="25">
        <f>SUM(Superstores_sales_dataset_1_!R63,Superstores_sales_dataset_1_!U63)</f>
        <v>47.976</v>
      </c>
    </row>
    <row r="66" spans="6:9">
      <c r="F66" s="12" t="s">
        <v>373</v>
      </c>
      <c r="G66" s="13">
        <f>AVERAGE(Superstores_sales_dataset_1_!R64)</f>
        <v>20.04</v>
      </c>
      <c r="H66" s="14">
        <v>0</v>
      </c>
      <c r="I66" s="25">
        <f>SUM(Superstores_sales_dataset_1_!R64,Superstores_sales_dataset_1_!U64)</f>
        <v>29.6592</v>
      </c>
    </row>
    <row r="67" spans="6:9">
      <c r="F67" s="12" t="s">
        <v>377</v>
      </c>
      <c r="G67" s="13">
        <f>AVERAGE(Superstores_sales_dataset_1_!R65)</f>
        <v>82.8</v>
      </c>
      <c r="H67" s="14">
        <v>0.2</v>
      </c>
      <c r="I67" s="25">
        <f>SUM(Superstores_sales_dataset_1_!R65,Superstores_sales_dataset_1_!U65)</f>
        <v>93.15</v>
      </c>
    </row>
    <row r="68" spans="6:9">
      <c r="F68" s="12" t="s">
        <v>381</v>
      </c>
      <c r="G68" s="13">
        <f>AVERAGE(Superstores_sales_dataset_1_!R66)</f>
        <v>8.82</v>
      </c>
      <c r="H68" s="14">
        <v>0</v>
      </c>
      <c r="I68" s="25">
        <f>SUM(Superstores_sales_dataset_1_!R66,Superstores_sales_dataset_1_!U66)</f>
        <v>11.2014</v>
      </c>
    </row>
    <row r="69" spans="6:9">
      <c r="F69" s="12" t="s">
        <v>387</v>
      </c>
      <c r="G69" s="13">
        <f>AVERAGE(Superstores_sales_dataset_1_!R67)</f>
        <v>839.43</v>
      </c>
      <c r="H69" s="14">
        <v>0</v>
      </c>
      <c r="I69" s="25">
        <f>SUM(Superstores_sales_dataset_1_!R67,Superstores_sales_dataset_1_!U67)</f>
        <v>1057.6818</v>
      </c>
    </row>
    <row r="70" spans="6:9">
      <c r="F70" s="12" t="s">
        <v>256</v>
      </c>
      <c r="G70" s="13">
        <f>AVERAGE(Superstores_sales_dataset_1_!R68)</f>
        <v>671.93</v>
      </c>
      <c r="H70" s="14">
        <v>0</v>
      </c>
      <c r="I70" s="25">
        <f>SUM(Superstores_sales_dataset_1_!R68,Superstores_sales_dataset_1_!U68)</f>
        <v>692.0879</v>
      </c>
    </row>
    <row r="71" spans="6:9">
      <c r="F71" s="12" t="s">
        <v>395</v>
      </c>
      <c r="G71" s="13">
        <f>AVERAGE(Superstores_sales_dataset_1_!R69)</f>
        <v>93.888</v>
      </c>
      <c r="H71" s="14">
        <v>0.2</v>
      </c>
      <c r="I71" s="25">
        <f>SUM(Superstores_sales_dataset_1_!R69,Superstores_sales_dataset_1_!U69)</f>
        <v>106.7976</v>
      </c>
    </row>
    <row r="72" spans="6:9">
      <c r="F72" s="12" t="s">
        <v>400</v>
      </c>
      <c r="G72" s="13">
        <f>AVERAGE(Superstores_sales_dataset_1_!R70)</f>
        <v>384.45</v>
      </c>
      <c r="H72" s="14">
        <v>0</v>
      </c>
      <c r="I72" s="25">
        <f>SUM(Superstores_sales_dataset_1_!R70,Superstores_sales_dataset_1_!U70)</f>
        <v>488.2515</v>
      </c>
    </row>
    <row r="73" spans="6:9">
      <c r="F73" s="12" t="s">
        <v>405</v>
      </c>
      <c r="G73" s="13">
        <f>AVERAGE(Superstores_sales_dataset_1_!R71)</f>
        <v>157.92</v>
      </c>
      <c r="H73" s="14">
        <v>0.2</v>
      </c>
      <c r="I73" s="25">
        <f>SUM(Superstores_sales_dataset_1_!R71,Superstores_sales_dataset_1_!U71)</f>
        <v>175.686</v>
      </c>
    </row>
    <row r="74" spans="6:9">
      <c r="F74" s="12" t="s">
        <v>410</v>
      </c>
      <c r="G74" s="13">
        <f>AVERAGE(Superstores_sales_dataset_1_!R72)</f>
        <v>58.38</v>
      </c>
      <c r="H74" s="14">
        <v>0</v>
      </c>
      <c r="I74" s="25">
        <f>SUM(Superstores_sales_dataset_1_!R72,Superstores_sales_dataset_1_!U72)</f>
        <v>84.651</v>
      </c>
    </row>
    <row r="75" spans="6:9">
      <c r="F75" s="12" t="s">
        <v>414</v>
      </c>
      <c r="G75" s="13">
        <f>AVERAGE(Superstores_sales_dataset_1_!R73)</f>
        <v>6.63</v>
      </c>
      <c r="H75" s="14">
        <v>0</v>
      </c>
      <c r="I75" s="25">
        <f>SUM(Superstores_sales_dataset_1_!R73,Superstores_sales_dataset_1_!U73)</f>
        <v>8.4201</v>
      </c>
    </row>
    <row r="76" spans="6:9">
      <c r="F76" s="12" t="s">
        <v>351</v>
      </c>
      <c r="G76" s="13">
        <f>AVERAGE(Superstores_sales_dataset_1_!R74)</f>
        <v>457.568</v>
      </c>
      <c r="H76" s="14">
        <v>0.2</v>
      </c>
      <c r="I76" s="25">
        <f>SUM(Superstores_sales_dataset_1_!R74,Superstores_sales_dataset_1_!U74)</f>
        <v>509.0444</v>
      </c>
    </row>
    <row r="77" spans="6:9">
      <c r="F77" s="12" t="s">
        <v>422</v>
      </c>
      <c r="G77" s="13">
        <f>AVERAGE(Superstores_sales_dataset_1_!R75)</f>
        <v>14.62</v>
      </c>
      <c r="H77" s="14">
        <v>0</v>
      </c>
      <c r="I77" s="25">
        <f>SUM(Superstores_sales_dataset_1_!R75,Superstores_sales_dataset_1_!U75)</f>
        <v>21.4914</v>
      </c>
    </row>
    <row r="78" spans="6:9">
      <c r="F78" s="12" t="s">
        <v>426</v>
      </c>
      <c r="G78" s="13">
        <f>AVERAGE(Superstores_sales_dataset_1_!R76)</f>
        <v>5.98</v>
      </c>
      <c r="H78" s="14">
        <v>0</v>
      </c>
      <c r="I78" s="25">
        <f>SUM(Superstores_sales_dataset_1_!R76,Superstores_sales_dataset_1_!U76)</f>
        <v>8.671</v>
      </c>
    </row>
    <row r="79" spans="6:9">
      <c r="F79" s="12" t="s">
        <v>430</v>
      </c>
      <c r="G79" s="13">
        <f>AVERAGE(Superstores_sales_dataset_1_!R77)</f>
        <v>54.384</v>
      </c>
      <c r="H79" s="14">
        <v>0.2</v>
      </c>
      <c r="I79" s="25">
        <f>SUM(Superstores_sales_dataset_1_!R77,Superstores_sales_dataset_1_!U77)</f>
        <v>55.7436</v>
      </c>
    </row>
    <row r="80" spans="6:9">
      <c r="F80" s="12" t="s">
        <v>436</v>
      </c>
      <c r="G80" s="13">
        <f>AVERAGE(Superstores_sales_dataset_1_!R78)</f>
        <v>28.4</v>
      </c>
      <c r="H80" s="14">
        <v>0</v>
      </c>
      <c r="I80" s="25">
        <f>SUM(Superstores_sales_dataset_1_!R78,Superstores_sales_dataset_1_!U78)</f>
        <v>41.748</v>
      </c>
    </row>
    <row r="81" spans="6:9">
      <c r="F81" s="12" t="s">
        <v>440</v>
      </c>
      <c r="G81" s="13">
        <f>AVERAGE(Superstores_sales_dataset_1_!R79)</f>
        <v>27.68</v>
      </c>
      <c r="H81" s="14">
        <v>0.2</v>
      </c>
      <c r="I81" s="25">
        <f>SUM(Superstores_sales_dataset_1_!R79,Superstores_sales_dataset_1_!U79)</f>
        <v>37.368</v>
      </c>
    </row>
    <row r="82" spans="6:9">
      <c r="F82" s="12" t="s">
        <v>445</v>
      </c>
      <c r="G82" s="13">
        <f>AVERAGE(Superstores_sales_dataset_1_!R80)</f>
        <v>9.936</v>
      </c>
      <c r="H82" s="14">
        <v>0.2</v>
      </c>
      <c r="I82" s="25">
        <f>SUM(Superstores_sales_dataset_1_!R80,Superstores_sales_dataset_1_!U80)</f>
        <v>12.6684</v>
      </c>
    </row>
    <row r="83" spans="6:9">
      <c r="F83" s="12" t="s">
        <v>449</v>
      </c>
      <c r="G83" s="13">
        <f>AVERAGE(Superstores_sales_dataset_1_!R81)</f>
        <v>20.94</v>
      </c>
      <c r="H83" s="14">
        <v>0</v>
      </c>
      <c r="I83" s="25">
        <f>SUM(Superstores_sales_dataset_1_!R81,Superstores_sales_dataset_1_!U81)</f>
        <v>30.7818</v>
      </c>
    </row>
    <row r="84" spans="6:9">
      <c r="F84" s="12" t="s">
        <v>453</v>
      </c>
      <c r="G84" s="13">
        <f>AVERAGE(Superstores_sales_dataset_1_!R82)</f>
        <v>52.448</v>
      </c>
      <c r="H84" s="14">
        <v>0.8</v>
      </c>
      <c r="I84" s="25">
        <f>SUM(Superstores_sales_dataset_1_!R82,Superstores_sales_dataset_1_!U82)</f>
        <v>-78.672</v>
      </c>
    </row>
    <row r="85" spans="6:9">
      <c r="F85" s="12" t="s">
        <v>457</v>
      </c>
      <c r="G85" s="13">
        <f>AVERAGE(Superstores_sales_dataset_1_!R83)</f>
        <v>97.264</v>
      </c>
      <c r="H85" s="14">
        <v>0.8</v>
      </c>
      <c r="I85" s="25">
        <f>SUM(Superstores_sales_dataset_1_!R83,Superstores_sales_dataset_1_!U83)</f>
        <v>-145.896</v>
      </c>
    </row>
    <row r="86" spans="6:9">
      <c r="F86" s="12" t="s">
        <v>461</v>
      </c>
      <c r="G86" s="13">
        <f>AVERAGE(Superstores_sales_dataset_1_!R84)</f>
        <v>3.28</v>
      </c>
      <c r="H86" s="14">
        <v>0</v>
      </c>
      <c r="I86" s="25">
        <f>SUM(Superstores_sales_dataset_1_!R84,Superstores_sales_dataset_1_!U84)</f>
        <v>4.6904</v>
      </c>
    </row>
    <row r="87" spans="6:9">
      <c r="F87" s="12" t="s">
        <v>465</v>
      </c>
      <c r="G87" s="13">
        <f>AVERAGE(Superstores_sales_dataset_1_!R85)</f>
        <v>24.816</v>
      </c>
      <c r="H87" s="14">
        <v>0.2</v>
      </c>
      <c r="I87" s="25">
        <f>SUM(Superstores_sales_dataset_1_!R85,Superstores_sales_dataset_1_!U85)</f>
        <v>26.6772</v>
      </c>
    </row>
    <row r="88" spans="6:9">
      <c r="F88" s="12" t="s">
        <v>471</v>
      </c>
      <c r="G88" s="13">
        <f>AVERAGE(Superstores_sales_dataset_1_!R86)</f>
        <v>503.96</v>
      </c>
      <c r="H88" s="14">
        <v>0</v>
      </c>
      <c r="I88" s="25">
        <f>SUM(Superstores_sales_dataset_1_!R86,Superstores_sales_dataset_1_!U86)</f>
        <v>634.9896</v>
      </c>
    </row>
    <row r="89" spans="6:9">
      <c r="F89" s="12" t="s">
        <v>477</v>
      </c>
      <c r="G89" s="13">
        <f>AVERAGE(Superstores_sales_dataset_1_!R87)</f>
        <v>7.16</v>
      </c>
      <c r="H89" s="14">
        <v>0</v>
      </c>
      <c r="I89" s="25">
        <f>SUM(Superstores_sales_dataset_1_!R87,Superstores_sales_dataset_1_!U87)</f>
        <v>10.5968</v>
      </c>
    </row>
    <row r="90" spans="6:9">
      <c r="F90" s="12" t="s">
        <v>481</v>
      </c>
      <c r="G90" s="13">
        <f>AVERAGE(Superstores_sales_dataset_1_!R88)</f>
        <v>176.8</v>
      </c>
      <c r="H90" s="14">
        <v>0</v>
      </c>
      <c r="I90" s="25">
        <f>SUM(Superstores_sales_dataset_1_!R88,Superstores_sales_dataset_1_!U88)</f>
        <v>199.784</v>
      </c>
    </row>
    <row r="91" spans="6:9">
      <c r="F91" s="12" t="s">
        <v>486</v>
      </c>
      <c r="G91" s="13">
        <f>AVERAGE(Superstores_sales_dataset_1_!R89)</f>
        <v>37.224</v>
      </c>
      <c r="H91" s="14">
        <v>0.2</v>
      </c>
      <c r="I91" s="25">
        <f>SUM(Superstores_sales_dataset_1_!R89,Superstores_sales_dataset_1_!U89)</f>
        <v>40.9464</v>
      </c>
    </row>
    <row r="92" spans="6:9">
      <c r="F92" s="12" t="s">
        <v>490</v>
      </c>
      <c r="G92" s="13">
        <f>AVERAGE(Superstores_sales_dataset_1_!R90)</f>
        <v>899.136</v>
      </c>
      <c r="H92" s="14">
        <v>0.2</v>
      </c>
      <c r="I92" s="25">
        <f>SUM(Superstores_sales_dataset_1_!R90,Superstores_sales_dataset_1_!U90)</f>
        <v>1011.528</v>
      </c>
    </row>
    <row r="93" spans="6:9">
      <c r="F93" s="12" t="s">
        <v>495</v>
      </c>
      <c r="G93" s="13">
        <f>AVERAGE(Superstores_sales_dataset_1_!R91)</f>
        <v>14.28</v>
      </c>
      <c r="H93" s="14">
        <v>0</v>
      </c>
      <c r="I93" s="25">
        <f>SUM(Superstores_sales_dataset_1_!R91,Superstores_sales_dataset_1_!U91)</f>
        <v>20.9916</v>
      </c>
    </row>
    <row r="94" spans="6:9">
      <c r="F94" s="12" t="s">
        <v>500</v>
      </c>
      <c r="G94" s="13">
        <f>AVERAGE(Superstores_sales_dataset_1_!R92)</f>
        <v>7.408</v>
      </c>
      <c r="H94" s="14">
        <v>0.2</v>
      </c>
      <c r="I94" s="25">
        <f>SUM(Superstores_sales_dataset_1_!R92,Superstores_sales_dataset_1_!U92)</f>
        <v>8.6118</v>
      </c>
    </row>
    <row r="95" spans="6:9">
      <c r="F95" s="12" t="s">
        <v>506</v>
      </c>
      <c r="G95" s="13">
        <f>AVERAGE(Superstores_sales_dataset_1_!R93)</f>
        <v>46.26</v>
      </c>
      <c r="H95" s="14">
        <v>0</v>
      </c>
      <c r="I95" s="25">
        <f>SUM(Superstores_sales_dataset_1_!R93,Superstores_sales_dataset_1_!U93)</f>
        <v>58.2876</v>
      </c>
    </row>
    <row r="96" spans="6:9">
      <c r="F96" s="12" t="s">
        <v>510</v>
      </c>
      <c r="G96" s="13">
        <f>AVERAGE(Superstores_sales_dataset_1_!R94)</f>
        <v>2.946</v>
      </c>
      <c r="H96" s="14">
        <v>0.7</v>
      </c>
      <c r="I96" s="25">
        <f>SUM(Superstores_sales_dataset_1_!R94,Superstores_sales_dataset_1_!U94)</f>
        <v>0.6874</v>
      </c>
    </row>
    <row r="97" spans="6:9">
      <c r="F97" s="12" t="s">
        <v>515</v>
      </c>
      <c r="G97" s="13">
        <f>AVERAGE(Superstores_sales_dataset_1_!R95)</f>
        <v>21.744</v>
      </c>
      <c r="H97" s="14">
        <v>0.2</v>
      </c>
      <c r="I97" s="25">
        <f>SUM(Superstores_sales_dataset_1_!R95,Superstores_sales_dataset_1_!U95)</f>
        <v>28.539</v>
      </c>
    </row>
    <row r="98" spans="6:9">
      <c r="F98" s="12" t="s">
        <v>520</v>
      </c>
      <c r="G98" s="13">
        <f>AVERAGE(Superstores_sales_dataset_1_!R96)</f>
        <v>218.75</v>
      </c>
      <c r="H98" s="14">
        <v>0.5</v>
      </c>
      <c r="I98" s="25">
        <f>SUM(Superstores_sales_dataset_1_!R96,Superstores_sales_dataset_1_!U96)</f>
        <v>56.875</v>
      </c>
    </row>
    <row r="99" spans="6:9">
      <c r="F99" s="12" t="s">
        <v>525</v>
      </c>
      <c r="G99" s="13">
        <f>AVERAGE(Superstores_sales_dataset_1_!R97)</f>
        <v>66.284</v>
      </c>
      <c r="H99" s="14">
        <v>0.8</v>
      </c>
      <c r="I99" s="25">
        <f>SUM(Superstores_sales_dataset_1_!R97,Superstores_sales_dataset_1_!U97)</f>
        <v>-112.6828</v>
      </c>
    </row>
    <row r="100" spans="6:9">
      <c r="F100" s="12" t="s">
        <v>529</v>
      </c>
      <c r="G100" s="13">
        <f>AVERAGE(Superstores_sales_dataset_1_!R98)</f>
        <v>35.168</v>
      </c>
      <c r="H100" s="14">
        <v>0.2</v>
      </c>
      <c r="I100" s="25">
        <f>SUM(Superstores_sales_dataset_1_!R98,Superstores_sales_dataset_1_!U98)</f>
        <v>44.8392</v>
      </c>
    </row>
    <row r="101" spans="6:9">
      <c r="F101" s="12" t="s">
        <v>534</v>
      </c>
      <c r="G101" s="13">
        <f>AVERAGE(Superstores_sales_dataset_1_!R99)</f>
        <v>444.768</v>
      </c>
      <c r="H101" s="14">
        <v>0.2</v>
      </c>
      <c r="I101" s="25">
        <f>SUM(Superstores_sales_dataset_1_!R99,Superstores_sales_dataset_1_!U99)</f>
        <v>489.2448</v>
      </c>
    </row>
    <row r="102" spans="6:9">
      <c r="F102" s="12" t="s">
        <v>539</v>
      </c>
      <c r="G102" s="13">
        <f>AVERAGE(Superstores_sales_dataset_1_!R100)</f>
        <v>83.92</v>
      </c>
      <c r="H102" s="14">
        <v>0</v>
      </c>
      <c r="I102" s="25">
        <f>SUM(Superstores_sales_dataset_1_!R100,Superstores_sales_dataset_1_!U100)</f>
        <v>89.7944</v>
      </c>
    </row>
    <row r="103" spans="6:9">
      <c r="F103" s="12" t="s">
        <v>543</v>
      </c>
      <c r="G103" s="13">
        <f>AVERAGE(Superstores_sales_dataset_1_!R101)</f>
        <v>20.8</v>
      </c>
      <c r="H103" s="14">
        <v>0.2</v>
      </c>
      <c r="I103" s="25">
        <f>SUM(Superstores_sales_dataset_1_!R101,Superstores_sales_dataset_1_!U101)</f>
        <v>27.3</v>
      </c>
    </row>
    <row r="104" spans="6:9">
      <c r="F104" s="12" t="s">
        <v>548</v>
      </c>
      <c r="G104" s="13">
        <f>AVERAGE(Superstores_sales_dataset_1_!R102)</f>
        <v>23.68</v>
      </c>
      <c r="H104" s="14">
        <v>0.2</v>
      </c>
      <c r="I104" s="25">
        <f>SUM(Superstores_sales_dataset_1_!R102,Superstores_sales_dataset_1_!U102)</f>
        <v>32.56</v>
      </c>
    </row>
    <row r="105" spans="6:9">
      <c r="F105" s="12" t="s">
        <v>486</v>
      </c>
      <c r="G105" s="13">
        <f>AVERAGE(Superstores_sales_dataset_1_!R103)</f>
        <v>93.06</v>
      </c>
      <c r="H105" s="14">
        <v>0</v>
      </c>
      <c r="I105" s="25">
        <f>SUM(Superstores_sales_dataset_1_!R103,Superstores_sales_dataset_1_!U103)</f>
        <v>119.1168</v>
      </c>
    </row>
    <row r="106" spans="6:9">
      <c r="F106" s="12" t="s">
        <v>555</v>
      </c>
      <c r="G106" s="13">
        <f>AVERAGE(Superstores_sales_dataset_1_!R104)</f>
        <v>5.584</v>
      </c>
      <c r="H106" s="14">
        <v>0.2</v>
      </c>
      <c r="I106" s="25">
        <f>SUM(Superstores_sales_dataset_1_!R104,Superstores_sales_dataset_1_!U104)</f>
        <v>7.3988</v>
      </c>
    </row>
    <row r="107" spans="6:9">
      <c r="F107" s="12" t="s">
        <v>560</v>
      </c>
      <c r="G107" s="13">
        <f>AVERAGE(Superstores_sales_dataset_1_!R105)</f>
        <v>2.2</v>
      </c>
      <c r="H107" s="14">
        <v>0</v>
      </c>
      <c r="I107" s="25">
        <f>SUM(Superstores_sales_dataset_1_!R105,Superstores_sales_dataset_1_!U105)</f>
        <v>3.168</v>
      </c>
    </row>
    <row r="108" spans="6:9">
      <c r="F108" s="12" t="s">
        <v>565</v>
      </c>
      <c r="G108" s="13">
        <f>AVERAGE(Superstores_sales_dataset_1_!R106)</f>
        <v>161.568</v>
      </c>
      <c r="H108" s="14">
        <v>0.2</v>
      </c>
      <c r="I108" s="25">
        <f>SUM(Superstores_sales_dataset_1_!R106,Superstores_sales_dataset_1_!U106)</f>
        <v>133.2936</v>
      </c>
    </row>
    <row r="109" spans="6:9">
      <c r="F109" s="12" t="s">
        <v>569</v>
      </c>
      <c r="G109" s="13">
        <f>AVERAGE(Superstores_sales_dataset_1_!R107)</f>
        <v>18.648</v>
      </c>
      <c r="H109" s="14">
        <v>0.7</v>
      </c>
      <c r="I109" s="25">
        <f>SUM(Superstores_sales_dataset_1_!R107,Superstores_sales_dataset_1_!U107)</f>
        <v>6.216</v>
      </c>
    </row>
    <row r="110" spans="6:9">
      <c r="F110" s="12" t="s">
        <v>574</v>
      </c>
      <c r="G110" s="13">
        <f>AVERAGE(Superstores_sales_dataset_1_!R108)</f>
        <v>10.56</v>
      </c>
      <c r="H110" s="14">
        <v>0</v>
      </c>
      <c r="I110" s="25">
        <f>SUM(Superstores_sales_dataset_1_!R108,Superstores_sales_dataset_1_!U108)</f>
        <v>15.312</v>
      </c>
    </row>
    <row r="111" spans="6:9">
      <c r="F111" s="12" t="s">
        <v>578</v>
      </c>
      <c r="G111" s="13">
        <f>AVERAGE(Superstores_sales_dataset_1_!R109)</f>
        <v>25.92</v>
      </c>
      <c r="H111" s="14">
        <v>0.2</v>
      </c>
      <c r="I111" s="25">
        <f>SUM(Superstores_sales_dataset_1_!R109,Superstores_sales_dataset_1_!U109)</f>
        <v>35.316</v>
      </c>
    </row>
    <row r="112" spans="6:9">
      <c r="F112" s="12" t="s">
        <v>351</v>
      </c>
      <c r="G112" s="13">
        <f>AVERAGE(Superstores_sales_dataset_1_!R110)</f>
        <v>2001.86</v>
      </c>
      <c r="H112" s="14">
        <v>0</v>
      </c>
      <c r="I112" s="25">
        <f>SUM(Superstores_sales_dataset_1_!R110,Superstores_sales_dataset_1_!U110)</f>
        <v>2582.3994</v>
      </c>
    </row>
    <row r="113" spans="6:9">
      <c r="F113" s="12" t="s">
        <v>585</v>
      </c>
      <c r="G113" s="13">
        <f>AVERAGE(Superstores_sales_dataset_1_!R111)</f>
        <v>321.568</v>
      </c>
      <c r="H113" s="14">
        <v>0.2</v>
      </c>
      <c r="I113" s="25">
        <f>SUM(Superstores_sales_dataset_1_!R111,Superstores_sales_dataset_1_!U111)</f>
        <v>349.7052</v>
      </c>
    </row>
    <row r="114" spans="6:9">
      <c r="F114" s="12" t="s">
        <v>590</v>
      </c>
      <c r="G114" s="13">
        <f>AVERAGE(Superstores_sales_dataset_1_!R112)</f>
        <v>7.61</v>
      </c>
      <c r="H114" s="14">
        <v>0</v>
      </c>
      <c r="I114" s="25">
        <f>SUM(Superstores_sales_dataset_1_!R112,Superstores_sales_dataset_1_!U112)</f>
        <v>11.1867</v>
      </c>
    </row>
    <row r="115" spans="6:9">
      <c r="F115" s="12" t="s">
        <v>594</v>
      </c>
      <c r="G115" s="13">
        <f>AVERAGE(Superstores_sales_dataset_1_!R113)</f>
        <v>80.58</v>
      </c>
      <c r="H115" s="14">
        <v>0</v>
      </c>
      <c r="I115" s="25">
        <f>SUM(Superstores_sales_dataset_1_!R113,Superstores_sales_dataset_1_!U113)</f>
        <v>103.1424</v>
      </c>
    </row>
    <row r="116" spans="6:9">
      <c r="F116" s="12" t="s">
        <v>598</v>
      </c>
      <c r="G116" s="13">
        <f>AVERAGE(Superstores_sales_dataset_1_!R114)</f>
        <v>12.132</v>
      </c>
      <c r="H116" s="14">
        <v>0.6</v>
      </c>
      <c r="I116" s="25">
        <f>SUM(Superstores_sales_dataset_1_!R114,Superstores_sales_dataset_1_!U114)</f>
        <v>3.6396</v>
      </c>
    </row>
    <row r="117" spans="6:9">
      <c r="F117" s="12" t="s">
        <v>602</v>
      </c>
      <c r="G117" s="13">
        <f>AVERAGE(Superstores_sales_dataset_1_!R115)</f>
        <v>20.37</v>
      </c>
      <c r="H117" s="14">
        <v>0</v>
      </c>
      <c r="I117" s="25">
        <f>SUM(Superstores_sales_dataset_1_!R115,Superstores_sales_dataset_1_!U115)</f>
        <v>27.2958</v>
      </c>
    </row>
    <row r="118" spans="6:9">
      <c r="F118" s="12" t="s">
        <v>606</v>
      </c>
      <c r="G118" s="13">
        <f>AVERAGE(Superstores_sales_dataset_1_!R116)</f>
        <v>1.624</v>
      </c>
      <c r="H118" s="14">
        <v>0.8</v>
      </c>
      <c r="I118" s="25">
        <f>SUM(Superstores_sales_dataset_1_!R116,Superstores_sales_dataset_1_!U116)</f>
        <v>-2.842</v>
      </c>
    </row>
    <row r="119" spans="6:9">
      <c r="F119" s="12" t="s">
        <v>611</v>
      </c>
      <c r="G119" s="13">
        <f>AVERAGE(Superstores_sales_dataset_1_!R117)</f>
        <v>3059.982</v>
      </c>
      <c r="H119" s="14">
        <v>0.4</v>
      </c>
      <c r="I119" s="25">
        <f>SUM(Superstores_sales_dataset_1_!R117,Superstores_sales_dataset_1_!U117)</f>
        <v>2549.985</v>
      </c>
    </row>
    <row r="120" spans="6:9">
      <c r="F120" s="12" t="s">
        <v>615</v>
      </c>
      <c r="G120" s="13">
        <f>AVERAGE(Superstores_sales_dataset_1_!R118)</f>
        <v>328.224</v>
      </c>
      <c r="H120" s="14">
        <v>0.2</v>
      </c>
      <c r="I120" s="25">
        <f>SUM(Superstores_sales_dataset_1_!R118,Superstores_sales_dataset_1_!U118)</f>
        <v>356.9436</v>
      </c>
    </row>
    <row r="121" spans="6:9">
      <c r="F121" s="12" t="s">
        <v>620</v>
      </c>
      <c r="G121" s="13">
        <f>AVERAGE(Superstores_sales_dataset_1_!R119)</f>
        <v>79.9</v>
      </c>
      <c r="H121" s="14">
        <v>0</v>
      </c>
      <c r="I121" s="25">
        <f>SUM(Superstores_sales_dataset_1_!R119,Superstores_sales_dataset_1_!U119)</f>
        <v>115.056</v>
      </c>
    </row>
    <row r="122" spans="6:9">
      <c r="F122" s="12" t="s">
        <v>625</v>
      </c>
      <c r="G122" s="13">
        <f>AVERAGE(Superstores_sales_dataset_1_!R120)</f>
        <v>14.016</v>
      </c>
      <c r="H122" s="14">
        <v>0.2</v>
      </c>
      <c r="I122" s="25">
        <f>SUM(Superstores_sales_dataset_1_!R120,Superstores_sales_dataset_1_!U120)</f>
        <v>18.7464</v>
      </c>
    </row>
    <row r="123" spans="6:9">
      <c r="F123" s="12" t="s">
        <v>630</v>
      </c>
      <c r="G123" s="13">
        <f>AVERAGE(Superstores_sales_dataset_1_!R121)</f>
        <v>37.208</v>
      </c>
      <c r="H123" s="14">
        <v>0.2</v>
      </c>
      <c r="I123" s="25">
        <f>SUM(Superstores_sales_dataset_1_!R121,Superstores_sales_dataset_1_!U121)</f>
        <v>29.7664</v>
      </c>
    </row>
    <row r="124" spans="6:9">
      <c r="F124" s="12" t="s">
        <v>634</v>
      </c>
      <c r="G124" s="13">
        <f>AVERAGE(Superstores_sales_dataset_1_!R122)</f>
        <v>725.84</v>
      </c>
      <c r="H124" s="14">
        <v>0</v>
      </c>
      <c r="I124" s="25">
        <f>SUM(Superstores_sales_dataset_1_!R122,Superstores_sales_dataset_1_!U122)</f>
        <v>936.3336</v>
      </c>
    </row>
    <row r="125" spans="6:9">
      <c r="F125" s="12" t="s">
        <v>639</v>
      </c>
      <c r="G125" s="13">
        <f>AVERAGE(Superstores_sales_dataset_1_!R123)</f>
        <v>8.82</v>
      </c>
      <c r="H125" s="14">
        <v>0</v>
      </c>
      <c r="I125" s="25">
        <f>SUM(Superstores_sales_dataset_1_!R123,Superstores_sales_dataset_1_!U123)</f>
        <v>12.8772</v>
      </c>
    </row>
    <row r="126" spans="6:9">
      <c r="F126" s="12" t="s">
        <v>643</v>
      </c>
      <c r="G126" s="13">
        <f>AVERAGE(Superstores_sales_dataset_1_!R124)</f>
        <v>11.648</v>
      </c>
      <c r="H126" s="14">
        <v>0.2</v>
      </c>
      <c r="I126" s="25">
        <f>SUM(Superstores_sales_dataset_1_!R124,Superstores_sales_dataset_1_!U124)</f>
        <v>15.7248</v>
      </c>
    </row>
    <row r="127" spans="6:9">
      <c r="F127" s="12" t="s">
        <v>647</v>
      </c>
      <c r="G127" s="13">
        <f>AVERAGE(Superstores_sales_dataset_1_!R125)</f>
        <v>1038.84</v>
      </c>
      <c r="H127" s="14">
        <v>0.2</v>
      </c>
      <c r="I127" s="25">
        <f>SUM(Superstores_sales_dataset_1_!R125,Superstores_sales_dataset_1_!U125)</f>
        <v>1090.782</v>
      </c>
    </row>
    <row r="128" spans="6:9">
      <c r="F128" s="12" t="s">
        <v>652</v>
      </c>
      <c r="G128" s="13">
        <f>AVERAGE(Superstores_sales_dataset_1_!R126)</f>
        <v>254.058</v>
      </c>
      <c r="H128" s="14">
        <v>0.7</v>
      </c>
      <c r="I128" s="25">
        <f>SUM(Superstores_sales_dataset_1_!R126,Superstores_sales_dataset_1_!U126)</f>
        <v>84.686</v>
      </c>
    </row>
    <row r="129" spans="6:9">
      <c r="F129" s="12" t="s">
        <v>656</v>
      </c>
      <c r="G129" s="13">
        <f>AVERAGE(Superstores_sales_dataset_1_!R127)</f>
        <v>19.096</v>
      </c>
      <c r="H129" s="14">
        <v>0.2</v>
      </c>
      <c r="I129" s="25">
        <f>SUM(Superstores_sales_dataset_1_!R127,Superstores_sales_dataset_1_!U127)</f>
        <v>25.7796</v>
      </c>
    </row>
    <row r="130" spans="6:9">
      <c r="F130" s="12" t="s">
        <v>661</v>
      </c>
      <c r="G130" s="13">
        <f>AVERAGE(Superstores_sales_dataset_1_!R128)</f>
        <v>300.416</v>
      </c>
      <c r="H130" s="14">
        <v>0.2</v>
      </c>
      <c r="I130" s="25">
        <f>SUM(Superstores_sales_dataset_1_!R128,Superstores_sales_dataset_1_!U128)</f>
        <v>379.2752</v>
      </c>
    </row>
    <row r="131" spans="6:9">
      <c r="F131" s="12" t="s">
        <v>665</v>
      </c>
      <c r="G131" s="13">
        <f>AVERAGE(Superstores_sales_dataset_1_!R129)</f>
        <v>26.8</v>
      </c>
      <c r="H131" s="14">
        <v>0</v>
      </c>
      <c r="I131" s="25">
        <f>SUM(Superstores_sales_dataset_1_!R129,Superstores_sales_dataset_1_!U129)</f>
        <v>39.664</v>
      </c>
    </row>
    <row r="132" spans="6:9">
      <c r="F132" s="12" t="s">
        <v>670</v>
      </c>
      <c r="G132" s="13">
        <f>AVERAGE(Superstores_sales_dataset_1_!R130)</f>
        <v>45.48</v>
      </c>
      <c r="H132" s="14">
        <v>0</v>
      </c>
      <c r="I132" s="25">
        <f>SUM(Superstores_sales_dataset_1_!R130,Superstores_sales_dataset_1_!U130)</f>
        <v>66.4008</v>
      </c>
    </row>
    <row r="133" spans="6:9">
      <c r="F133" s="12" t="s">
        <v>675</v>
      </c>
      <c r="G133" s="13">
        <f>AVERAGE(Superstores_sales_dataset_1_!R131)</f>
        <v>4.89</v>
      </c>
      <c r="H133" s="14">
        <v>0</v>
      </c>
      <c r="I133" s="25">
        <f>SUM(Superstores_sales_dataset_1_!R131,Superstores_sales_dataset_1_!U131)</f>
        <v>6.8949</v>
      </c>
    </row>
    <row r="134" spans="6:9">
      <c r="F134" s="12" t="s">
        <v>680</v>
      </c>
      <c r="G134" s="13">
        <f>AVERAGE(Superstores_sales_dataset_1_!R132)</f>
        <v>15.136</v>
      </c>
      <c r="H134" s="14">
        <v>0.2</v>
      </c>
      <c r="I134" s="25">
        <f>SUM(Superstores_sales_dataset_1_!R132,Superstores_sales_dataset_1_!U132)</f>
        <v>18.7308</v>
      </c>
    </row>
    <row r="135" spans="6:9">
      <c r="F135" s="12" t="s">
        <v>685</v>
      </c>
      <c r="G135" s="13">
        <f>AVERAGE(Superstores_sales_dataset_1_!R133)</f>
        <v>87.54</v>
      </c>
      <c r="H135" s="14">
        <v>0</v>
      </c>
      <c r="I135" s="25">
        <f>SUM(Superstores_sales_dataset_1_!R133,Superstores_sales_dataset_1_!U133)</f>
        <v>125.1822</v>
      </c>
    </row>
    <row r="136" spans="6:9">
      <c r="F136" s="12" t="s">
        <v>690</v>
      </c>
      <c r="G136" s="13">
        <f>AVERAGE(Superstores_sales_dataset_1_!R134)</f>
        <v>178.384</v>
      </c>
      <c r="H136" s="14">
        <v>0.2</v>
      </c>
      <c r="I136" s="25">
        <f>SUM(Superstores_sales_dataset_1_!R134,Superstores_sales_dataset_1_!U134)</f>
        <v>200.682</v>
      </c>
    </row>
    <row r="137" spans="6:9">
      <c r="F137" s="12" t="s">
        <v>694</v>
      </c>
      <c r="G137" s="13">
        <f>AVERAGE(Superstores_sales_dataset_1_!R135)</f>
        <v>99.136</v>
      </c>
      <c r="H137" s="14">
        <v>0.2</v>
      </c>
      <c r="I137" s="25">
        <f>SUM(Superstores_sales_dataset_1_!R135,Superstores_sales_dataset_1_!U135)</f>
        <v>107.8104</v>
      </c>
    </row>
    <row r="138" spans="6:9">
      <c r="F138" s="12" t="s">
        <v>698</v>
      </c>
      <c r="G138" s="13">
        <f>AVERAGE(Superstores_sales_dataset_1_!R136)</f>
        <v>135.882</v>
      </c>
      <c r="H138" s="14">
        <v>0.1</v>
      </c>
      <c r="I138" s="25">
        <f>SUM(Superstores_sales_dataset_1_!R136,Superstores_sales_dataset_1_!U136)</f>
        <v>160.0388</v>
      </c>
    </row>
    <row r="139" spans="6:9">
      <c r="F139" s="12" t="s">
        <v>703</v>
      </c>
      <c r="G139" s="13">
        <f>AVERAGE(Superstores_sales_dataset_1_!R137)</f>
        <v>7.16</v>
      </c>
      <c r="H139" s="14">
        <v>0</v>
      </c>
      <c r="I139" s="25">
        <f>SUM(Superstores_sales_dataset_1_!R137,Superstores_sales_dataset_1_!U137)</f>
        <v>10.74</v>
      </c>
    </row>
    <row r="140" spans="6:9">
      <c r="F140" s="12" t="s">
        <v>708</v>
      </c>
      <c r="G140" s="13">
        <f>AVERAGE(Superstores_sales_dataset_1_!R138)</f>
        <v>251.52</v>
      </c>
      <c r="H140" s="14">
        <v>0.2</v>
      </c>
      <c r="I140" s="25">
        <f>SUM(Superstores_sales_dataset_1_!R138,Superstores_sales_dataset_1_!U138)</f>
        <v>333.264</v>
      </c>
    </row>
    <row r="141" spans="6:9">
      <c r="F141" s="12" t="s">
        <v>713</v>
      </c>
      <c r="G141" s="13">
        <f>AVERAGE(Superstores_sales_dataset_1_!R139)</f>
        <v>15.992</v>
      </c>
      <c r="H141" s="14">
        <v>0.2</v>
      </c>
      <c r="I141" s="25">
        <f>SUM(Superstores_sales_dataset_1_!R139,Superstores_sales_dataset_1_!U139)</f>
        <v>16.9915</v>
      </c>
    </row>
    <row r="142" spans="6:9">
      <c r="F142" s="12" t="s">
        <v>717</v>
      </c>
      <c r="G142" s="13">
        <f>AVERAGE(Superstores_sales_dataset_1_!R140)</f>
        <v>290.898</v>
      </c>
      <c r="H142" s="14">
        <v>0.4</v>
      </c>
      <c r="I142" s="25">
        <f>SUM(Superstores_sales_dataset_1_!R140,Superstores_sales_dataset_1_!U140)</f>
        <v>223.0218</v>
      </c>
    </row>
    <row r="143" spans="6:9">
      <c r="F143" s="12" t="s">
        <v>721</v>
      </c>
      <c r="G143" s="13">
        <f>AVERAGE(Superstores_sales_dataset_1_!R141)</f>
        <v>82.8</v>
      </c>
      <c r="H143" s="14">
        <v>0.4</v>
      </c>
      <c r="I143" s="25">
        <f>SUM(Superstores_sales_dataset_1_!R141,Superstores_sales_dataset_1_!U141)</f>
        <v>62.1</v>
      </c>
    </row>
    <row r="144" spans="6:9">
      <c r="F144" s="12" t="s">
        <v>725</v>
      </c>
      <c r="G144" s="13">
        <f>AVERAGE(Superstores_sales_dataset_1_!R142)</f>
        <v>4.752</v>
      </c>
      <c r="H144" s="14">
        <v>0.2</v>
      </c>
      <c r="I144" s="25">
        <f>SUM(Superstores_sales_dataset_1_!R142,Superstores_sales_dataset_1_!U142)</f>
        <v>6.3558</v>
      </c>
    </row>
    <row r="145" spans="6:9">
      <c r="F145" s="12" t="s">
        <v>729</v>
      </c>
      <c r="G145" s="13">
        <f>AVERAGE(Superstores_sales_dataset_1_!R143)</f>
        <v>7.712</v>
      </c>
      <c r="H145" s="14">
        <v>0.2</v>
      </c>
      <c r="I145" s="25">
        <f>SUM(Superstores_sales_dataset_1_!R143,Superstores_sales_dataset_1_!U143)</f>
        <v>10.5076</v>
      </c>
    </row>
    <row r="146" spans="6:9">
      <c r="F146" s="12" t="s">
        <v>368</v>
      </c>
      <c r="G146" s="13">
        <f>AVERAGE(Superstores_sales_dataset_1_!R144)</f>
        <v>47.976</v>
      </c>
      <c r="H146" s="14">
        <v>0.2</v>
      </c>
      <c r="I146" s="25">
        <f>SUM(Superstores_sales_dataset_1_!R144,Superstores_sales_dataset_1_!U144)</f>
        <v>52.7736</v>
      </c>
    </row>
    <row r="147" spans="6:9">
      <c r="F147" s="12" t="s">
        <v>737</v>
      </c>
      <c r="G147" s="13">
        <f>AVERAGE(Superstores_sales_dataset_1_!R145)</f>
        <v>7.56</v>
      </c>
      <c r="H147" s="14">
        <v>0</v>
      </c>
      <c r="I147" s="25">
        <f>SUM(Superstores_sales_dataset_1_!R145,Superstores_sales_dataset_1_!U145)</f>
        <v>10.6596</v>
      </c>
    </row>
    <row r="148" spans="6:9">
      <c r="F148" s="12" t="s">
        <v>602</v>
      </c>
      <c r="G148" s="13">
        <f>AVERAGE(Superstores_sales_dataset_1_!R146)</f>
        <v>6.79</v>
      </c>
      <c r="H148" s="14">
        <v>0</v>
      </c>
      <c r="I148" s="25">
        <f>SUM(Superstores_sales_dataset_1_!R146,Superstores_sales_dataset_1_!U146)</f>
        <v>9.0986</v>
      </c>
    </row>
    <row r="149" spans="6:9">
      <c r="F149" s="12" t="s">
        <v>743</v>
      </c>
      <c r="G149" s="13">
        <f>AVERAGE(Superstores_sales_dataset_1_!R147)</f>
        <v>388.704</v>
      </c>
      <c r="H149" s="14">
        <v>0.2</v>
      </c>
      <c r="I149" s="25">
        <f>SUM(Superstores_sales_dataset_1_!R147,Superstores_sales_dataset_1_!U147)</f>
        <v>383.8452</v>
      </c>
    </row>
    <row r="150" spans="6:9">
      <c r="F150" s="12" t="s">
        <v>748</v>
      </c>
      <c r="G150" s="13">
        <f>AVERAGE(Superstores_sales_dataset_1_!R148)</f>
        <v>647.84</v>
      </c>
      <c r="H150" s="14">
        <v>0</v>
      </c>
      <c r="I150" s="25">
        <f>SUM(Superstores_sales_dataset_1_!R148,Superstores_sales_dataset_1_!U148)</f>
        <v>816.2784</v>
      </c>
    </row>
    <row r="151" spans="6:9">
      <c r="F151" s="12" t="s">
        <v>752</v>
      </c>
      <c r="G151" s="13">
        <f>AVERAGE(Superstores_sales_dataset_1_!R149)</f>
        <v>20.7</v>
      </c>
      <c r="H151" s="14">
        <v>0</v>
      </c>
      <c r="I151" s="25">
        <f>SUM(Superstores_sales_dataset_1_!R149,Superstores_sales_dataset_1_!U149)</f>
        <v>30.636</v>
      </c>
    </row>
    <row r="152" spans="6:9">
      <c r="F152" s="12" t="s">
        <v>178</v>
      </c>
      <c r="G152" s="13">
        <f>AVERAGE(Superstores_sales_dataset_1_!R150)</f>
        <v>211.96</v>
      </c>
      <c r="H152" s="14">
        <v>0</v>
      </c>
      <c r="I152" s="25">
        <f>SUM(Superstores_sales_dataset_1_!R150,Superstores_sales_dataset_1_!U150)</f>
        <v>220.4384</v>
      </c>
    </row>
    <row r="153" spans="6:9">
      <c r="F153" s="12" t="s">
        <v>760</v>
      </c>
      <c r="G153" s="13">
        <f>AVERAGE(Superstores_sales_dataset_1_!R151)</f>
        <v>23.2</v>
      </c>
      <c r="H153" s="14">
        <v>0</v>
      </c>
      <c r="I153" s="25">
        <f>SUM(Superstores_sales_dataset_1_!R151,Superstores_sales_dataset_1_!U151)</f>
        <v>33.64</v>
      </c>
    </row>
    <row r="154" spans="6:9">
      <c r="F154" s="12" t="s">
        <v>765</v>
      </c>
      <c r="G154" s="13">
        <f>AVERAGE(Superstores_sales_dataset_1_!R152)</f>
        <v>25.92</v>
      </c>
      <c r="H154" s="14">
        <v>0.2</v>
      </c>
      <c r="I154" s="25">
        <f>SUM(Superstores_sales_dataset_1_!R152,Superstores_sales_dataset_1_!U152)</f>
        <v>35.316</v>
      </c>
    </row>
    <row r="155" spans="6:9">
      <c r="F155" s="12" t="s">
        <v>770</v>
      </c>
      <c r="G155" s="13">
        <f>AVERAGE(Superstores_sales_dataset_1_!R153)</f>
        <v>8.16</v>
      </c>
      <c r="H155" s="14">
        <v>0.7</v>
      </c>
      <c r="I155" s="25">
        <f>SUM(Superstores_sales_dataset_1_!R153,Superstores_sales_dataset_1_!U153)</f>
        <v>2.448</v>
      </c>
    </row>
    <row r="156" spans="6:9">
      <c r="F156" s="12" t="s">
        <v>775</v>
      </c>
      <c r="G156" s="13">
        <f>AVERAGE(Superstores_sales_dataset_1_!R154)</f>
        <v>99.136</v>
      </c>
      <c r="H156" s="14">
        <v>0.2</v>
      </c>
      <c r="I156" s="25">
        <f>SUM(Superstores_sales_dataset_1_!R154,Superstores_sales_dataset_1_!U154)</f>
        <v>130.116</v>
      </c>
    </row>
    <row r="157" spans="6:9">
      <c r="F157" s="12" t="s">
        <v>779</v>
      </c>
      <c r="G157" s="13">
        <f>AVERAGE(Superstores_sales_dataset_1_!R155)</f>
        <v>1488.424</v>
      </c>
      <c r="H157" s="14">
        <v>0.3</v>
      </c>
      <c r="I157" s="25">
        <f>SUM(Superstores_sales_dataset_1_!R155,Superstores_sales_dataset_1_!U155)</f>
        <v>1190.7392</v>
      </c>
    </row>
    <row r="158" spans="6:9">
      <c r="F158" s="12" t="s">
        <v>783</v>
      </c>
      <c r="G158" s="13">
        <f>AVERAGE(Superstores_sales_dataset_1_!R156)</f>
        <v>8.652</v>
      </c>
      <c r="H158" s="14">
        <v>0.8</v>
      </c>
      <c r="I158" s="25">
        <f>SUM(Superstores_sales_dataset_1_!R156,Superstores_sales_dataset_1_!U156)</f>
        <v>-11.6802</v>
      </c>
    </row>
    <row r="159" spans="6:9">
      <c r="F159" s="12" t="s">
        <v>787</v>
      </c>
      <c r="G159" s="13">
        <f>AVERAGE(Superstores_sales_dataset_1_!R157)</f>
        <v>50.96</v>
      </c>
      <c r="H159" s="14">
        <v>0</v>
      </c>
      <c r="I159" s="25">
        <f>SUM(Superstores_sales_dataset_1_!R157,Superstores_sales_dataset_1_!U157)</f>
        <v>76.44</v>
      </c>
    </row>
    <row r="160" spans="6:9">
      <c r="F160" s="12" t="s">
        <v>792</v>
      </c>
      <c r="G160" s="13">
        <f>AVERAGE(Superstores_sales_dataset_1_!R158)</f>
        <v>41.9</v>
      </c>
      <c r="H160" s="14">
        <v>0</v>
      </c>
      <c r="I160" s="25">
        <f>SUM(Superstores_sales_dataset_1_!R158,Superstores_sales_dataset_1_!U158)</f>
        <v>50.699</v>
      </c>
    </row>
    <row r="161" spans="6:9">
      <c r="F161" s="12" t="s">
        <v>797</v>
      </c>
      <c r="G161" s="13">
        <f>AVERAGE(Superstores_sales_dataset_1_!R159)</f>
        <v>375.4575</v>
      </c>
      <c r="H161" s="14">
        <v>0.45</v>
      </c>
      <c r="I161" s="25">
        <f>SUM(Superstores_sales_dataset_1_!R159,Superstores_sales_dataset_1_!U159)</f>
        <v>218.448</v>
      </c>
    </row>
    <row r="162" spans="6:9">
      <c r="F162" s="12" t="s">
        <v>801</v>
      </c>
      <c r="G162" s="13">
        <f>AVERAGE(Superstores_sales_dataset_1_!R160)</f>
        <v>482.34</v>
      </c>
      <c r="H162" s="14">
        <v>0.7</v>
      </c>
      <c r="I162" s="25">
        <f>SUM(Superstores_sales_dataset_1_!R160,Superstores_sales_dataset_1_!U160)</f>
        <v>144.702</v>
      </c>
    </row>
    <row r="163" spans="6:9">
      <c r="F163" s="12" t="s">
        <v>805</v>
      </c>
      <c r="G163" s="13">
        <f>AVERAGE(Superstores_sales_dataset_1_!R161)</f>
        <v>2.624</v>
      </c>
      <c r="H163" s="14">
        <v>0.2</v>
      </c>
      <c r="I163" s="25">
        <f>SUM(Superstores_sales_dataset_1_!R161,Superstores_sales_dataset_1_!U161)</f>
        <v>3.0504</v>
      </c>
    </row>
    <row r="164" spans="6:9">
      <c r="F164" s="12" t="s">
        <v>809</v>
      </c>
      <c r="G164" s="13">
        <f>AVERAGE(Superstores_sales_dataset_1_!R162)</f>
        <v>23.36</v>
      </c>
      <c r="H164" s="14">
        <v>0.2</v>
      </c>
      <c r="I164" s="25">
        <f>SUM(Superstores_sales_dataset_1_!R162,Superstores_sales_dataset_1_!U162)</f>
        <v>31.244</v>
      </c>
    </row>
    <row r="165" spans="6:9">
      <c r="F165" s="12" t="s">
        <v>814</v>
      </c>
      <c r="G165" s="13">
        <f>AVERAGE(Superstores_sales_dataset_1_!R163)</f>
        <v>246.384</v>
      </c>
      <c r="H165" s="14">
        <v>0.2</v>
      </c>
      <c r="I165" s="25">
        <f>SUM(Superstores_sales_dataset_1_!R163,Superstores_sales_dataset_1_!U163)</f>
        <v>274.1022</v>
      </c>
    </row>
    <row r="166" spans="6:9">
      <c r="F166" s="12" t="s">
        <v>819</v>
      </c>
      <c r="G166" s="13">
        <f>AVERAGE(Superstores_sales_dataset_1_!R164)</f>
        <v>12.462</v>
      </c>
      <c r="H166" s="14">
        <v>0.8</v>
      </c>
      <c r="I166" s="25">
        <f>SUM(Superstores_sales_dataset_1_!R164,Superstores_sales_dataset_1_!U164)</f>
        <v>-8.1003</v>
      </c>
    </row>
    <row r="167" spans="6:9">
      <c r="F167" s="12" t="s">
        <v>825</v>
      </c>
      <c r="G167" s="13">
        <f>AVERAGE(Superstores_sales_dataset_1_!R165)</f>
        <v>75.792</v>
      </c>
      <c r="H167" s="14">
        <v>0.2</v>
      </c>
      <c r="I167" s="25">
        <f>SUM(Superstores_sales_dataset_1_!R165,Superstores_sales_dataset_1_!U165)</f>
        <v>101.3718</v>
      </c>
    </row>
    <row r="168" spans="6:9">
      <c r="F168" s="12" t="s">
        <v>831</v>
      </c>
      <c r="G168" s="13">
        <f>AVERAGE(Superstores_sales_dataset_1_!R166)</f>
        <v>49.96</v>
      </c>
      <c r="H168" s="14">
        <v>0</v>
      </c>
      <c r="I168" s="25">
        <f>SUM(Superstores_sales_dataset_1_!R166,Superstores_sales_dataset_1_!U166)</f>
        <v>59.4524</v>
      </c>
    </row>
    <row r="169" spans="6:9">
      <c r="F169" s="12" t="s">
        <v>835</v>
      </c>
      <c r="G169" s="13">
        <f>AVERAGE(Superstores_sales_dataset_1_!R167)</f>
        <v>35.952</v>
      </c>
      <c r="H169" s="14">
        <v>0.2</v>
      </c>
      <c r="I169" s="25">
        <f>SUM(Superstores_sales_dataset_1_!R167,Superstores_sales_dataset_1_!U167)</f>
        <v>39.5472</v>
      </c>
    </row>
    <row r="170" spans="6:9">
      <c r="F170" s="12" t="s">
        <v>840</v>
      </c>
      <c r="G170" s="13">
        <f>AVERAGE(Superstores_sales_dataset_1_!R168)</f>
        <v>9.568</v>
      </c>
      <c r="H170" s="14">
        <v>0.2</v>
      </c>
      <c r="I170" s="25">
        <f>SUM(Superstores_sales_dataset_1_!R168,Superstores_sales_dataset_1_!U168)</f>
        <v>13.0364</v>
      </c>
    </row>
    <row r="171" spans="6:9">
      <c r="F171" s="12" t="s">
        <v>844</v>
      </c>
      <c r="G171" s="13">
        <f>AVERAGE(Superstores_sales_dataset_1_!R169)</f>
        <v>35.91</v>
      </c>
      <c r="H171" s="14">
        <v>0</v>
      </c>
      <c r="I171" s="25">
        <f>SUM(Superstores_sales_dataset_1_!R169,Superstores_sales_dataset_1_!U169)</f>
        <v>45.6057</v>
      </c>
    </row>
    <row r="172" spans="6:9">
      <c r="F172" s="12" t="s">
        <v>848</v>
      </c>
      <c r="G172" s="13">
        <f>AVERAGE(Superstores_sales_dataset_1_!R170)</f>
        <v>179.95</v>
      </c>
      <c r="H172" s="14">
        <v>0</v>
      </c>
      <c r="I172" s="25">
        <f>SUM(Superstores_sales_dataset_1_!R170,Superstores_sales_dataset_1_!U170)</f>
        <v>217.7395</v>
      </c>
    </row>
    <row r="173" spans="6:9">
      <c r="F173" s="12" t="s">
        <v>852</v>
      </c>
      <c r="G173" s="13">
        <f>AVERAGE(Superstores_sales_dataset_1_!R171)</f>
        <v>139.86</v>
      </c>
      <c r="H173" s="14">
        <v>0</v>
      </c>
      <c r="I173" s="25">
        <f>SUM(Superstores_sales_dataset_1_!R171,Superstores_sales_dataset_1_!U171)</f>
        <v>205.5942</v>
      </c>
    </row>
    <row r="174" spans="6:9">
      <c r="F174" s="12" t="s">
        <v>857</v>
      </c>
      <c r="G174" s="13">
        <f>AVERAGE(Superstores_sales_dataset_1_!R172)</f>
        <v>95.92</v>
      </c>
      <c r="H174" s="14">
        <v>0</v>
      </c>
      <c r="I174" s="25">
        <f>SUM(Superstores_sales_dataset_1_!R172,Superstores_sales_dataset_1_!U172)</f>
        <v>121.8184</v>
      </c>
    </row>
    <row r="175" spans="6:9">
      <c r="F175" s="12" t="s">
        <v>861</v>
      </c>
      <c r="G175" s="13">
        <f>AVERAGE(Superstores_sales_dataset_1_!R173)</f>
        <v>383.8</v>
      </c>
      <c r="H175" s="14">
        <v>0.2</v>
      </c>
      <c r="I175" s="25">
        <f>SUM(Superstores_sales_dataset_1_!R173,Superstores_sales_dataset_1_!U173)</f>
        <v>422.18</v>
      </c>
    </row>
    <row r="176" spans="6:9">
      <c r="F176" s="12" t="s">
        <v>866</v>
      </c>
      <c r="G176" s="13">
        <f>AVERAGE(Superstores_sales_dataset_1_!R174)</f>
        <v>56.56</v>
      </c>
      <c r="H176" s="14">
        <v>0</v>
      </c>
      <c r="I176" s="25">
        <f>SUM(Superstores_sales_dataset_1_!R174,Superstores_sales_dataset_1_!U174)</f>
        <v>71.2656</v>
      </c>
    </row>
    <row r="177" spans="6:9">
      <c r="F177" s="12" t="s">
        <v>872</v>
      </c>
      <c r="G177" s="13">
        <f>AVERAGE(Superstores_sales_dataset_1_!R175)</f>
        <v>866.4</v>
      </c>
      <c r="H177" s="14">
        <v>0</v>
      </c>
      <c r="I177" s="25">
        <f>SUM(Superstores_sales_dataset_1_!R175,Superstores_sales_dataset_1_!U175)</f>
        <v>1091.664</v>
      </c>
    </row>
    <row r="178" spans="6:9">
      <c r="F178" s="12" t="s">
        <v>877</v>
      </c>
      <c r="G178" s="13">
        <f>AVERAGE(Superstores_sales_dataset_1_!R176)</f>
        <v>69.99</v>
      </c>
      <c r="H178" s="14">
        <v>0</v>
      </c>
      <c r="I178" s="25">
        <f>SUM(Superstores_sales_dataset_1_!R176,Superstores_sales_dataset_1_!U176)</f>
        <v>100.0857</v>
      </c>
    </row>
    <row r="179" spans="6:9">
      <c r="F179" s="12" t="s">
        <v>881</v>
      </c>
      <c r="G179" s="13">
        <f>AVERAGE(Superstores_sales_dataset_1_!R177)</f>
        <v>6.672</v>
      </c>
      <c r="H179" s="14">
        <v>0.2</v>
      </c>
      <c r="I179" s="25">
        <f>SUM(Superstores_sales_dataset_1_!R177,Superstores_sales_dataset_1_!U177)</f>
        <v>7.1724</v>
      </c>
    </row>
    <row r="180" spans="6:9">
      <c r="F180" s="12" t="s">
        <v>886</v>
      </c>
      <c r="G180" s="13">
        <f>AVERAGE(Superstores_sales_dataset_1_!R178)</f>
        <v>189.588</v>
      </c>
      <c r="H180" s="14">
        <v>0.7</v>
      </c>
      <c r="I180" s="25">
        <f>SUM(Superstores_sales_dataset_1_!R178,Superstores_sales_dataset_1_!U178)</f>
        <v>44.2372</v>
      </c>
    </row>
    <row r="181" spans="6:9">
      <c r="F181" s="12" t="s">
        <v>891</v>
      </c>
      <c r="G181" s="13">
        <f>AVERAGE(Superstores_sales_dataset_1_!R179)</f>
        <v>4.812</v>
      </c>
      <c r="H181" s="14">
        <v>0.7</v>
      </c>
      <c r="I181" s="25">
        <f>SUM(Superstores_sales_dataset_1_!R179,Superstores_sales_dataset_1_!U179)</f>
        <v>1.1228</v>
      </c>
    </row>
    <row r="182" spans="6:9">
      <c r="F182" s="12" t="s">
        <v>895</v>
      </c>
      <c r="G182" s="13">
        <f>AVERAGE(Superstores_sales_dataset_1_!R180)</f>
        <v>1007.979</v>
      </c>
      <c r="H182" s="14">
        <v>0.3</v>
      </c>
      <c r="I182" s="25">
        <f>SUM(Superstores_sales_dataset_1_!R180,Superstores_sales_dataset_1_!U180)</f>
        <v>1051.1781</v>
      </c>
    </row>
    <row r="183" spans="6:9">
      <c r="F183" s="12" t="s">
        <v>899</v>
      </c>
      <c r="G183" s="13">
        <f>AVERAGE(Superstores_sales_dataset_1_!R181)</f>
        <v>31.872</v>
      </c>
      <c r="H183" s="14">
        <v>0.2</v>
      </c>
      <c r="I183" s="25">
        <f>SUM(Superstores_sales_dataset_1_!R181,Superstores_sales_dataset_1_!U181)</f>
        <v>43.4256</v>
      </c>
    </row>
    <row r="184" spans="6:9">
      <c r="F184" s="12" t="s">
        <v>903</v>
      </c>
      <c r="G184" s="13">
        <f>AVERAGE(Superstores_sales_dataset_1_!R182)</f>
        <v>2.91</v>
      </c>
      <c r="H184" s="14">
        <v>0</v>
      </c>
      <c r="I184" s="25">
        <f>SUM(Superstores_sales_dataset_1_!R182,Superstores_sales_dataset_1_!U182)</f>
        <v>4.2777</v>
      </c>
    </row>
    <row r="185" spans="6:9">
      <c r="F185" s="12" t="s">
        <v>908</v>
      </c>
      <c r="G185" s="13">
        <f>AVERAGE(Superstores_sales_dataset_1_!R183)</f>
        <v>59.52</v>
      </c>
      <c r="H185" s="14">
        <v>0</v>
      </c>
      <c r="I185" s="25">
        <f>SUM(Superstores_sales_dataset_1_!R183,Superstores_sales_dataset_1_!U183)</f>
        <v>74.9952</v>
      </c>
    </row>
    <row r="186" spans="6:9">
      <c r="F186" s="12" t="s">
        <v>912</v>
      </c>
      <c r="G186" s="13">
        <f>AVERAGE(Superstores_sales_dataset_1_!R184)</f>
        <v>284.364</v>
      </c>
      <c r="H186" s="14">
        <v>0.4</v>
      </c>
      <c r="I186" s="25">
        <f>SUM(Superstores_sales_dataset_1_!R184,Superstores_sales_dataset_1_!U184)</f>
        <v>208.5336</v>
      </c>
    </row>
    <row r="187" spans="6:9">
      <c r="F187" s="12" t="s">
        <v>916</v>
      </c>
      <c r="G187" s="13">
        <f>AVERAGE(Superstores_sales_dataset_1_!R185)</f>
        <v>129.568</v>
      </c>
      <c r="H187" s="14">
        <v>0.2</v>
      </c>
      <c r="I187" s="25">
        <f>SUM(Superstores_sales_dataset_1_!R185,Superstores_sales_dataset_1_!U185)</f>
        <v>105.274</v>
      </c>
    </row>
    <row r="188" spans="6:9">
      <c r="F188" s="12" t="s">
        <v>920</v>
      </c>
      <c r="G188" s="13">
        <f>AVERAGE(Superstores_sales_dataset_1_!R186)</f>
        <v>23.56</v>
      </c>
      <c r="H188" s="14">
        <v>0.2</v>
      </c>
      <c r="I188" s="25">
        <f>SUM(Superstores_sales_dataset_1_!R186,Superstores_sales_dataset_1_!U186)</f>
        <v>30.628</v>
      </c>
    </row>
    <row r="189" spans="6:9">
      <c r="F189" s="12" t="s">
        <v>925</v>
      </c>
      <c r="G189" s="13">
        <f>AVERAGE(Superstores_sales_dataset_1_!R187)</f>
        <v>254.744</v>
      </c>
      <c r="H189" s="14">
        <v>0.6</v>
      </c>
      <c r="I189" s="25">
        <f>SUM(Superstores_sales_dataset_1_!R187,Superstores_sales_dataset_1_!U187)</f>
        <v>-57.3174</v>
      </c>
    </row>
    <row r="190" spans="6:9">
      <c r="F190" s="12" t="s">
        <v>930</v>
      </c>
      <c r="G190" s="13">
        <f>AVERAGE(Superstores_sales_dataset_1_!R188)</f>
        <v>55.48</v>
      </c>
      <c r="H190" s="14">
        <v>0</v>
      </c>
      <c r="I190" s="25">
        <f>SUM(Superstores_sales_dataset_1_!R188,Superstores_sales_dataset_1_!U188)</f>
        <v>82.1104</v>
      </c>
    </row>
    <row r="191" spans="6:9">
      <c r="F191" s="12" t="s">
        <v>934</v>
      </c>
      <c r="G191" s="13">
        <f>AVERAGE(Superstores_sales_dataset_1_!R189)</f>
        <v>340.92</v>
      </c>
      <c r="H191" s="14">
        <v>0</v>
      </c>
      <c r="I191" s="25">
        <f>SUM(Superstores_sales_dataset_1_!R189,Superstores_sales_dataset_1_!U189)</f>
        <v>344.3292</v>
      </c>
    </row>
    <row r="192" spans="6:9">
      <c r="F192" s="12" t="s">
        <v>665</v>
      </c>
      <c r="G192" s="13">
        <f>AVERAGE(Superstores_sales_dataset_1_!R190)</f>
        <v>40.2</v>
      </c>
      <c r="H192" s="14">
        <v>0</v>
      </c>
      <c r="I192" s="25">
        <f>SUM(Superstores_sales_dataset_1_!R190,Superstores_sales_dataset_1_!U190)</f>
        <v>59.496</v>
      </c>
    </row>
    <row r="193" spans="6:9">
      <c r="F193" s="12" t="s">
        <v>940</v>
      </c>
      <c r="G193" s="13">
        <f>AVERAGE(Superstores_sales_dataset_1_!R191)</f>
        <v>14.7</v>
      </c>
      <c r="H193" s="14">
        <v>0</v>
      </c>
      <c r="I193" s="25">
        <f>SUM(Superstores_sales_dataset_1_!R191,Superstores_sales_dataset_1_!U191)</f>
        <v>21.315</v>
      </c>
    </row>
    <row r="194" spans="6:9">
      <c r="F194" s="12" t="s">
        <v>944</v>
      </c>
      <c r="G194" s="13">
        <f>AVERAGE(Superstores_sales_dataset_1_!R192)</f>
        <v>9.09</v>
      </c>
      <c r="H194" s="14">
        <v>0</v>
      </c>
      <c r="I194" s="25">
        <f>SUM(Superstores_sales_dataset_1_!R192,Superstores_sales_dataset_1_!U192)</f>
        <v>10.9989</v>
      </c>
    </row>
    <row r="195" spans="6:9">
      <c r="F195" s="12" t="s">
        <v>247</v>
      </c>
      <c r="G195" s="13">
        <f>AVERAGE(Superstores_sales_dataset_1_!R193)</f>
        <v>5.96</v>
      </c>
      <c r="H195" s="14">
        <v>0</v>
      </c>
      <c r="I195" s="25">
        <f>SUM(Superstores_sales_dataset_1_!R193,Superstores_sales_dataset_1_!U193)</f>
        <v>7.6288</v>
      </c>
    </row>
    <row r="196" spans="6:9">
      <c r="F196" s="12" t="s">
        <v>950</v>
      </c>
      <c r="G196" s="13">
        <f>AVERAGE(Superstores_sales_dataset_1_!R194)</f>
        <v>29.6</v>
      </c>
      <c r="H196" s="14">
        <v>0</v>
      </c>
      <c r="I196" s="25">
        <f>SUM(Superstores_sales_dataset_1_!R194,Superstores_sales_dataset_1_!U194)</f>
        <v>44.4</v>
      </c>
    </row>
    <row r="197" spans="6:9">
      <c r="F197" s="12" t="s">
        <v>954</v>
      </c>
      <c r="G197" s="13">
        <f>AVERAGE(Superstores_sales_dataset_1_!R195)</f>
        <v>2735.952</v>
      </c>
      <c r="H197" s="14">
        <v>0.2</v>
      </c>
      <c r="I197" s="25">
        <f>SUM(Superstores_sales_dataset_1_!R195,Superstores_sales_dataset_1_!U195)</f>
        <v>3077.946</v>
      </c>
    </row>
    <row r="198" spans="6:9">
      <c r="F198" s="12" t="s">
        <v>959</v>
      </c>
      <c r="G198" s="13">
        <f>AVERAGE(Superstores_sales_dataset_1_!R196)</f>
        <v>7.992</v>
      </c>
      <c r="H198" s="14">
        <v>0.2</v>
      </c>
      <c r="I198" s="25">
        <f>SUM(Superstores_sales_dataset_1_!R196,Superstores_sales_dataset_1_!U196)</f>
        <v>8.5914</v>
      </c>
    </row>
    <row r="199" spans="6:9">
      <c r="F199" s="12" t="s">
        <v>963</v>
      </c>
      <c r="G199" s="13">
        <f>AVERAGE(Superstores_sales_dataset_1_!R197)</f>
        <v>449.15</v>
      </c>
      <c r="H199" s="14">
        <v>0</v>
      </c>
      <c r="I199" s="25">
        <f>SUM(Superstores_sales_dataset_1_!R197,Superstores_sales_dataset_1_!U197)</f>
        <v>458.133</v>
      </c>
    </row>
    <row r="200" spans="6:9">
      <c r="F200" s="12" t="s">
        <v>967</v>
      </c>
      <c r="G200" s="13">
        <f>AVERAGE(Superstores_sales_dataset_1_!R198)</f>
        <v>93.98</v>
      </c>
      <c r="H200" s="14">
        <v>0</v>
      </c>
      <c r="I200" s="25">
        <f>SUM(Superstores_sales_dataset_1_!R198,Superstores_sales_dataset_1_!U198)</f>
        <v>107.1372</v>
      </c>
    </row>
    <row r="201" spans="6:9">
      <c r="F201" s="12" t="s">
        <v>971</v>
      </c>
      <c r="G201" s="13">
        <f>AVERAGE(Superstores_sales_dataset_1_!R199)</f>
        <v>189.882</v>
      </c>
      <c r="H201" s="14">
        <v>0.4</v>
      </c>
      <c r="I201" s="25">
        <f>SUM(Superstores_sales_dataset_1_!R199,Superstores_sales_dataset_1_!U199)</f>
        <v>94.941</v>
      </c>
    </row>
    <row r="202" spans="6:9">
      <c r="F202" s="12" t="s">
        <v>977</v>
      </c>
      <c r="G202" s="13">
        <f>AVERAGE(Superstores_sales_dataset_1_!R200)</f>
        <v>105.42</v>
      </c>
      <c r="H202" s="14">
        <v>0</v>
      </c>
      <c r="I202" s="25">
        <f>SUM(Superstores_sales_dataset_1_!R200,Superstores_sales_dataset_1_!U200)</f>
        <v>157.0758</v>
      </c>
    </row>
    <row r="203" spans="6:9">
      <c r="F203" s="12" t="s">
        <v>982</v>
      </c>
      <c r="G203" s="13">
        <f>AVERAGE(Superstores_sales_dataset_1_!R201)</f>
        <v>22.62</v>
      </c>
      <c r="H203" s="14">
        <v>0.7</v>
      </c>
      <c r="I203" s="25">
        <f>SUM(Superstores_sales_dataset_1_!R201,Superstores_sales_dataset_1_!U201)</f>
        <v>7.54</v>
      </c>
    </row>
    <row r="204" spans="6:9">
      <c r="F204" s="12" t="s">
        <v>987</v>
      </c>
      <c r="G204" s="13">
        <f>AVERAGE(Superstores_sales_dataset_1_!R202)</f>
        <v>2.74</v>
      </c>
      <c r="H204" s="14">
        <v>0</v>
      </c>
      <c r="I204" s="25">
        <f>SUM(Superstores_sales_dataset_1_!R202,Superstores_sales_dataset_1_!U202)</f>
        <v>3.4798</v>
      </c>
    </row>
    <row r="205" spans="6:9">
      <c r="F205" s="12" t="s">
        <v>992</v>
      </c>
      <c r="G205" s="13">
        <f>AVERAGE(Superstores_sales_dataset_1_!R203)</f>
        <v>126.3</v>
      </c>
      <c r="H205" s="14">
        <v>0</v>
      </c>
      <c r="I205" s="25">
        <f>SUM(Superstores_sales_dataset_1_!R203,Superstores_sales_dataset_1_!U203)</f>
        <v>166.716</v>
      </c>
    </row>
    <row r="206" spans="6:9">
      <c r="F206" s="12" t="s">
        <v>996</v>
      </c>
      <c r="G206" s="13">
        <f>AVERAGE(Superstores_sales_dataset_1_!R204)</f>
        <v>6.63</v>
      </c>
      <c r="H206" s="14">
        <v>0</v>
      </c>
      <c r="I206" s="25">
        <f>SUM(Superstores_sales_dataset_1_!R204,Superstores_sales_dataset_1_!U204)</f>
        <v>8.4201</v>
      </c>
    </row>
    <row r="207" spans="6:9">
      <c r="F207" s="12" t="s">
        <v>172</v>
      </c>
      <c r="G207" s="13">
        <f>AVERAGE(Superstores_sales_dataset_1_!R205)</f>
        <v>18.392</v>
      </c>
      <c r="H207" s="14">
        <v>0.2</v>
      </c>
      <c r="I207" s="25">
        <f>SUM(Superstores_sales_dataset_1_!R205,Superstores_sales_dataset_1_!U205)</f>
        <v>23.6797</v>
      </c>
    </row>
    <row r="208" spans="6:9">
      <c r="F208" s="12" t="s">
        <v>971</v>
      </c>
      <c r="G208" s="13">
        <f>AVERAGE(Superstores_sales_dataset_1_!R206)</f>
        <v>210.98</v>
      </c>
      <c r="H208" s="14">
        <v>0</v>
      </c>
      <c r="I208" s="25">
        <f>SUM(Superstores_sales_dataset_1_!R206,Superstores_sales_dataset_1_!U206)</f>
        <v>232.078</v>
      </c>
    </row>
    <row r="209" spans="6:9">
      <c r="F209" s="12" t="s">
        <v>1004</v>
      </c>
      <c r="G209" s="13">
        <f>AVERAGE(Superstores_sales_dataset_1_!R207)</f>
        <v>22.2</v>
      </c>
      <c r="H209" s="14">
        <v>0</v>
      </c>
      <c r="I209" s="25">
        <f>SUM(Superstores_sales_dataset_1_!R207,Superstores_sales_dataset_1_!U207)</f>
        <v>32.634</v>
      </c>
    </row>
    <row r="210" spans="6:9">
      <c r="F210" s="12" t="s">
        <v>1009</v>
      </c>
      <c r="G210" s="13">
        <f>AVERAGE(Superstores_sales_dataset_1_!R208)</f>
        <v>683.952</v>
      </c>
      <c r="H210" s="14">
        <v>0.2</v>
      </c>
      <c r="I210" s="25">
        <f>SUM(Superstores_sales_dataset_1_!R208,Superstores_sales_dataset_1_!U208)</f>
        <v>726.699</v>
      </c>
    </row>
    <row r="211" spans="6:9">
      <c r="F211" s="12" t="s">
        <v>1013</v>
      </c>
      <c r="G211" s="13">
        <f>AVERAGE(Superstores_sales_dataset_1_!R209)</f>
        <v>36.336</v>
      </c>
      <c r="H211" s="14">
        <v>0.2</v>
      </c>
      <c r="I211" s="25">
        <f>SUM(Superstores_sales_dataset_1_!R209,Superstores_sales_dataset_1_!U209)</f>
        <v>29.0688</v>
      </c>
    </row>
    <row r="212" spans="6:9">
      <c r="F212" s="12" t="s">
        <v>1017</v>
      </c>
      <c r="G212" s="13">
        <f>AVERAGE(Superstores_sales_dataset_1_!R210)</f>
        <v>190.72</v>
      </c>
      <c r="H212" s="14">
        <v>0.2</v>
      </c>
      <c r="I212" s="25">
        <f>SUM(Superstores_sales_dataset_1_!R210,Superstores_sales_dataset_1_!U210)</f>
        <v>202.64</v>
      </c>
    </row>
    <row r="213" spans="6:9">
      <c r="F213" s="12" t="s">
        <v>1021</v>
      </c>
      <c r="G213" s="13">
        <f>AVERAGE(Superstores_sales_dataset_1_!R211)</f>
        <v>47.94</v>
      </c>
      <c r="H213" s="14">
        <v>0</v>
      </c>
      <c r="I213" s="25">
        <f>SUM(Superstores_sales_dataset_1_!R211,Superstores_sales_dataset_1_!U211)</f>
        <v>50.337</v>
      </c>
    </row>
    <row r="214" spans="6:9">
      <c r="F214" s="12" t="s">
        <v>1026</v>
      </c>
      <c r="G214" s="13">
        <f>AVERAGE(Superstores_sales_dataset_1_!R212)</f>
        <v>979.95</v>
      </c>
      <c r="H214" s="14">
        <v>0</v>
      </c>
      <c r="I214" s="25">
        <f>SUM(Superstores_sales_dataset_1_!R212,Superstores_sales_dataset_1_!U212)</f>
        <v>1254.336</v>
      </c>
    </row>
    <row r="215" spans="6:9">
      <c r="F215" s="12" t="s">
        <v>1031</v>
      </c>
      <c r="G215" s="13">
        <f>AVERAGE(Superstores_sales_dataset_1_!R213)</f>
        <v>16.768</v>
      </c>
      <c r="H215" s="14">
        <v>0.2</v>
      </c>
      <c r="I215" s="25">
        <f>SUM(Superstores_sales_dataset_1_!R213,Superstores_sales_dataset_1_!U213)</f>
        <v>18.2352</v>
      </c>
    </row>
    <row r="216" spans="6:9">
      <c r="F216" s="12" t="s">
        <v>1035</v>
      </c>
      <c r="G216" s="13">
        <f>AVERAGE(Superstores_sales_dataset_1_!R214)</f>
        <v>42.616</v>
      </c>
      <c r="H216" s="14">
        <v>0.8</v>
      </c>
      <c r="I216" s="25">
        <f>SUM(Superstores_sales_dataset_1_!R214,Superstores_sales_dataset_1_!U214)</f>
        <v>-25.5696</v>
      </c>
    </row>
    <row r="217" spans="6:9">
      <c r="F217" s="12" t="s">
        <v>1039</v>
      </c>
      <c r="G217" s="13">
        <f>AVERAGE(Superstores_sales_dataset_1_!R215)</f>
        <v>152.94</v>
      </c>
      <c r="H217" s="14">
        <v>0</v>
      </c>
      <c r="I217" s="25">
        <f>SUM(Superstores_sales_dataset_1_!R215,Superstores_sales_dataset_1_!U215)</f>
        <v>194.2338</v>
      </c>
    </row>
    <row r="218" spans="6:9">
      <c r="F218" s="12" t="s">
        <v>1044</v>
      </c>
      <c r="G218" s="13">
        <f>AVERAGE(Superstores_sales_dataset_1_!R216)</f>
        <v>468.9</v>
      </c>
      <c r="H218" s="14">
        <v>0</v>
      </c>
      <c r="I218" s="25">
        <f>SUM(Superstores_sales_dataset_1_!R216,Superstores_sales_dataset_1_!U216)</f>
        <v>675.216</v>
      </c>
    </row>
    <row r="219" spans="6:9">
      <c r="F219" s="12" t="s">
        <v>963</v>
      </c>
      <c r="G219" s="13">
        <f>AVERAGE(Superstores_sales_dataset_1_!R217)</f>
        <v>646.776</v>
      </c>
      <c r="H219" s="14">
        <v>0.2</v>
      </c>
      <c r="I219" s="25">
        <f>SUM(Superstores_sales_dataset_1_!R217,Superstores_sales_dataset_1_!U217)</f>
        <v>501.2514</v>
      </c>
    </row>
    <row r="220" spans="6:9">
      <c r="F220" s="12" t="s">
        <v>1050</v>
      </c>
      <c r="G220" s="13">
        <f>AVERAGE(Superstores_sales_dataset_1_!R218)</f>
        <v>41.28</v>
      </c>
      <c r="H220" s="14">
        <v>0.2</v>
      </c>
      <c r="I220" s="25">
        <f>SUM(Superstores_sales_dataset_1_!R218,Superstores_sales_dataset_1_!U218)</f>
        <v>55.212</v>
      </c>
    </row>
    <row r="221" spans="6:9">
      <c r="F221" s="12" t="s">
        <v>1054</v>
      </c>
      <c r="G221" s="13">
        <f>AVERAGE(Superstores_sales_dataset_1_!R219)</f>
        <v>1121.568</v>
      </c>
      <c r="H221" s="14">
        <v>0.2</v>
      </c>
      <c r="I221" s="25">
        <f>SUM(Superstores_sales_dataset_1_!R219,Superstores_sales_dataset_1_!U219)</f>
        <v>1121.568</v>
      </c>
    </row>
    <row r="222" spans="6:9">
      <c r="F222" s="12" t="s">
        <v>1058</v>
      </c>
      <c r="G222" s="13">
        <f>AVERAGE(Superstores_sales_dataset_1_!R220)</f>
        <v>10.824</v>
      </c>
      <c r="H222" s="14">
        <v>0.2</v>
      </c>
      <c r="I222" s="25">
        <f>SUM(Superstores_sales_dataset_1_!R220,Superstores_sales_dataset_1_!U220)</f>
        <v>13.3947</v>
      </c>
    </row>
    <row r="223" spans="6:9">
      <c r="F223" s="12" t="s">
        <v>1062</v>
      </c>
      <c r="G223" s="13">
        <f>AVERAGE(Superstores_sales_dataset_1_!R221)</f>
        <v>19.456</v>
      </c>
      <c r="H223" s="14">
        <v>0.2</v>
      </c>
      <c r="I223" s="25">
        <f>SUM(Superstores_sales_dataset_1_!R221,Superstores_sales_dataset_1_!U221)</f>
        <v>22.8608</v>
      </c>
    </row>
    <row r="224" spans="6:9">
      <c r="F224" s="12" t="s">
        <v>1066</v>
      </c>
      <c r="G224" s="13">
        <f>AVERAGE(Superstores_sales_dataset_1_!R222)</f>
        <v>20.7</v>
      </c>
      <c r="H224" s="14">
        <v>0</v>
      </c>
      <c r="I224" s="25">
        <f>SUM(Superstores_sales_dataset_1_!R222,Superstores_sales_dataset_1_!U222)</f>
        <v>30.636</v>
      </c>
    </row>
    <row r="225" spans="6:9">
      <c r="F225" s="12" t="s">
        <v>1070</v>
      </c>
      <c r="G225" s="13">
        <f>AVERAGE(Superstores_sales_dataset_1_!R223)</f>
        <v>42.6</v>
      </c>
      <c r="H225" s="14">
        <v>0</v>
      </c>
      <c r="I225" s="25">
        <f>SUM(Superstores_sales_dataset_1_!R223,Superstores_sales_dataset_1_!U223)</f>
        <v>59.214</v>
      </c>
    </row>
    <row r="226" spans="6:9">
      <c r="F226" s="12" t="s">
        <v>1075</v>
      </c>
      <c r="G226" s="13">
        <f>AVERAGE(Superstores_sales_dataset_1_!R224)</f>
        <v>13</v>
      </c>
      <c r="H226" s="14">
        <v>0.2</v>
      </c>
      <c r="I226" s="25">
        <f>SUM(Superstores_sales_dataset_1_!R224,Superstores_sales_dataset_1_!U224)</f>
        <v>14.3</v>
      </c>
    </row>
    <row r="227" spans="6:9">
      <c r="F227" s="12" t="s">
        <v>1079</v>
      </c>
      <c r="G227" s="13">
        <f>AVERAGE(Superstores_sales_dataset_1_!R225)</f>
        <v>3.96</v>
      </c>
      <c r="H227" s="14">
        <v>0</v>
      </c>
      <c r="I227" s="25">
        <f>SUM(Superstores_sales_dataset_1_!R225,Superstores_sales_dataset_1_!U225)</f>
        <v>3.96</v>
      </c>
    </row>
    <row r="228" spans="6:9">
      <c r="F228" s="12" t="s">
        <v>1083</v>
      </c>
      <c r="G228" s="13">
        <f>AVERAGE(Superstores_sales_dataset_1_!R226)</f>
        <v>374.376</v>
      </c>
      <c r="H228" s="14">
        <v>0.2</v>
      </c>
      <c r="I228" s="25">
        <f>SUM(Superstores_sales_dataset_1_!R226,Superstores_sales_dataset_1_!U226)</f>
        <v>421.173</v>
      </c>
    </row>
    <row r="229" spans="6:9">
      <c r="F229" s="12" t="s">
        <v>1087</v>
      </c>
      <c r="G229" s="13">
        <f>AVERAGE(Superstores_sales_dataset_1_!R227)</f>
        <v>91.84</v>
      </c>
      <c r="H229" s="14">
        <v>0</v>
      </c>
      <c r="I229" s="25">
        <f>SUM(Superstores_sales_dataset_1_!R227,Superstores_sales_dataset_1_!U227)</f>
        <v>136.8416</v>
      </c>
    </row>
    <row r="230" spans="6:9">
      <c r="F230" s="12" t="s">
        <v>1066</v>
      </c>
      <c r="G230" s="13">
        <f>AVERAGE(Superstores_sales_dataset_1_!R228)</f>
        <v>72.45</v>
      </c>
      <c r="H230" s="14">
        <v>0</v>
      </c>
      <c r="I230" s="25">
        <f>SUM(Superstores_sales_dataset_1_!R228,Superstores_sales_dataset_1_!U228)</f>
        <v>107.226</v>
      </c>
    </row>
    <row r="231" spans="6:9">
      <c r="F231" s="12" t="s">
        <v>1094</v>
      </c>
      <c r="G231" s="13">
        <f>AVERAGE(Superstores_sales_dataset_1_!R229)</f>
        <v>8.82</v>
      </c>
      <c r="H231" s="14">
        <v>0</v>
      </c>
      <c r="I231" s="25">
        <f>SUM(Superstores_sales_dataset_1_!R229,Superstores_sales_dataset_1_!U229)</f>
        <v>11.2014</v>
      </c>
    </row>
    <row r="232" spans="6:9">
      <c r="F232" s="12" t="s">
        <v>1087</v>
      </c>
      <c r="G232" s="13">
        <f>AVERAGE(Superstores_sales_dataset_1_!R230)</f>
        <v>160.72</v>
      </c>
      <c r="H232" s="14">
        <v>0</v>
      </c>
      <c r="I232" s="25">
        <f>SUM(Superstores_sales_dataset_1_!R230,Superstores_sales_dataset_1_!U230)</f>
        <v>239.4728</v>
      </c>
    </row>
    <row r="233" spans="6:9">
      <c r="F233" s="12" t="s">
        <v>1100</v>
      </c>
      <c r="G233" s="13">
        <f>AVERAGE(Superstores_sales_dataset_1_!R231)</f>
        <v>69.712</v>
      </c>
      <c r="H233" s="14">
        <v>0.2</v>
      </c>
      <c r="I233" s="25">
        <f>SUM(Superstores_sales_dataset_1_!R231,Superstores_sales_dataset_1_!U231)</f>
        <v>78.426</v>
      </c>
    </row>
    <row r="234" spans="6:9">
      <c r="F234" s="12" t="s">
        <v>1105</v>
      </c>
      <c r="G234" s="13">
        <f>AVERAGE(Superstores_sales_dataset_1_!R232)</f>
        <v>51.52</v>
      </c>
      <c r="H234" s="14">
        <v>0</v>
      </c>
      <c r="I234" s="25">
        <f>SUM(Superstores_sales_dataset_1_!R232,Superstores_sales_dataset_1_!U232)</f>
        <v>53.0656</v>
      </c>
    </row>
    <row r="235" spans="6:9">
      <c r="F235" s="12" t="s">
        <v>145</v>
      </c>
      <c r="G235" s="13">
        <f>AVERAGE(Superstores_sales_dataset_1_!R233)</f>
        <v>470.376</v>
      </c>
      <c r="H235" s="14">
        <v>0.2</v>
      </c>
      <c r="I235" s="25">
        <f>SUM(Superstores_sales_dataset_1_!R233,Superstores_sales_dataset_1_!U233)</f>
        <v>523.2933</v>
      </c>
    </row>
    <row r="236" spans="6:9">
      <c r="F236" s="12" t="s">
        <v>1112</v>
      </c>
      <c r="G236" s="13">
        <f>AVERAGE(Superstores_sales_dataset_1_!R234)</f>
        <v>70.98</v>
      </c>
      <c r="H236" s="14">
        <v>0</v>
      </c>
      <c r="I236" s="25">
        <f>SUM(Superstores_sales_dataset_1_!R234,Superstores_sales_dataset_1_!U234)</f>
        <v>75.9486</v>
      </c>
    </row>
    <row r="237" spans="6:9">
      <c r="F237" s="12" t="s">
        <v>1117</v>
      </c>
      <c r="G237" s="13">
        <f>AVERAGE(Superstores_sales_dataset_1_!R235)</f>
        <v>84.784</v>
      </c>
      <c r="H237" s="14">
        <v>0.2</v>
      </c>
      <c r="I237" s="25">
        <f>SUM(Superstores_sales_dataset_1_!R235,Superstores_sales_dataset_1_!U235)</f>
        <v>64.6478</v>
      </c>
    </row>
    <row r="238" spans="6:9">
      <c r="F238" s="12" t="s">
        <v>1122</v>
      </c>
      <c r="G238" s="13">
        <f>AVERAGE(Superstores_sales_dataset_1_!R236)</f>
        <v>9.344</v>
      </c>
      <c r="H238" s="14">
        <v>0.2</v>
      </c>
      <c r="I238" s="25">
        <f>SUM(Superstores_sales_dataset_1_!R236,Superstores_sales_dataset_1_!U236)</f>
        <v>10.512</v>
      </c>
    </row>
    <row r="239" spans="6:9">
      <c r="F239" s="12" t="s">
        <v>1126</v>
      </c>
      <c r="G239" s="13">
        <f>AVERAGE(Superstores_sales_dataset_1_!R237)</f>
        <v>76.12</v>
      </c>
      <c r="H239" s="14">
        <v>0</v>
      </c>
      <c r="I239" s="25">
        <f>SUM(Superstores_sales_dataset_1_!R237,Superstores_sales_dataset_1_!U237)</f>
        <v>98.1948</v>
      </c>
    </row>
    <row r="240" spans="6:9">
      <c r="F240" s="12" t="s">
        <v>1130</v>
      </c>
      <c r="G240" s="13">
        <f>AVERAGE(Superstores_sales_dataset_1_!R238)</f>
        <v>11.632</v>
      </c>
      <c r="H240" s="14">
        <v>0.2</v>
      </c>
      <c r="I240" s="25">
        <f>SUM(Superstores_sales_dataset_1_!R238,Superstores_sales_dataset_1_!U238)</f>
        <v>12.6498</v>
      </c>
    </row>
    <row r="241" spans="6:9">
      <c r="F241" s="12" t="s">
        <v>1134</v>
      </c>
      <c r="G241" s="13">
        <f>AVERAGE(Superstores_sales_dataset_1_!R239)</f>
        <v>143.982</v>
      </c>
      <c r="H241" s="14">
        <v>0.4</v>
      </c>
      <c r="I241" s="25">
        <f>SUM(Superstores_sales_dataset_1_!R239,Superstores_sales_dataset_1_!U239)</f>
        <v>115.1856</v>
      </c>
    </row>
    <row r="242" spans="6:9">
      <c r="F242" s="12" t="s">
        <v>1138</v>
      </c>
      <c r="G242" s="13">
        <f>AVERAGE(Superstores_sales_dataset_1_!R240)</f>
        <v>142.776</v>
      </c>
      <c r="H242" s="14">
        <v>0.2</v>
      </c>
      <c r="I242" s="25">
        <f>SUM(Superstores_sales_dataset_1_!R240,Superstores_sales_dataset_1_!U240)</f>
        <v>160.623</v>
      </c>
    </row>
    <row r="243" spans="6:9">
      <c r="F243" s="12" t="s">
        <v>1142</v>
      </c>
      <c r="G243" s="13">
        <f>AVERAGE(Superstores_sales_dataset_1_!R241)</f>
        <v>3.282</v>
      </c>
      <c r="H243" s="14">
        <v>0.7</v>
      </c>
      <c r="I243" s="25">
        <f>SUM(Superstores_sales_dataset_1_!R241,Superstores_sales_dataset_1_!U241)</f>
        <v>0.6564</v>
      </c>
    </row>
    <row r="244" spans="6:9">
      <c r="F244" s="12" t="s">
        <v>814</v>
      </c>
      <c r="G244" s="13">
        <f>AVERAGE(Superstores_sales_dataset_1_!R242)</f>
        <v>369.576</v>
      </c>
      <c r="H244" s="14">
        <v>0.2</v>
      </c>
      <c r="I244" s="25">
        <f>SUM(Superstores_sales_dataset_1_!R242,Superstores_sales_dataset_1_!U242)</f>
        <v>411.1533</v>
      </c>
    </row>
    <row r="245" spans="6:9">
      <c r="F245" s="12" t="s">
        <v>1148</v>
      </c>
      <c r="G245" s="13">
        <f>AVERAGE(Superstores_sales_dataset_1_!R243)</f>
        <v>8.448</v>
      </c>
      <c r="H245" s="14">
        <v>0.2</v>
      </c>
      <c r="I245" s="25">
        <f>SUM(Superstores_sales_dataset_1_!R243,Superstores_sales_dataset_1_!U243)</f>
        <v>11.088</v>
      </c>
    </row>
    <row r="246" spans="6:9">
      <c r="F246" s="12" t="s">
        <v>1153</v>
      </c>
      <c r="G246" s="13">
        <f>AVERAGE(Superstores_sales_dataset_1_!R244)</f>
        <v>119.94</v>
      </c>
      <c r="H246" s="14">
        <v>0.4</v>
      </c>
      <c r="I246" s="25">
        <f>SUM(Superstores_sales_dataset_1_!R244,Superstores_sales_dataset_1_!U244)</f>
        <v>135.932</v>
      </c>
    </row>
    <row r="247" spans="6:9">
      <c r="F247" s="12" t="s">
        <v>1157</v>
      </c>
      <c r="G247" s="13">
        <f>AVERAGE(Superstores_sales_dataset_1_!R245)</f>
        <v>40.48</v>
      </c>
      <c r="H247" s="14">
        <v>0</v>
      </c>
      <c r="I247" s="25">
        <f>SUM(Superstores_sales_dataset_1_!R245,Superstores_sales_dataset_1_!U245)</f>
        <v>56.2672</v>
      </c>
    </row>
    <row r="248" spans="6:9">
      <c r="F248" s="12" t="s">
        <v>1161</v>
      </c>
      <c r="G248" s="13">
        <f>AVERAGE(Superstores_sales_dataset_1_!R246)</f>
        <v>8.69</v>
      </c>
      <c r="H248" s="14">
        <v>0.8</v>
      </c>
      <c r="I248" s="25">
        <f>SUM(Superstores_sales_dataset_1_!R246,Superstores_sales_dataset_1_!U246)</f>
        <v>-6.083</v>
      </c>
    </row>
    <row r="249" spans="6:9">
      <c r="F249" s="12" t="s">
        <v>1166</v>
      </c>
      <c r="G249" s="13">
        <f>AVERAGE(Superstores_sales_dataset_1_!R247)</f>
        <v>301.96</v>
      </c>
      <c r="H249" s="14">
        <v>0</v>
      </c>
      <c r="I249" s="25">
        <f>SUM(Superstores_sales_dataset_1_!R247,Superstores_sales_dataset_1_!U247)</f>
        <v>389.5284</v>
      </c>
    </row>
    <row r="250" spans="6:9">
      <c r="F250" s="12" t="s">
        <v>1170</v>
      </c>
      <c r="G250" s="13">
        <f>AVERAGE(Superstores_sales_dataset_1_!R248)</f>
        <v>35.56</v>
      </c>
      <c r="H250" s="14">
        <v>0</v>
      </c>
      <c r="I250" s="25">
        <f>SUM(Superstores_sales_dataset_1_!R248,Superstores_sales_dataset_1_!U248)</f>
        <v>47.6504</v>
      </c>
    </row>
    <row r="251" spans="6:9">
      <c r="F251" s="12" t="s">
        <v>1174</v>
      </c>
      <c r="G251" s="13">
        <f>AVERAGE(Superstores_sales_dataset_1_!R249)</f>
        <v>97.16</v>
      </c>
      <c r="H251" s="14">
        <v>0</v>
      </c>
      <c r="I251" s="25">
        <f>SUM(Superstores_sales_dataset_1_!R249,Superstores_sales_dataset_1_!U249)</f>
        <v>125.3364</v>
      </c>
    </row>
    <row r="252" spans="6:9">
      <c r="F252" s="12" t="s">
        <v>1178</v>
      </c>
      <c r="G252" s="13">
        <f>AVERAGE(Superstores_sales_dataset_1_!R250)</f>
        <v>243.384</v>
      </c>
      <c r="H252" s="14">
        <v>0.2</v>
      </c>
      <c r="I252" s="25">
        <f>SUM(Superstores_sales_dataset_1_!R250,Superstores_sales_dataset_1_!U250)</f>
        <v>191.6649</v>
      </c>
    </row>
    <row r="253" spans="6:9">
      <c r="F253" s="12" t="s">
        <v>1183</v>
      </c>
      <c r="G253" s="13">
        <f>AVERAGE(Superstores_sales_dataset_1_!R251)</f>
        <v>392.94</v>
      </c>
      <c r="H253" s="14">
        <v>0</v>
      </c>
      <c r="I253" s="25">
        <f>SUM(Superstores_sales_dataset_1_!R251,Superstores_sales_dataset_1_!U251)</f>
        <v>436.1634</v>
      </c>
    </row>
    <row r="254" spans="6:9">
      <c r="F254" s="12" t="s">
        <v>1187</v>
      </c>
      <c r="G254" s="13">
        <f>AVERAGE(Superstores_sales_dataset_1_!R252)</f>
        <v>18.882</v>
      </c>
      <c r="H254" s="14">
        <v>0.7</v>
      </c>
      <c r="I254" s="25">
        <f>SUM(Superstores_sales_dataset_1_!R252,Superstores_sales_dataset_1_!U252)</f>
        <v>5.0352</v>
      </c>
    </row>
    <row r="255" spans="6:9">
      <c r="F255" s="12" t="s">
        <v>1191</v>
      </c>
      <c r="G255" s="13">
        <f>AVERAGE(Superstores_sales_dataset_1_!R253)</f>
        <v>18.84</v>
      </c>
      <c r="H255" s="14">
        <v>0</v>
      </c>
      <c r="I255" s="25">
        <f>SUM(Superstores_sales_dataset_1_!R253,Superstores_sales_dataset_1_!U253)</f>
        <v>24.8688</v>
      </c>
    </row>
    <row r="256" spans="6:9">
      <c r="F256" s="12" t="s">
        <v>1196</v>
      </c>
      <c r="G256" s="13">
        <f>AVERAGE(Superstores_sales_dataset_1_!R254)</f>
        <v>330.4</v>
      </c>
      <c r="H256" s="14">
        <v>0</v>
      </c>
      <c r="I256" s="25">
        <f>SUM(Superstores_sales_dataset_1_!R254,Superstores_sales_dataset_1_!U254)</f>
        <v>416.304</v>
      </c>
    </row>
    <row r="257" spans="6:9">
      <c r="F257" s="12" t="s">
        <v>1201</v>
      </c>
      <c r="G257" s="13">
        <f>AVERAGE(Superstores_sales_dataset_1_!R255)</f>
        <v>132.52</v>
      </c>
      <c r="H257" s="14">
        <v>0</v>
      </c>
      <c r="I257" s="25">
        <f>SUM(Superstores_sales_dataset_1_!R255,Superstores_sales_dataset_1_!U255)</f>
        <v>186.8532</v>
      </c>
    </row>
    <row r="258" spans="6:9">
      <c r="F258" s="12" t="s">
        <v>1205</v>
      </c>
      <c r="G258" s="13">
        <f>AVERAGE(Superstores_sales_dataset_1_!R256)</f>
        <v>209.3</v>
      </c>
      <c r="H258" s="14">
        <v>0</v>
      </c>
      <c r="I258" s="25">
        <f>SUM(Superstores_sales_dataset_1_!R256,Superstores_sales_dataset_1_!U256)</f>
        <v>265.811</v>
      </c>
    </row>
    <row r="259" spans="6:9">
      <c r="F259" s="12" t="s">
        <v>1210</v>
      </c>
      <c r="G259" s="13">
        <f>AVERAGE(Superstores_sales_dataset_1_!R257)</f>
        <v>14.8</v>
      </c>
      <c r="H259" s="14">
        <v>0</v>
      </c>
      <c r="I259" s="25">
        <f>SUM(Superstores_sales_dataset_1_!R257,Superstores_sales_dataset_1_!U257)</f>
        <v>20.868</v>
      </c>
    </row>
    <row r="260" spans="6:9">
      <c r="F260" s="12" t="s">
        <v>223</v>
      </c>
      <c r="G260" s="13">
        <f>AVERAGE(Superstores_sales_dataset_1_!R258)</f>
        <v>379.4</v>
      </c>
      <c r="H260" s="14">
        <v>0</v>
      </c>
      <c r="I260" s="25">
        <f>SUM(Superstores_sales_dataset_1_!R258,Superstores_sales_dataset_1_!U258)</f>
        <v>557.718</v>
      </c>
    </row>
    <row r="261" spans="6:9">
      <c r="F261" s="12" t="s">
        <v>1216</v>
      </c>
      <c r="G261" s="13">
        <f>AVERAGE(Superstores_sales_dataset_1_!R259)</f>
        <v>113.552</v>
      </c>
      <c r="H261" s="14">
        <v>0.2</v>
      </c>
      <c r="I261" s="25">
        <f>SUM(Superstores_sales_dataset_1_!R259,Superstores_sales_dataset_1_!U259)</f>
        <v>122.0684</v>
      </c>
    </row>
    <row r="262" spans="6:9">
      <c r="F262" s="12" t="s">
        <v>1220</v>
      </c>
      <c r="G262" s="13">
        <f>AVERAGE(Superstores_sales_dataset_1_!R260)</f>
        <v>701.372</v>
      </c>
      <c r="H262" s="14">
        <v>0.3</v>
      </c>
      <c r="I262" s="25">
        <f>SUM(Superstores_sales_dataset_1_!R260,Superstores_sales_dataset_1_!U260)</f>
        <v>651.274</v>
      </c>
    </row>
    <row r="263" spans="6:9">
      <c r="F263" s="12" t="s">
        <v>1224</v>
      </c>
      <c r="G263" s="13">
        <f>AVERAGE(Superstores_sales_dataset_1_!R261)</f>
        <v>459.95</v>
      </c>
      <c r="H263" s="14">
        <v>0</v>
      </c>
      <c r="I263" s="25">
        <f>SUM(Superstores_sales_dataset_1_!R261,Superstores_sales_dataset_1_!U261)</f>
        <v>478.348</v>
      </c>
    </row>
    <row r="264" spans="6:9">
      <c r="F264" s="12" t="s">
        <v>1228</v>
      </c>
      <c r="G264" s="13">
        <f>AVERAGE(Superstores_sales_dataset_1_!R262)</f>
        <v>23.76</v>
      </c>
      <c r="H264" s="14">
        <v>0.2</v>
      </c>
      <c r="I264" s="25">
        <f>SUM(Superstores_sales_dataset_1_!R262,Superstores_sales_dataset_1_!U262)</f>
        <v>25.839</v>
      </c>
    </row>
    <row r="265" spans="6:9">
      <c r="F265" s="12" t="s">
        <v>1233</v>
      </c>
      <c r="G265" s="13">
        <f>AVERAGE(Superstores_sales_dataset_1_!R263)</f>
        <v>30.36</v>
      </c>
      <c r="H265" s="14">
        <v>0.2</v>
      </c>
      <c r="I265" s="25">
        <f>SUM(Superstores_sales_dataset_1_!R263,Superstores_sales_dataset_1_!U263)</f>
        <v>39.0885</v>
      </c>
    </row>
    <row r="266" spans="6:9">
      <c r="F266" s="12" t="s">
        <v>1237</v>
      </c>
      <c r="G266" s="13">
        <f>AVERAGE(Superstores_sales_dataset_1_!R264)</f>
        <v>61.44</v>
      </c>
      <c r="H266" s="14">
        <v>0</v>
      </c>
      <c r="I266" s="25">
        <f>SUM(Superstores_sales_dataset_1_!R264,Superstores_sales_dataset_1_!U264)</f>
        <v>78.0288</v>
      </c>
    </row>
    <row r="267" spans="6:9">
      <c r="F267" s="12" t="s">
        <v>1242</v>
      </c>
      <c r="G267" s="13">
        <f>AVERAGE(Superstores_sales_dataset_1_!R265)</f>
        <v>2.688</v>
      </c>
      <c r="H267" s="14">
        <v>0.8</v>
      </c>
      <c r="I267" s="25">
        <f>SUM(Superstores_sales_dataset_1_!R265,Superstores_sales_dataset_1_!U265)</f>
        <v>-4.704</v>
      </c>
    </row>
    <row r="268" spans="6:9">
      <c r="F268" s="12" t="s">
        <v>1246</v>
      </c>
      <c r="G268" s="13">
        <f>AVERAGE(Superstores_sales_dataset_1_!R266)</f>
        <v>14.352</v>
      </c>
      <c r="H268" s="14">
        <v>0.2</v>
      </c>
      <c r="I268" s="25">
        <f>SUM(Superstores_sales_dataset_1_!R266,Superstores_sales_dataset_1_!U266)</f>
        <v>19.0164</v>
      </c>
    </row>
    <row r="269" spans="6:9">
      <c r="F269" s="12" t="s">
        <v>1251</v>
      </c>
      <c r="G269" s="13">
        <f>AVERAGE(Superstores_sales_dataset_1_!R267)</f>
        <v>7999.98</v>
      </c>
      <c r="H269" s="14">
        <v>0.5</v>
      </c>
      <c r="I269" s="25">
        <f>SUM(Superstores_sales_dataset_1_!R267,Superstores_sales_dataset_1_!U267)</f>
        <v>4159.9896</v>
      </c>
    </row>
    <row r="270" spans="6:9">
      <c r="F270" s="12" t="s">
        <v>1255</v>
      </c>
      <c r="G270" s="13">
        <f>AVERAGE(Superstores_sales_dataset_1_!R268)</f>
        <v>479.97</v>
      </c>
      <c r="H270" s="14">
        <v>0</v>
      </c>
      <c r="I270" s="25">
        <f>SUM(Superstores_sales_dataset_1_!R268,Superstores_sales_dataset_1_!U268)</f>
        <v>643.1598</v>
      </c>
    </row>
    <row r="271" spans="6:9">
      <c r="F271" s="12" t="s">
        <v>1259</v>
      </c>
      <c r="G271" s="13">
        <f>AVERAGE(Superstores_sales_dataset_1_!R269)</f>
        <v>191.984</v>
      </c>
      <c r="H271" s="14">
        <v>0.2</v>
      </c>
      <c r="I271" s="25">
        <f>SUM(Superstores_sales_dataset_1_!R269,Superstores_sales_dataset_1_!U269)</f>
        <v>196.7836</v>
      </c>
    </row>
    <row r="272" spans="6:9">
      <c r="F272" s="12" t="s">
        <v>1264</v>
      </c>
      <c r="G272" s="13">
        <f>AVERAGE(Superstores_sales_dataset_1_!R270)</f>
        <v>104.01</v>
      </c>
      <c r="H272" s="14">
        <v>0</v>
      </c>
      <c r="I272" s="25">
        <f>SUM(Superstores_sales_dataset_1_!R270,Superstores_sales_dataset_1_!U270)</f>
        <v>118.5714</v>
      </c>
    </row>
    <row r="273" spans="6:9">
      <c r="F273" s="12" t="s">
        <v>1268</v>
      </c>
      <c r="G273" s="13">
        <f>AVERAGE(Superstores_sales_dataset_1_!R271)</f>
        <v>166.24</v>
      </c>
      <c r="H273" s="14">
        <v>0</v>
      </c>
      <c r="I273" s="25">
        <f>SUM(Superstores_sales_dataset_1_!R271,Superstores_sales_dataset_1_!U271)</f>
        <v>191.176</v>
      </c>
    </row>
    <row r="274" spans="6:9">
      <c r="F274" s="12" t="s">
        <v>694</v>
      </c>
      <c r="G274" s="13">
        <f>AVERAGE(Superstores_sales_dataset_1_!R272)</f>
        <v>198.272</v>
      </c>
      <c r="H274" s="14">
        <v>0.2</v>
      </c>
      <c r="I274" s="25">
        <f>SUM(Superstores_sales_dataset_1_!R272,Superstores_sales_dataset_1_!U272)</f>
        <v>215.6208</v>
      </c>
    </row>
    <row r="275" spans="6:9">
      <c r="F275" s="12" t="s">
        <v>1275</v>
      </c>
      <c r="G275" s="13">
        <f>AVERAGE(Superstores_sales_dataset_1_!R273)</f>
        <v>369.912</v>
      </c>
      <c r="H275" s="14">
        <v>0.2</v>
      </c>
      <c r="I275" s="25">
        <f>SUM(Superstores_sales_dataset_1_!R273,Superstores_sales_dataset_1_!U273)</f>
        <v>356.0403</v>
      </c>
    </row>
    <row r="276" spans="6:9">
      <c r="F276" s="12" t="s">
        <v>1280</v>
      </c>
      <c r="G276" s="13">
        <f>AVERAGE(Superstores_sales_dataset_1_!R274)</f>
        <v>10.368</v>
      </c>
      <c r="H276" s="14">
        <v>0.2</v>
      </c>
      <c r="I276" s="25">
        <f>SUM(Superstores_sales_dataset_1_!R274,Superstores_sales_dataset_1_!U274)</f>
        <v>13.9968</v>
      </c>
    </row>
    <row r="277" spans="6:9">
      <c r="F277" s="12" t="s">
        <v>1284</v>
      </c>
      <c r="G277" s="13">
        <f>AVERAGE(Superstores_sales_dataset_1_!R275)</f>
        <v>119.96</v>
      </c>
      <c r="H277" s="14">
        <v>0</v>
      </c>
      <c r="I277" s="25">
        <f>SUM(Superstores_sales_dataset_1_!R275,Superstores_sales_dataset_1_!U275)</f>
        <v>172.7424</v>
      </c>
    </row>
    <row r="278" spans="6:9">
      <c r="F278" s="12" t="s">
        <v>930</v>
      </c>
      <c r="G278" s="13">
        <f>AVERAGE(Superstores_sales_dataset_1_!R276)</f>
        <v>55.48</v>
      </c>
      <c r="H278" s="14">
        <v>0</v>
      </c>
      <c r="I278" s="25">
        <f>SUM(Superstores_sales_dataset_1_!R276,Superstores_sales_dataset_1_!U276)</f>
        <v>82.1104</v>
      </c>
    </row>
    <row r="279" spans="6:9">
      <c r="F279" s="12" t="s">
        <v>1291</v>
      </c>
      <c r="G279" s="13">
        <f>AVERAGE(Superstores_sales_dataset_1_!R277)</f>
        <v>24.448</v>
      </c>
      <c r="H279" s="14">
        <v>0.2</v>
      </c>
      <c r="I279" s="25">
        <f>SUM(Superstores_sales_dataset_1_!R277,Superstores_sales_dataset_1_!U277)</f>
        <v>33.3104</v>
      </c>
    </row>
    <row r="280" spans="6:9">
      <c r="F280" s="12" t="s">
        <v>1296</v>
      </c>
      <c r="G280" s="13">
        <f>AVERAGE(Superstores_sales_dataset_1_!R278)</f>
        <v>281.34</v>
      </c>
      <c r="H280" s="14">
        <v>0</v>
      </c>
      <c r="I280" s="25">
        <f>SUM(Superstores_sales_dataset_1_!R278,Superstores_sales_dataset_1_!U278)</f>
        <v>391.0626</v>
      </c>
    </row>
    <row r="281" spans="6:9">
      <c r="F281" s="12" t="s">
        <v>1300</v>
      </c>
      <c r="G281" s="13">
        <f>AVERAGE(Superstores_sales_dataset_1_!R279)</f>
        <v>9.94</v>
      </c>
      <c r="H281" s="14">
        <v>0</v>
      </c>
      <c r="I281" s="25">
        <f>SUM(Superstores_sales_dataset_1_!R279,Superstores_sales_dataset_1_!U279)</f>
        <v>13.0214</v>
      </c>
    </row>
    <row r="282" spans="6:9">
      <c r="F282" s="12" t="s">
        <v>1304</v>
      </c>
      <c r="G282" s="13">
        <f>AVERAGE(Superstores_sales_dataset_1_!R280)</f>
        <v>59.808</v>
      </c>
      <c r="H282" s="14">
        <v>0.2</v>
      </c>
      <c r="I282" s="25">
        <f>SUM(Superstores_sales_dataset_1_!R280,Superstores_sales_dataset_1_!U280)</f>
        <v>79.2456</v>
      </c>
    </row>
    <row r="283" spans="6:9">
      <c r="F283" s="12" t="s">
        <v>1308</v>
      </c>
      <c r="G283" s="13">
        <f>AVERAGE(Superstores_sales_dataset_1_!R281)</f>
        <v>146.82</v>
      </c>
      <c r="H283" s="14">
        <v>0</v>
      </c>
      <c r="I283" s="25">
        <f>SUM(Superstores_sales_dataset_1_!R281,Superstores_sales_dataset_1_!U281)</f>
        <v>220.23</v>
      </c>
    </row>
    <row r="284" spans="6:9">
      <c r="F284" s="12" t="s">
        <v>1312</v>
      </c>
      <c r="G284" s="13">
        <f>AVERAGE(Superstores_sales_dataset_1_!R282)</f>
        <v>129.92</v>
      </c>
      <c r="H284" s="14">
        <v>0.2</v>
      </c>
      <c r="I284" s="25">
        <f>SUM(Superstores_sales_dataset_1_!R282,Superstores_sales_dataset_1_!U282)</f>
        <v>151.032</v>
      </c>
    </row>
    <row r="285" spans="6:9">
      <c r="F285" s="12" t="s">
        <v>1317</v>
      </c>
      <c r="G285" s="13">
        <f>AVERAGE(Superstores_sales_dataset_1_!R283)</f>
        <v>45.584</v>
      </c>
      <c r="H285" s="14">
        <v>0.2</v>
      </c>
      <c r="I285" s="25">
        <f>SUM(Superstores_sales_dataset_1_!R283,Superstores_sales_dataset_1_!U283)</f>
        <v>50.7122</v>
      </c>
    </row>
    <row r="286" spans="6:9">
      <c r="F286" s="12" t="s">
        <v>1322</v>
      </c>
      <c r="G286" s="13">
        <f>AVERAGE(Superstores_sales_dataset_1_!R284)</f>
        <v>17.568</v>
      </c>
      <c r="H286" s="14">
        <v>0.2</v>
      </c>
      <c r="I286" s="25">
        <f>SUM(Superstores_sales_dataset_1_!R284,Superstores_sales_dataset_1_!U284)</f>
        <v>23.9364</v>
      </c>
    </row>
    <row r="287" spans="6:9">
      <c r="F287" s="12" t="s">
        <v>1327</v>
      </c>
      <c r="G287" s="13">
        <f>AVERAGE(Superstores_sales_dataset_1_!R285)</f>
        <v>182.72</v>
      </c>
      <c r="H287" s="14">
        <v>0</v>
      </c>
      <c r="I287" s="25">
        <f>SUM(Superstores_sales_dataset_1_!R285,Superstores_sales_dataset_1_!U285)</f>
        <v>266.7712</v>
      </c>
    </row>
    <row r="288" spans="6:9">
      <c r="F288" s="12" t="s">
        <v>1331</v>
      </c>
      <c r="G288" s="13">
        <f>AVERAGE(Superstores_sales_dataset_1_!R286)</f>
        <v>242.94</v>
      </c>
      <c r="H288" s="14">
        <v>0</v>
      </c>
      <c r="I288" s="25">
        <f>SUM(Superstores_sales_dataset_1_!R286,Superstores_sales_dataset_1_!U286)</f>
        <v>252.6576</v>
      </c>
    </row>
    <row r="289" spans="6:9">
      <c r="F289" s="12" t="s">
        <v>1335</v>
      </c>
      <c r="G289" s="13">
        <f>AVERAGE(Superstores_sales_dataset_1_!R287)</f>
        <v>11.784</v>
      </c>
      <c r="H289" s="14">
        <v>0.2</v>
      </c>
      <c r="I289" s="25">
        <f>SUM(Superstores_sales_dataset_1_!R287,Superstores_sales_dataset_1_!U287)</f>
        <v>16.0557</v>
      </c>
    </row>
    <row r="290" spans="6:9">
      <c r="F290" s="12" t="s">
        <v>1105</v>
      </c>
      <c r="G290" s="13">
        <f>AVERAGE(Superstores_sales_dataset_1_!R288)</f>
        <v>51.52</v>
      </c>
      <c r="H290" s="14">
        <v>0.2</v>
      </c>
      <c r="I290" s="25">
        <f>SUM(Superstores_sales_dataset_1_!R288,Superstores_sales_dataset_1_!U288)</f>
        <v>40.572</v>
      </c>
    </row>
    <row r="291" spans="6:9">
      <c r="F291" s="12" t="s">
        <v>1342</v>
      </c>
      <c r="G291" s="13">
        <f>AVERAGE(Superstores_sales_dataset_1_!R289)</f>
        <v>11.992</v>
      </c>
      <c r="H291" s="14">
        <v>0.2</v>
      </c>
      <c r="I291" s="25">
        <f>SUM(Superstores_sales_dataset_1_!R289,Superstores_sales_dataset_1_!U289)</f>
        <v>12.8914</v>
      </c>
    </row>
    <row r="292" spans="6:9">
      <c r="F292" s="12" t="s">
        <v>1347</v>
      </c>
      <c r="G292" s="13">
        <f>AVERAGE(Superstores_sales_dataset_1_!R290)</f>
        <v>58.05</v>
      </c>
      <c r="H292" s="14">
        <v>0</v>
      </c>
      <c r="I292" s="25">
        <f>SUM(Superstores_sales_dataset_1_!R290,Superstores_sales_dataset_1_!U290)</f>
        <v>84.753</v>
      </c>
    </row>
    <row r="293" spans="6:9">
      <c r="F293" s="12" t="s">
        <v>1352</v>
      </c>
      <c r="G293" s="13">
        <f>AVERAGE(Superstores_sales_dataset_1_!R291)</f>
        <v>1199.976</v>
      </c>
      <c r="H293" s="14">
        <v>0.2</v>
      </c>
      <c r="I293" s="25">
        <f>SUM(Superstores_sales_dataset_1_!R291,Superstores_sales_dataset_1_!U291)</f>
        <v>1574.9685</v>
      </c>
    </row>
    <row r="294" spans="6:9">
      <c r="F294" s="12" t="s">
        <v>1357</v>
      </c>
      <c r="G294" s="13">
        <f>AVERAGE(Superstores_sales_dataset_1_!R292)</f>
        <v>24.56</v>
      </c>
      <c r="H294" s="14">
        <v>0</v>
      </c>
      <c r="I294" s="25">
        <f>SUM(Superstores_sales_dataset_1_!R292,Superstores_sales_dataset_1_!U292)</f>
        <v>31.4368</v>
      </c>
    </row>
    <row r="295" spans="6:9">
      <c r="F295" s="12" t="s">
        <v>1142</v>
      </c>
      <c r="G295" s="13">
        <f>AVERAGE(Superstores_sales_dataset_1_!R293)</f>
        <v>13.128</v>
      </c>
      <c r="H295" s="14">
        <v>0.2</v>
      </c>
      <c r="I295" s="25">
        <f>SUM(Superstores_sales_dataset_1_!R293,Superstores_sales_dataset_1_!U293)</f>
        <v>17.3946</v>
      </c>
    </row>
    <row r="296" spans="6:9">
      <c r="F296" s="12" t="s">
        <v>1363</v>
      </c>
      <c r="G296" s="13">
        <f>AVERAGE(Superstores_sales_dataset_1_!R294)</f>
        <v>22.72</v>
      </c>
      <c r="H296" s="14">
        <v>0</v>
      </c>
      <c r="I296" s="25">
        <f>SUM(Superstores_sales_dataset_1_!R294,Superstores_sales_dataset_1_!U294)</f>
        <v>32.944</v>
      </c>
    </row>
    <row r="297" spans="6:9">
      <c r="F297" s="12" t="s">
        <v>1367</v>
      </c>
      <c r="G297" s="13">
        <f>AVERAGE(Superstores_sales_dataset_1_!R295)</f>
        <v>107.982</v>
      </c>
      <c r="H297" s="14">
        <v>0.4</v>
      </c>
      <c r="I297" s="25">
        <f>SUM(Superstores_sales_dataset_1_!R295,Superstores_sales_dataset_1_!U295)</f>
        <v>80.9865</v>
      </c>
    </row>
    <row r="298" spans="6:9">
      <c r="F298" s="12" t="s">
        <v>436</v>
      </c>
      <c r="G298" s="13">
        <f>AVERAGE(Superstores_sales_dataset_1_!R296)</f>
        <v>11.36</v>
      </c>
      <c r="H298" s="14">
        <v>0</v>
      </c>
      <c r="I298" s="25">
        <f>SUM(Superstores_sales_dataset_1_!R296,Superstores_sales_dataset_1_!U296)</f>
        <v>16.6992</v>
      </c>
    </row>
    <row r="299" spans="6:9">
      <c r="F299" s="12" t="s">
        <v>1374</v>
      </c>
      <c r="G299" s="13">
        <f>AVERAGE(Superstores_sales_dataset_1_!R297)</f>
        <v>310.88</v>
      </c>
      <c r="H299" s="14">
        <v>0.2</v>
      </c>
      <c r="I299" s="25">
        <f>SUM(Superstores_sales_dataset_1_!R297,Superstores_sales_dataset_1_!U297)</f>
        <v>334.196</v>
      </c>
    </row>
    <row r="300" spans="6:9">
      <c r="F300" s="12" t="s">
        <v>1378</v>
      </c>
      <c r="G300" s="13">
        <f>AVERAGE(Superstores_sales_dataset_1_!R298)</f>
        <v>18.28</v>
      </c>
      <c r="H300" s="14">
        <v>0</v>
      </c>
      <c r="I300" s="25">
        <f>SUM(Superstores_sales_dataset_1_!R298,Superstores_sales_dataset_1_!U298)</f>
        <v>27.42</v>
      </c>
    </row>
    <row r="301" spans="6:9">
      <c r="F301" s="12" t="s">
        <v>1382</v>
      </c>
      <c r="G301" s="13">
        <f>AVERAGE(Superstores_sales_dataset_1_!R299)</f>
        <v>32.76</v>
      </c>
      <c r="H301" s="14">
        <v>0.2</v>
      </c>
      <c r="I301" s="25">
        <f>SUM(Superstores_sales_dataset_1_!R299,Superstores_sales_dataset_1_!U299)</f>
        <v>36.4455</v>
      </c>
    </row>
    <row r="302" spans="6:9">
      <c r="F302" s="12" t="s">
        <v>1386</v>
      </c>
      <c r="G302" s="13">
        <f>AVERAGE(Superstores_sales_dataset_1_!R300)</f>
        <v>32.07</v>
      </c>
      <c r="H302" s="14">
        <v>0.7</v>
      </c>
      <c r="I302" s="25">
        <f>SUM(Superstores_sales_dataset_1_!R300,Superstores_sales_dataset_1_!U300)</f>
        <v>9.621</v>
      </c>
    </row>
    <row r="303" spans="6:9">
      <c r="F303" s="12" t="s">
        <v>1391</v>
      </c>
      <c r="G303" s="13">
        <f>AVERAGE(Superstores_sales_dataset_1_!R301)</f>
        <v>348.928</v>
      </c>
      <c r="H303" s="14">
        <v>0.2</v>
      </c>
      <c r="I303" s="25">
        <f>SUM(Superstores_sales_dataset_1_!R301,Superstores_sales_dataset_1_!U301)</f>
        <v>383.8208</v>
      </c>
    </row>
    <row r="304" spans="6:9">
      <c r="F304" s="12" t="s">
        <v>1396</v>
      </c>
      <c r="G304" s="13">
        <f>AVERAGE(Superstores_sales_dataset_1_!R302)</f>
        <v>1363.96</v>
      </c>
      <c r="H304" s="14">
        <v>0.2</v>
      </c>
      <c r="I304" s="25">
        <f>SUM(Superstores_sales_dataset_1_!R302,Superstores_sales_dataset_1_!U302)</f>
        <v>1449.2075</v>
      </c>
    </row>
    <row r="305" spans="6:9">
      <c r="F305" s="12" t="s">
        <v>1400</v>
      </c>
      <c r="G305" s="13">
        <f>AVERAGE(Superstores_sales_dataset_1_!R303)</f>
        <v>9.96</v>
      </c>
      <c r="H305" s="14">
        <v>0</v>
      </c>
      <c r="I305" s="25">
        <f>SUM(Superstores_sales_dataset_1_!R303,Superstores_sales_dataset_1_!U303)</f>
        <v>14.5416</v>
      </c>
    </row>
    <row r="306" spans="6:9">
      <c r="F306" s="12" t="s">
        <v>1404</v>
      </c>
      <c r="G306" s="13">
        <f>AVERAGE(Superstores_sales_dataset_1_!R304)</f>
        <v>20.16</v>
      </c>
      <c r="H306" s="14">
        <v>0</v>
      </c>
      <c r="I306" s="25">
        <f>SUM(Superstores_sales_dataset_1_!R304,Superstores_sales_dataset_1_!U304)</f>
        <v>30.0384</v>
      </c>
    </row>
    <row r="307" spans="6:9">
      <c r="F307" s="12" t="s">
        <v>1409</v>
      </c>
      <c r="G307" s="13">
        <f>AVERAGE(Superstores_sales_dataset_1_!R305)</f>
        <v>283.92</v>
      </c>
      <c r="H307" s="14">
        <v>0.2</v>
      </c>
      <c r="I307" s="25">
        <f>SUM(Superstores_sales_dataset_1_!R305,Superstores_sales_dataset_1_!U305)</f>
        <v>301.665</v>
      </c>
    </row>
    <row r="308" spans="6:9">
      <c r="F308" s="12" t="s">
        <v>1413</v>
      </c>
      <c r="G308" s="13">
        <f>AVERAGE(Superstores_sales_dataset_1_!R306)</f>
        <v>22.23</v>
      </c>
      <c r="H308" s="14">
        <v>0</v>
      </c>
      <c r="I308" s="25">
        <f>SUM(Superstores_sales_dataset_1_!R306,Superstores_sales_dataset_1_!U306)</f>
        <v>29.5659</v>
      </c>
    </row>
    <row r="309" spans="6:9">
      <c r="F309" s="12" t="s">
        <v>1417</v>
      </c>
      <c r="G309" s="13">
        <f>AVERAGE(Superstores_sales_dataset_1_!R307)</f>
        <v>12.96</v>
      </c>
      <c r="H309" s="14">
        <v>0</v>
      </c>
      <c r="I309" s="25">
        <f>SUM(Superstores_sales_dataset_1_!R307,Superstores_sales_dataset_1_!U307)</f>
        <v>19.1808</v>
      </c>
    </row>
    <row r="310" spans="6:9">
      <c r="F310" s="12" t="s">
        <v>1421</v>
      </c>
      <c r="G310" s="13">
        <f>AVERAGE(Superstores_sales_dataset_1_!R308)</f>
        <v>18.28</v>
      </c>
      <c r="H310" s="14">
        <v>0</v>
      </c>
      <c r="I310" s="25">
        <f>SUM(Superstores_sales_dataset_1_!R308,Superstores_sales_dataset_1_!U308)</f>
        <v>24.4952</v>
      </c>
    </row>
    <row r="311" spans="6:9">
      <c r="F311" s="12" t="s">
        <v>1421</v>
      </c>
      <c r="G311" s="13">
        <f>AVERAGE(Superstores_sales_dataset_1_!R309)</f>
        <v>18.28</v>
      </c>
      <c r="H311" s="14">
        <v>0</v>
      </c>
      <c r="I311" s="25">
        <f>SUM(Superstores_sales_dataset_1_!R309,Superstores_sales_dataset_1_!U309)</f>
        <v>24.4952</v>
      </c>
    </row>
    <row r="312" spans="6:9">
      <c r="F312" s="12" t="s">
        <v>1429</v>
      </c>
      <c r="G312" s="13">
        <f>AVERAGE(Superstores_sales_dataset_1_!R310)</f>
        <v>51.84</v>
      </c>
      <c r="H312" s="14">
        <v>0</v>
      </c>
      <c r="I312" s="25">
        <f>SUM(Superstores_sales_dataset_1_!R310,Superstores_sales_dataset_1_!U310)</f>
        <v>76.7232</v>
      </c>
    </row>
    <row r="313" spans="6:9">
      <c r="F313" s="12" t="s">
        <v>1434</v>
      </c>
      <c r="G313" s="13">
        <f>AVERAGE(Superstores_sales_dataset_1_!R311)</f>
        <v>239.97</v>
      </c>
      <c r="H313" s="14">
        <v>0</v>
      </c>
      <c r="I313" s="25">
        <f>SUM(Superstores_sales_dataset_1_!R311,Superstores_sales_dataset_1_!U311)</f>
        <v>311.961</v>
      </c>
    </row>
    <row r="314" spans="6:9">
      <c r="F314" s="12" t="s">
        <v>1438</v>
      </c>
      <c r="G314" s="13">
        <f>AVERAGE(Superstores_sales_dataset_1_!R312)</f>
        <v>67.8</v>
      </c>
      <c r="H314" s="14">
        <v>0</v>
      </c>
      <c r="I314" s="25">
        <f>SUM(Superstores_sales_dataset_1_!R312,Superstores_sales_dataset_1_!U312)</f>
        <v>71.868</v>
      </c>
    </row>
    <row r="315" spans="6:9">
      <c r="F315" s="12" t="s">
        <v>1442</v>
      </c>
      <c r="G315" s="13">
        <f>AVERAGE(Superstores_sales_dataset_1_!R313)</f>
        <v>9.664</v>
      </c>
      <c r="H315" s="14">
        <v>0.2</v>
      </c>
      <c r="I315" s="25">
        <f>SUM(Superstores_sales_dataset_1_!R313,Superstores_sales_dataset_1_!U313)</f>
        <v>12.9256</v>
      </c>
    </row>
    <row r="316" spans="6:9">
      <c r="F316" s="12" t="s">
        <v>1446</v>
      </c>
      <c r="G316" s="13">
        <f>AVERAGE(Superstores_sales_dataset_1_!R314)</f>
        <v>60.45</v>
      </c>
      <c r="H316" s="14">
        <v>0</v>
      </c>
      <c r="I316" s="25">
        <f>SUM(Superstores_sales_dataset_1_!R314,Superstores_sales_dataset_1_!U314)</f>
        <v>76.7715</v>
      </c>
    </row>
    <row r="317" spans="6:9">
      <c r="F317" s="12" t="s">
        <v>1450</v>
      </c>
      <c r="G317" s="13">
        <f>AVERAGE(Superstores_sales_dataset_1_!R315)</f>
        <v>37.44</v>
      </c>
      <c r="H317" s="14">
        <v>0.2</v>
      </c>
      <c r="I317" s="25">
        <f>SUM(Superstores_sales_dataset_1_!R315,Superstores_sales_dataset_1_!U315)</f>
        <v>49.14</v>
      </c>
    </row>
    <row r="318" spans="6:9">
      <c r="F318" s="12" t="s">
        <v>1455</v>
      </c>
      <c r="G318" s="13">
        <f>AVERAGE(Superstores_sales_dataset_1_!R316)</f>
        <v>83.72</v>
      </c>
      <c r="H318" s="14">
        <v>0</v>
      </c>
      <c r="I318" s="25">
        <f>SUM(Superstores_sales_dataset_1_!R316,Superstores_sales_dataset_1_!U316)</f>
        <v>107.1616</v>
      </c>
    </row>
    <row r="319" spans="6:9">
      <c r="F319" s="12" t="s">
        <v>1460</v>
      </c>
      <c r="G319" s="13">
        <f>AVERAGE(Superstores_sales_dataset_1_!R317)</f>
        <v>48.896</v>
      </c>
      <c r="H319" s="14">
        <v>0.2</v>
      </c>
      <c r="I319" s="25">
        <f>SUM(Superstores_sales_dataset_1_!R317,Superstores_sales_dataset_1_!U317)</f>
        <v>57.4528</v>
      </c>
    </row>
    <row r="320" spans="6:9">
      <c r="F320" s="12" t="s">
        <v>1465</v>
      </c>
      <c r="G320" s="13">
        <f>AVERAGE(Superstores_sales_dataset_1_!R318)</f>
        <v>115.36</v>
      </c>
      <c r="H320" s="14">
        <v>0</v>
      </c>
      <c r="I320" s="25">
        <f>SUM(Superstores_sales_dataset_1_!R318,Superstores_sales_dataset_1_!U318)</f>
        <v>164.9648</v>
      </c>
    </row>
    <row r="321" spans="6:9">
      <c r="F321" s="12" t="s">
        <v>1470</v>
      </c>
      <c r="G321" s="13">
        <f>AVERAGE(Superstores_sales_dataset_1_!R319)</f>
        <v>5.16</v>
      </c>
      <c r="H321" s="14">
        <v>0</v>
      </c>
      <c r="I321" s="25">
        <f>SUM(Superstores_sales_dataset_1_!R319,Superstores_sales_dataset_1_!U319)</f>
        <v>6.5016</v>
      </c>
    </row>
    <row r="322" spans="6:9">
      <c r="F322" s="12" t="s">
        <v>1474</v>
      </c>
      <c r="G322" s="13">
        <f>AVERAGE(Superstores_sales_dataset_1_!R320)</f>
        <v>39.96</v>
      </c>
      <c r="H322" s="14">
        <v>0</v>
      </c>
      <c r="I322" s="25">
        <f>SUM(Superstores_sales_dataset_1_!R320,Superstores_sales_dataset_1_!U320)</f>
        <v>58.7412</v>
      </c>
    </row>
    <row r="323" spans="6:9">
      <c r="F323" s="12" t="s">
        <v>590</v>
      </c>
      <c r="G323" s="13">
        <f>AVERAGE(Superstores_sales_dataset_1_!R321)</f>
        <v>7.61</v>
      </c>
      <c r="H323" s="14">
        <v>0</v>
      </c>
      <c r="I323" s="25">
        <f>SUM(Superstores_sales_dataset_1_!R321,Superstores_sales_dataset_1_!U321)</f>
        <v>11.1867</v>
      </c>
    </row>
    <row r="324" spans="6:9">
      <c r="F324" s="12" t="s">
        <v>1481</v>
      </c>
      <c r="G324" s="13">
        <f>AVERAGE(Superstores_sales_dataset_1_!R322)</f>
        <v>7.36</v>
      </c>
      <c r="H324" s="14">
        <v>0</v>
      </c>
      <c r="I324" s="25">
        <f>SUM(Superstores_sales_dataset_1_!R322,Superstores_sales_dataset_1_!U322)</f>
        <v>7.5072</v>
      </c>
    </row>
    <row r="325" spans="6:9">
      <c r="F325" s="12" t="s">
        <v>1485</v>
      </c>
      <c r="G325" s="13">
        <f>AVERAGE(Superstores_sales_dataset_1_!R323)</f>
        <v>2.89</v>
      </c>
      <c r="H325" s="14">
        <v>0</v>
      </c>
      <c r="I325" s="25">
        <f>SUM(Superstores_sales_dataset_1_!R323,Superstores_sales_dataset_1_!U323)</f>
        <v>4.2483</v>
      </c>
    </row>
    <row r="326" spans="6:9">
      <c r="F326" s="12" t="s">
        <v>1489</v>
      </c>
      <c r="G326" s="13">
        <f>AVERAGE(Superstores_sales_dataset_1_!R324)</f>
        <v>15.936</v>
      </c>
      <c r="H326" s="14">
        <v>0.2</v>
      </c>
      <c r="I326" s="25">
        <f>SUM(Superstores_sales_dataset_1_!R324,Superstores_sales_dataset_1_!U324)</f>
        <v>21.1152</v>
      </c>
    </row>
    <row r="327" spans="6:9">
      <c r="F327" s="12" t="s">
        <v>1493</v>
      </c>
      <c r="G327" s="13">
        <f>AVERAGE(Superstores_sales_dataset_1_!R325)</f>
        <v>44.91</v>
      </c>
      <c r="H327" s="14">
        <v>0.7</v>
      </c>
      <c r="I327" s="25">
        <f>SUM(Superstores_sales_dataset_1_!R325,Superstores_sales_dataset_1_!U325)</f>
        <v>8.982</v>
      </c>
    </row>
    <row r="328" spans="6:9">
      <c r="F328" s="12" t="s">
        <v>1497</v>
      </c>
      <c r="G328" s="13">
        <f>AVERAGE(Superstores_sales_dataset_1_!R326)</f>
        <v>1141.47</v>
      </c>
      <c r="H328" s="14">
        <v>0.7</v>
      </c>
      <c r="I328" s="25">
        <f>SUM(Superstores_sales_dataset_1_!R326,Superstores_sales_dataset_1_!U326)</f>
        <v>380.49</v>
      </c>
    </row>
    <row r="329" spans="6:9">
      <c r="F329" s="12" t="s">
        <v>1501</v>
      </c>
      <c r="G329" s="13">
        <f>AVERAGE(Superstores_sales_dataset_1_!R327)</f>
        <v>11.36</v>
      </c>
      <c r="H329" s="14">
        <v>0</v>
      </c>
      <c r="I329" s="25">
        <f>SUM(Superstores_sales_dataset_1_!R327,Superstores_sales_dataset_1_!U327)</f>
        <v>16.5856</v>
      </c>
    </row>
    <row r="330" spans="6:9">
      <c r="F330" s="12" t="s">
        <v>1505</v>
      </c>
      <c r="G330" s="13">
        <f>AVERAGE(Superstores_sales_dataset_1_!R328)</f>
        <v>5.892</v>
      </c>
      <c r="H330" s="14">
        <v>0.7</v>
      </c>
      <c r="I330" s="25">
        <f>SUM(Superstores_sales_dataset_1_!R328,Superstores_sales_dataset_1_!U328)</f>
        <v>1.7676</v>
      </c>
    </row>
    <row r="331" spans="6:9">
      <c r="F331" s="12" t="s">
        <v>1191</v>
      </c>
      <c r="G331" s="13">
        <f>AVERAGE(Superstores_sales_dataset_1_!R329)</f>
        <v>31.4</v>
      </c>
      <c r="H331" s="14">
        <v>0</v>
      </c>
      <c r="I331" s="25">
        <f>SUM(Superstores_sales_dataset_1_!R329,Superstores_sales_dataset_1_!U329)</f>
        <v>41.448</v>
      </c>
    </row>
    <row r="332" spans="6:9">
      <c r="F332" s="12" t="s">
        <v>1511</v>
      </c>
      <c r="G332" s="13">
        <f>AVERAGE(Superstores_sales_dataset_1_!R330)</f>
        <v>17.46</v>
      </c>
      <c r="H332" s="14">
        <v>0</v>
      </c>
      <c r="I332" s="25">
        <f>SUM(Superstores_sales_dataset_1_!R330,Superstores_sales_dataset_1_!U330)</f>
        <v>23.3964</v>
      </c>
    </row>
    <row r="333" spans="6:9">
      <c r="F333" s="12" t="s">
        <v>1515</v>
      </c>
      <c r="G333" s="13">
        <f>AVERAGE(Superstores_sales_dataset_1_!R331)</f>
        <v>13.944</v>
      </c>
      <c r="H333" s="14">
        <v>0.2</v>
      </c>
      <c r="I333" s="25">
        <f>SUM(Superstores_sales_dataset_1_!R331,Superstores_sales_dataset_1_!U331)</f>
        <v>18.4758</v>
      </c>
    </row>
    <row r="334" spans="6:9">
      <c r="F334" s="12" t="s">
        <v>1520</v>
      </c>
      <c r="G334" s="13">
        <f>AVERAGE(Superstores_sales_dataset_1_!R332)</f>
        <v>37.66</v>
      </c>
      <c r="H334" s="14">
        <v>0</v>
      </c>
      <c r="I334" s="25">
        <f>SUM(Superstores_sales_dataset_1_!R332,Superstores_sales_dataset_1_!U332)</f>
        <v>56.1134</v>
      </c>
    </row>
    <row r="335" spans="6:9">
      <c r="F335" s="12" t="s">
        <v>1524</v>
      </c>
      <c r="G335" s="13">
        <f>AVERAGE(Superstores_sales_dataset_1_!R333)</f>
        <v>155.82</v>
      </c>
      <c r="H335" s="14">
        <v>0</v>
      </c>
      <c r="I335" s="25">
        <f>SUM(Superstores_sales_dataset_1_!R333,Superstores_sales_dataset_1_!U333)</f>
        <v>197.8914</v>
      </c>
    </row>
    <row r="336" spans="6:9">
      <c r="F336" s="12" t="s">
        <v>436</v>
      </c>
      <c r="G336" s="13">
        <f>AVERAGE(Superstores_sales_dataset_1_!R334)</f>
        <v>15.648</v>
      </c>
      <c r="H336" s="14">
        <v>0.2</v>
      </c>
      <c r="I336" s="25">
        <f>SUM(Superstores_sales_dataset_1_!R334,Superstores_sales_dataset_1_!U334)</f>
        <v>20.7336</v>
      </c>
    </row>
    <row r="337" spans="6:9">
      <c r="F337" s="12" t="s">
        <v>950</v>
      </c>
      <c r="G337" s="13">
        <f>AVERAGE(Superstores_sales_dataset_1_!R335)</f>
        <v>103.6</v>
      </c>
      <c r="H337" s="14">
        <v>0</v>
      </c>
      <c r="I337" s="25">
        <f>SUM(Superstores_sales_dataset_1_!R335,Superstores_sales_dataset_1_!U335)</f>
        <v>155.4</v>
      </c>
    </row>
    <row r="338" spans="6:9">
      <c r="F338" s="12" t="s">
        <v>1533</v>
      </c>
      <c r="G338" s="13">
        <f>AVERAGE(Superstores_sales_dataset_1_!R336)</f>
        <v>46.96</v>
      </c>
      <c r="H338" s="14">
        <v>0</v>
      </c>
      <c r="I338" s="25">
        <f>SUM(Superstores_sales_dataset_1_!R336,Superstores_sales_dataset_1_!U336)</f>
        <v>69.5008</v>
      </c>
    </row>
    <row r="339" spans="6:9">
      <c r="F339" s="12" t="s">
        <v>1537</v>
      </c>
      <c r="G339" s="13">
        <f>AVERAGE(Superstores_sales_dataset_1_!R337)</f>
        <v>8.904</v>
      </c>
      <c r="H339" s="14">
        <v>0.7</v>
      </c>
      <c r="I339" s="25">
        <f>SUM(Superstores_sales_dataset_1_!R337,Superstores_sales_dataset_1_!U337)</f>
        <v>2.3744</v>
      </c>
    </row>
    <row r="340" spans="6:9">
      <c r="F340" s="12" t="s">
        <v>1541</v>
      </c>
      <c r="G340" s="13">
        <f>AVERAGE(Superstores_sales_dataset_1_!R338)</f>
        <v>1199.8</v>
      </c>
      <c r="H340" s="14">
        <v>0</v>
      </c>
      <c r="I340" s="25">
        <f>SUM(Superstores_sales_dataset_1_!R338,Superstores_sales_dataset_1_!U338)</f>
        <v>1523.746</v>
      </c>
    </row>
    <row r="341" spans="6:9">
      <c r="F341" s="12" t="s">
        <v>1210</v>
      </c>
      <c r="G341" s="13">
        <f>AVERAGE(Superstores_sales_dataset_1_!R339)</f>
        <v>22.2</v>
      </c>
      <c r="H341" s="14">
        <v>0</v>
      </c>
      <c r="I341" s="25">
        <f>SUM(Superstores_sales_dataset_1_!R339,Superstores_sales_dataset_1_!U339)</f>
        <v>31.302</v>
      </c>
    </row>
    <row r="342" spans="6:9">
      <c r="F342" s="12" t="s">
        <v>1548</v>
      </c>
      <c r="G342" s="13">
        <f>AVERAGE(Superstores_sales_dataset_1_!R340)</f>
        <v>149.352</v>
      </c>
      <c r="H342" s="14">
        <v>0.2</v>
      </c>
      <c r="I342" s="25">
        <f>SUM(Superstores_sales_dataset_1_!R340,Superstores_sales_dataset_1_!U340)</f>
        <v>199.7583</v>
      </c>
    </row>
    <row r="343" spans="6:9">
      <c r="F343" s="12" t="s">
        <v>1552</v>
      </c>
      <c r="G343" s="13">
        <f>AVERAGE(Superstores_sales_dataset_1_!R341)</f>
        <v>85.14</v>
      </c>
      <c r="H343" s="14">
        <v>0</v>
      </c>
      <c r="I343" s="25">
        <f>SUM(Superstores_sales_dataset_1_!R341,Superstores_sales_dataset_1_!U341)</f>
        <v>120.0474</v>
      </c>
    </row>
    <row r="344" spans="6:9">
      <c r="F344" s="12" t="s">
        <v>342</v>
      </c>
      <c r="G344" s="13">
        <f>AVERAGE(Superstores_sales_dataset_1_!R342)</f>
        <v>841.568</v>
      </c>
      <c r="H344" s="14">
        <v>0.2</v>
      </c>
      <c r="I344" s="25">
        <f>SUM(Superstores_sales_dataset_1_!R342,Superstores_sales_dataset_1_!U342)</f>
        <v>1136.1168</v>
      </c>
    </row>
    <row r="345" spans="6:9">
      <c r="F345" s="12" t="s">
        <v>1558</v>
      </c>
      <c r="G345" s="13">
        <f>AVERAGE(Superstores_sales_dataset_1_!R343)</f>
        <v>15.552</v>
      </c>
      <c r="H345" s="14">
        <v>0.2</v>
      </c>
      <c r="I345" s="25">
        <f>SUM(Superstores_sales_dataset_1_!R343,Superstores_sales_dataset_1_!U343)</f>
        <v>20.9952</v>
      </c>
    </row>
    <row r="346" spans="6:9">
      <c r="F346" s="12" t="s">
        <v>1562</v>
      </c>
      <c r="G346" s="13">
        <f>AVERAGE(Superstores_sales_dataset_1_!R344)</f>
        <v>46.2</v>
      </c>
      <c r="H346" s="14">
        <v>0</v>
      </c>
      <c r="I346" s="25">
        <f>SUM(Superstores_sales_dataset_1_!R344,Superstores_sales_dataset_1_!U344)</f>
        <v>59.136</v>
      </c>
    </row>
    <row r="347" spans="6:9">
      <c r="F347" s="12" t="s">
        <v>1566</v>
      </c>
      <c r="G347" s="13">
        <f>AVERAGE(Superstores_sales_dataset_1_!R345)</f>
        <v>12.192</v>
      </c>
      <c r="H347" s="14">
        <v>0.2</v>
      </c>
      <c r="I347" s="25">
        <f>SUM(Superstores_sales_dataset_1_!R345,Superstores_sales_dataset_1_!U345)</f>
        <v>16.3068</v>
      </c>
    </row>
    <row r="348" spans="6:9">
      <c r="F348" s="12" t="s">
        <v>1570</v>
      </c>
      <c r="G348" s="13">
        <f>AVERAGE(Superstores_sales_dataset_1_!R346)</f>
        <v>45.056</v>
      </c>
      <c r="H348" s="14">
        <v>0.2</v>
      </c>
      <c r="I348" s="25">
        <f>SUM(Superstores_sales_dataset_1_!R346,Superstores_sales_dataset_1_!U346)</f>
        <v>60.2624</v>
      </c>
    </row>
    <row r="349" spans="6:9">
      <c r="F349" s="12" t="s">
        <v>1575</v>
      </c>
      <c r="G349" s="13">
        <f>AVERAGE(Superstores_sales_dataset_1_!R347)</f>
        <v>12.96</v>
      </c>
      <c r="H349" s="14">
        <v>0</v>
      </c>
      <c r="I349" s="25">
        <f>SUM(Superstores_sales_dataset_1_!R347,Superstores_sales_dataset_1_!U347)</f>
        <v>19.1808</v>
      </c>
    </row>
    <row r="350" spans="6:9">
      <c r="F350" s="12" t="s">
        <v>1579</v>
      </c>
      <c r="G350" s="13">
        <f>AVERAGE(Superstores_sales_dataset_1_!R348)</f>
        <v>17.12</v>
      </c>
      <c r="H350" s="14">
        <v>0</v>
      </c>
      <c r="I350" s="25">
        <f>SUM(Superstores_sales_dataset_1_!R348,Superstores_sales_dataset_1_!U348)</f>
        <v>25.1664</v>
      </c>
    </row>
    <row r="351" spans="6:9">
      <c r="F351" s="12" t="s">
        <v>1583</v>
      </c>
      <c r="G351" s="13">
        <f>AVERAGE(Superstores_sales_dataset_1_!R349)</f>
        <v>25.472</v>
      </c>
      <c r="H351" s="14">
        <v>0.2</v>
      </c>
      <c r="I351" s="25">
        <f>SUM(Superstores_sales_dataset_1_!R349,Superstores_sales_dataset_1_!U349)</f>
        <v>33.1136</v>
      </c>
    </row>
    <row r="352" spans="6:9">
      <c r="F352" s="12" t="s">
        <v>1588</v>
      </c>
      <c r="G352" s="13">
        <f>AVERAGE(Superstores_sales_dataset_1_!R350)</f>
        <v>27.168</v>
      </c>
      <c r="H352" s="14">
        <v>0.2</v>
      </c>
      <c r="I352" s="25">
        <f>SUM(Superstores_sales_dataset_1_!R350,Superstores_sales_dataset_1_!U350)</f>
        <v>29.8848</v>
      </c>
    </row>
    <row r="353" spans="6:9">
      <c r="F353" s="12" t="s">
        <v>202</v>
      </c>
      <c r="G353" s="13">
        <f>AVERAGE(Superstores_sales_dataset_1_!R351)</f>
        <v>173.8</v>
      </c>
      <c r="H353" s="14">
        <v>0</v>
      </c>
      <c r="I353" s="25">
        <f>SUM(Superstores_sales_dataset_1_!R351,Superstores_sales_dataset_1_!U351)</f>
        <v>217.25</v>
      </c>
    </row>
    <row r="354" spans="6:9">
      <c r="F354" s="12" t="s">
        <v>1594</v>
      </c>
      <c r="G354" s="13">
        <f>AVERAGE(Superstores_sales_dataset_1_!R352)</f>
        <v>29.592</v>
      </c>
      <c r="H354" s="14">
        <v>0.2</v>
      </c>
      <c r="I354" s="25">
        <f>SUM(Superstores_sales_dataset_1_!R352,Superstores_sales_dataset_1_!U352)</f>
        <v>32.1813</v>
      </c>
    </row>
    <row r="355" spans="6:9">
      <c r="F355" s="12" t="s">
        <v>1598</v>
      </c>
      <c r="G355" s="13">
        <f>AVERAGE(Superstores_sales_dataset_1_!R353)</f>
        <v>204.6</v>
      </c>
      <c r="H355" s="14">
        <v>0</v>
      </c>
      <c r="I355" s="25">
        <f>SUM(Superstores_sales_dataset_1_!R353,Superstores_sales_dataset_1_!U353)</f>
        <v>257.796</v>
      </c>
    </row>
    <row r="356" spans="6:9">
      <c r="F356" s="12" t="s">
        <v>585</v>
      </c>
      <c r="G356" s="13">
        <f>AVERAGE(Superstores_sales_dataset_1_!R354)</f>
        <v>321.568</v>
      </c>
      <c r="H356" s="14">
        <v>0.2</v>
      </c>
      <c r="I356" s="25">
        <f>SUM(Superstores_sales_dataset_1_!R354,Superstores_sales_dataset_1_!U354)</f>
        <v>349.7052</v>
      </c>
    </row>
    <row r="357" spans="6:9">
      <c r="F357" s="12" t="s">
        <v>1604</v>
      </c>
      <c r="G357" s="13">
        <f>AVERAGE(Superstores_sales_dataset_1_!R355)</f>
        <v>6.24</v>
      </c>
      <c r="H357" s="14">
        <v>0</v>
      </c>
      <c r="I357" s="25">
        <f>SUM(Superstores_sales_dataset_1_!R355,Superstores_sales_dataset_1_!U355)</f>
        <v>9.2976</v>
      </c>
    </row>
    <row r="358" spans="6:9">
      <c r="F358" s="12" t="s">
        <v>1608</v>
      </c>
      <c r="G358" s="13">
        <f>AVERAGE(Superstores_sales_dataset_1_!R356)</f>
        <v>9.82</v>
      </c>
      <c r="H358" s="14">
        <v>0</v>
      </c>
      <c r="I358" s="25">
        <f>SUM(Superstores_sales_dataset_1_!R356,Superstores_sales_dataset_1_!U356)</f>
        <v>14.6318</v>
      </c>
    </row>
    <row r="359" spans="6:9">
      <c r="F359" s="12" t="s">
        <v>1142</v>
      </c>
      <c r="G359" s="13">
        <f>AVERAGE(Superstores_sales_dataset_1_!R357)</f>
        <v>3.282</v>
      </c>
      <c r="H359" s="14">
        <v>0.7</v>
      </c>
      <c r="I359" s="25">
        <f>SUM(Superstores_sales_dataset_1_!R357,Superstores_sales_dataset_1_!U357)</f>
        <v>0.6564</v>
      </c>
    </row>
    <row r="360" spans="6:9">
      <c r="F360" s="12" t="s">
        <v>1614</v>
      </c>
      <c r="G360" s="13">
        <f>AVERAGE(Superstores_sales_dataset_1_!R358)</f>
        <v>3.392</v>
      </c>
      <c r="H360" s="14">
        <v>0.2</v>
      </c>
      <c r="I360" s="25">
        <f>SUM(Superstores_sales_dataset_1_!R358,Superstores_sales_dataset_1_!U358)</f>
        <v>4.1976</v>
      </c>
    </row>
    <row r="361" spans="6:9">
      <c r="F361" s="12" t="s">
        <v>1400</v>
      </c>
      <c r="G361" s="13">
        <f>AVERAGE(Superstores_sales_dataset_1_!R359)</f>
        <v>7.968</v>
      </c>
      <c r="H361" s="14">
        <v>0.2</v>
      </c>
      <c r="I361" s="25">
        <f>SUM(Superstores_sales_dataset_1_!R359,Superstores_sales_dataset_1_!U359)</f>
        <v>10.5576</v>
      </c>
    </row>
    <row r="362" spans="6:9">
      <c r="F362" s="12" t="s">
        <v>1620</v>
      </c>
      <c r="G362" s="13">
        <f>AVERAGE(Superstores_sales_dataset_1_!R360)</f>
        <v>1.112</v>
      </c>
      <c r="H362" s="14">
        <v>0.8</v>
      </c>
      <c r="I362" s="25">
        <f>SUM(Superstores_sales_dataset_1_!R360,Superstores_sales_dataset_1_!U360)</f>
        <v>-0.7784</v>
      </c>
    </row>
    <row r="363" spans="6:9">
      <c r="F363" s="12" t="s">
        <v>1624</v>
      </c>
      <c r="G363" s="13">
        <f>AVERAGE(Superstores_sales_dataset_1_!R361)</f>
        <v>1166.92</v>
      </c>
      <c r="H363" s="14">
        <v>0.2</v>
      </c>
      <c r="I363" s="25">
        <f>SUM(Superstores_sales_dataset_1_!R361,Superstores_sales_dataset_1_!U361)</f>
        <v>1298.1985</v>
      </c>
    </row>
    <row r="364" spans="6:9">
      <c r="F364" s="12" t="s">
        <v>1629</v>
      </c>
      <c r="G364" s="13">
        <f>AVERAGE(Superstores_sales_dataset_1_!R362)</f>
        <v>2715.93</v>
      </c>
      <c r="H364" s="14">
        <v>0</v>
      </c>
      <c r="I364" s="25">
        <f>SUM(Superstores_sales_dataset_1_!R362,Superstores_sales_dataset_1_!U362)</f>
        <v>3992.4171</v>
      </c>
    </row>
    <row r="365" spans="6:9">
      <c r="F365" s="12" t="s">
        <v>1633</v>
      </c>
      <c r="G365" s="13">
        <f>AVERAGE(Superstores_sales_dataset_1_!R363)</f>
        <v>10.67</v>
      </c>
      <c r="H365" s="14">
        <v>0</v>
      </c>
      <c r="I365" s="25">
        <f>SUM(Superstores_sales_dataset_1_!R363,Superstores_sales_dataset_1_!U363)</f>
        <v>15.5782</v>
      </c>
    </row>
    <row r="366" spans="6:9">
      <c r="F366" s="12" t="s">
        <v>1638</v>
      </c>
      <c r="G366" s="13">
        <f>AVERAGE(Superstores_sales_dataset_1_!R364)</f>
        <v>484.65</v>
      </c>
      <c r="H366" s="14">
        <v>0</v>
      </c>
      <c r="I366" s="25">
        <f>SUM(Superstores_sales_dataset_1_!R364,Superstores_sales_dataset_1_!U364)</f>
        <v>576.7335</v>
      </c>
    </row>
    <row r="367" spans="6:9">
      <c r="F367" s="12" t="s">
        <v>1642</v>
      </c>
      <c r="G367" s="13">
        <f>AVERAGE(Superstores_sales_dataset_1_!R365)</f>
        <v>7.08</v>
      </c>
      <c r="H367" s="14">
        <v>0.2</v>
      </c>
      <c r="I367" s="25">
        <f>SUM(Superstores_sales_dataset_1_!R365,Superstores_sales_dataset_1_!U365)</f>
        <v>9.558</v>
      </c>
    </row>
    <row r="368" spans="6:9">
      <c r="F368" s="12" t="s">
        <v>1646</v>
      </c>
      <c r="G368" s="13">
        <f>AVERAGE(Superstores_sales_dataset_1_!R366)</f>
        <v>151.72</v>
      </c>
      <c r="H368" s="14">
        <v>0</v>
      </c>
      <c r="I368" s="25">
        <f>SUM(Superstores_sales_dataset_1_!R366,Superstores_sales_dataset_1_!U366)</f>
        <v>179.0296</v>
      </c>
    </row>
    <row r="369" spans="6:9">
      <c r="F369" s="12" t="s">
        <v>1650</v>
      </c>
      <c r="G369" s="13">
        <f>AVERAGE(Superstores_sales_dataset_1_!R367)</f>
        <v>1618.37</v>
      </c>
      <c r="H369" s="14">
        <v>0</v>
      </c>
      <c r="I369" s="25">
        <f>SUM(Superstores_sales_dataset_1_!R367,Superstores_sales_dataset_1_!U367)</f>
        <v>1974.4114</v>
      </c>
    </row>
    <row r="370" spans="6:9">
      <c r="F370" s="12" t="s">
        <v>1654</v>
      </c>
      <c r="G370" s="13">
        <f>AVERAGE(Superstores_sales_dataset_1_!R368)</f>
        <v>13.96</v>
      </c>
      <c r="H370" s="14">
        <v>0</v>
      </c>
      <c r="I370" s="25">
        <f>SUM(Superstores_sales_dataset_1_!R368,Superstores_sales_dataset_1_!U368)</f>
        <v>20.6608</v>
      </c>
    </row>
    <row r="371" spans="6:9">
      <c r="F371" s="12" t="s">
        <v>1658</v>
      </c>
      <c r="G371" s="13">
        <f>AVERAGE(Superstores_sales_dataset_1_!R369)</f>
        <v>11.808</v>
      </c>
      <c r="H371" s="14">
        <v>0.2</v>
      </c>
      <c r="I371" s="25">
        <f>SUM(Superstores_sales_dataset_1_!R369,Superstores_sales_dataset_1_!U369)</f>
        <v>16.0884</v>
      </c>
    </row>
    <row r="372" spans="6:9">
      <c r="F372" s="12" t="s">
        <v>1662</v>
      </c>
      <c r="G372" s="13">
        <f>AVERAGE(Superstores_sales_dataset_1_!R370)</f>
        <v>15.552</v>
      </c>
      <c r="H372" s="14">
        <v>0.2</v>
      </c>
      <c r="I372" s="25">
        <f>SUM(Superstores_sales_dataset_1_!R370,Superstores_sales_dataset_1_!U370)</f>
        <v>20.9952</v>
      </c>
    </row>
    <row r="373" spans="6:9">
      <c r="F373" s="12" t="s">
        <v>1666</v>
      </c>
      <c r="G373" s="13">
        <f>AVERAGE(Superstores_sales_dataset_1_!R371)</f>
        <v>15.696</v>
      </c>
      <c r="H373" s="14">
        <v>0.2</v>
      </c>
      <c r="I373" s="25">
        <f>SUM(Superstores_sales_dataset_1_!R371,Superstores_sales_dataset_1_!U371)</f>
        <v>20.7972</v>
      </c>
    </row>
    <row r="374" spans="6:9">
      <c r="F374" s="12" t="s">
        <v>1670</v>
      </c>
      <c r="G374" s="13">
        <f>AVERAGE(Superstores_sales_dataset_1_!R372)</f>
        <v>36.624</v>
      </c>
      <c r="H374" s="14">
        <v>0.2</v>
      </c>
      <c r="I374" s="25">
        <f>SUM(Superstores_sales_dataset_1_!R372,Superstores_sales_dataset_1_!U372)</f>
        <v>50.358</v>
      </c>
    </row>
    <row r="375" spans="6:9">
      <c r="F375" s="12" t="s">
        <v>1674</v>
      </c>
      <c r="G375" s="13">
        <f>AVERAGE(Superstores_sales_dataset_1_!R373)</f>
        <v>23.968</v>
      </c>
      <c r="H375" s="14">
        <v>0.2</v>
      </c>
      <c r="I375" s="25">
        <f>SUM(Superstores_sales_dataset_1_!R373,Superstores_sales_dataset_1_!U373)</f>
        <v>26.6644</v>
      </c>
    </row>
    <row r="376" spans="6:9">
      <c r="F376" s="12" t="s">
        <v>1679</v>
      </c>
      <c r="G376" s="13">
        <f>AVERAGE(Superstores_sales_dataset_1_!R374)</f>
        <v>697.16</v>
      </c>
      <c r="H376" s="14">
        <v>0</v>
      </c>
      <c r="I376" s="25">
        <f>SUM(Superstores_sales_dataset_1_!R374,Superstores_sales_dataset_1_!U374)</f>
        <v>843.5636</v>
      </c>
    </row>
    <row r="377" spans="6:9">
      <c r="F377" s="12" t="s">
        <v>1683</v>
      </c>
      <c r="G377" s="13">
        <f>AVERAGE(Superstores_sales_dataset_1_!R375)</f>
        <v>31.86</v>
      </c>
      <c r="H377" s="14">
        <v>0</v>
      </c>
      <c r="I377" s="25">
        <f>SUM(Superstores_sales_dataset_1_!R375,Superstores_sales_dataset_1_!U375)</f>
        <v>43.011</v>
      </c>
    </row>
    <row r="378" spans="6:9">
      <c r="F378" s="12" t="s">
        <v>1687</v>
      </c>
      <c r="G378" s="13">
        <f>AVERAGE(Superstores_sales_dataset_1_!R376)</f>
        <v>8.84</v>
      </c>
      <c r="H378" s="14">
        <v>0.2</v>
      </c>
      <c r="I378" s="25">
        <f>SUM(Superstores_sales_dataset_1_!R376,Superstores_sales_dataset_1_!U376)</f>
        <v>11.8235</v>
      </c>
    </row>
    <row r="379" spans="6:9">
      <c r="F379" s="12" t="s">
        <v>1691</v>
      </c>
      <c r="G379" s="13">
        <f>AVERAGE(Superstores_sales_dataset_1_!R377)</f>
        <v>168.464</v>
      </c>
      <c r="H379" s="14">
        <v>0.2</v>
      </c>
      <c r="I379" s="25">
        <f>SUM(Superstores_sales_dataset_1_!R377,Superstores_sales_dataset_1_!U377)</f>
        <v>138.9828</v>
      </c>
    </row>
    <row r="380" spans="6:9">
      <c r="F380" s="12" t="s">
        <v>1695</v>
      </c>
      <c r="G380" s="13">
        <f>AVERAGE(Superstores_sales_dataset_1_!R378)</f>
        <v>11.16</v>
      </c>
      <c r="H380" s="14">
        <v>0</v>
      </c>
      <c r="I380" s="25">
        <f>SUM(Superstores_sales_dataset_1_!R378,Superstores_sales_dataset_1_!U378)</f>
        <v>15.5124</v>
      </c>
    </row>
    <row r="381" spans="6:9">
      <c r="F381" s="12" t="s">
        <v>1699</v>
      </c>
      <c r="G381" s="13">
        <f>AVERAGE(Superstores_sales_dataset_1_!R379)</f>
        <v>4.416</v>
      </c>
      <c r="H381" s="14">
        <v>0.2</v>
      </c>
      <c r="I381" s="25">
        <f>SUM(Superstores_sales_dataset_1_!R379,Superstores_sales_dataset_1_!U379)</f>
        <v>6.0168</v>
      </c>
    </row>
    <row r="382" spans="6:9">
      <c r="F382" s="12" t="s">
        <v>1704</v>
      </c>
      <c r="G382" s="13">
        <f>AVERAGE(Superstores_sales_dataset_1_!R380)</f>
        <v>45.216</v>
      </c>
      <c r="H382" s="14">
        <v>0.2</v>
      </c>
      <c r="I382" s="25">
        <f>SUM(Superstores_sales_dataset_1_!R380,Superstores_sales_dataset_1_!U380)</f>
        <v>49.7376</v>
      </c>
    </row>
    <row r="383" spans="6:9">
      <c r="F383" s="12" t="s">
        <v>211</v>
      </c>
      <c r="G383" s="13">
        <f>AVERAGE(Superstores_sales_dataset_1_!R381)</f>
        <v>194.848</v>
      </c>
      <c r="H383" s="14">
        <v>0.2</v>
      </c>
      <c r="I383" s="25">
        <f>SUM(Superstores_sales_dataset_1_!R381,Superstores_sales_dataset_1_!U381)</f>
        <v>207.026</v>
      </c>
    </row>
    <row r="384" spans="6:9">
      <c r="F384" s="12" t="s">
        <v>1481</v>
      </c>
      <c r="G384" s="13">
        <f>AVERAGE(Superstores_sales_dataset_1_!R382)</f>
        <v>1.744</v>
      </c>
      <c r="H384" s="14">
        <v>0.2</v>
      </c>
      <c r="I384" s="25">
        <f>SUM(Superstores_sales_dataset_1_!R382,Superstores_sales_dataset_1_!U382)</f>
        <v>1.3952</v>
      </c>
    </row>
    <row r="385" spans="6:9">
      <c r="F385" s="12" t="s">
        <v>1714</v>
      </c>
      <c r="G385" s="13">
        <f>AVERAGE(Superstores_sales_dataset_1_!R383)</f>
        <v>19.46</v>
      </c>
      <c r="H385" s="14">
        <v>0</v>
      </c>
      <c r="I385" s="25">
        <f>SUM(Superstores_sales_dataset_1_!R383,Superstores_sales_dataset_1_!U383)</f>
        <v>24.5196</v>
      </c>
    </row>
    <row r="386" spans="6:9">
      <c r="F386" s="12" t="s">
        <v>1718</v>
      </c>
      <c r="G386" s="13">
        <f>AVERAGE(Superstores_sales_dataset_1_!R384)</f>
        <v>29.472</v>
      </c>
      <c r="H386" s="14">
        <v>0.2</v>
      </c>
      <c r="I386" s="25">
        <f>SUM(Superstores_sales_dataset_1_!R384,Superstores_sales_dataset_1_!U384)</f>
        <v>39.4188</v>
      </c>
    </row>
    <row r="387" spans="6:9">
      <c r="F387" s="12" t="s">
        <v>1722</v>
      </c>
      <c r="G387" s="13">
        <f>AVERAGE(Superstores_sales_dataset_1_!R385)</f>
        <v>8.64</v>
      </c>
      <c r="H387" s="14">
        <v>0.2</v>
      </c>
      <c r="I387" s="25">
        <f>SUM(Superstores_sales_dataset_1_!R385,Superstores_sales_dataset_1_!U385)</f>
        <v>11.664</v>
      </c>
    </row>
    <row r="388" spans="6:9">
      <c r="F388" s="12" t="s">
        <v>1726</v>
      </c>
      <c r="G388" s="13">
        <f>AVERAGE(Superstores_sales_dataset_1_!R386)</f>
        <v>6.27</v>
      </c>
      <c r="H388" s="14">
        <v>0.7</v>
      </c>
      <c r="I388" s="25">
        <f>SUM(Superstores_sales_dataset_1_!R386,Superstores_sales_dataset_1_!U386)</f>
        <v>1.672</v>
      </c>
    </row>
    <row r="389" spans="6:9">
      <c r="F389" s="12" t="s">
        <v>1730</v>
      </c>
      <c r="G389" s="13">
        <f>AVERAGE(Superstores_sales_dataset_1_!R387)</f>
        <v>40.88</v>
      </c>
      <c r="H389" s="14">
        <v>0</v>
      </c>
      <c r="I389" s="25">
        <f>SUM(Superstores_sales_dataset_1_!R387,Superstores_sales_dataset_1_!U387)</f>
        <v>51.5088</v>
      </c>
    </row>
    <row r="390" spans="6:9">
      <c r="F390" s="12" t="s">
        <v>1734</v>
      </c>
      <c r="G390" s="13">
        <f>AVERAGE(Superstores_sales_dataset_1_!R388)</f>
        <v>119.96</v>
      </c>
      <c r="H390" s="14">
        <v>0</v>
      </c>
      <c r="I390" s="25">
        <f>SUM(Superstores_sales_dataset_1_!R388,Superstores_sales_dataset_1_!U388)</f>
        <v>153.5488</v>
      </c>
    </row>
    <row r="391" spans="6:9">
      <c r="F391" s="12" t="s">
        <v>138</v>
      </c>
      <c r="G391" s="13">
        <f>AVERAGE(Superstores_sales_dataset_1_!R389)</f>
        <v>19.92</v>
      </c>
      <c r="H391" s="14">
        <v>0</v>
      </c>
      <c r="I391" s="25">
        <f>SUM(Superstores_sales_dataset_1_!R389,Superstores_sales_dataset_1_!U389)</f>
        <v>29.2824</v>
      </c>
    </row>
    <row r="392" spans="6:9">
      <c r="F392" s="12" t="s">
        <v>1742</v>
      </c>
      <c r="G392" s="13">
        <f>AVERAGE(Superstores_sales_dataset_1_!R390)</f>
        <v>71.976</v>
      </c>
      <c r="H392" s="14">
        <v>0.2</v>
      </c>
      <c r="I392" s="25">
        <f>SUM(Superstores_sales_dataset_1_!R390,Superstores_sales_dataset_1_!U390)</f>
        <v>79.1736</v>
      </c>
    </row>
    <row r="393" spans="6:9">
      <c r="F393" s="12" t="s">
        <v>1747</v>
      </c>
      <c r="G393" s="13">
        <f>AVERAGE(Superstores_sales_dataset_1_!R391)</f>
        <v>28.9</v>
      </c>
      <c r="H393" s="14">
        <v>0</v>
      </c>
      <c r="I393" s="25">
        <f>SUM(Superstores_sales_dataset_1_!R391,Superstores_sales_dataset_1_!U391)</f>
        <v>43.061</v>
      </c>
    </row>
    <row r="394" spans="6:9">
      <c r="F394" s="12" t="s">
        <v>1751</v>
      </c>
      <c r="G394" s="13">
        <f>AVERAGE(Superstores_sales_dataset_1_!R392)</f>
        <v>348.208</v>
      </c>
      <c r="H394" s="14">
        <v>0.2</v>
      </c>
      <c r="I394" s="25">
        <f>SUM(Superstores_sales_dataset_1_!R392,Superstores_sales_dataset_1_!U392)</f>
        <v>378.6762</v>
      </c>
    </row>
    <row r="395" spans="6:9">
      <c r="F395" s="12" t="s">
        <v>1755</v>
      </c>
      <c r="G395" s="13">
        <f>AVERAGE(Superstores_sales_dataset_1_!R393)</f>
        <v>7.04</v>
      </c>
      <c r="H395" s="14">
        <v>0</v>
      </c>
      <c r="I395" s="25">
        <f>SUM(Superstores_sales_dataset_1_!R393,Superstores_sales_dataset_1_!U393)</f>
        <v>9.0816</v>
      </c>
    </row>
    <row r="396" spans="6:9">
      <c r="F396" s="12" t="s">
        <v>1759</v>
      </c>
      <c r="G396" s="13">
        <f>AVERAGE(Superstores_sales_dataset_1_!R394)</f>
        <v>22.92</v>
      </c>
      <c r="H396" s="14">
        <v>0</v>
      </c>
      <c r="I396" s="25">
        <f>SUM(Superstores_sales_dataset_1_!R394,Superstores_sales_dataset_1_!U394)</f>
        <v>34.1508</v>
      </c>
    </row>
    <row r="397" spans="6:9">
      <c r="F397" s="12" t="s">
        <v>1763</v>
      </c>
      <c r="G397" s="13">
        <f>AVERAGE(Superstores_sales_dataset_1_!R395)</f>
        <v>6.3</v>
      </c>
      <c r="H397" s="14">
        <v>0</v>
      </c>
      <c r="I397" s="25">
        <f>SUM(Superstores_sales_dataset_1_!R395,Superstores_sales_dataset_1_!U395)</f>
        <v>9.324</v>
      </c>
    </row>
    <row r="398" spans="6:9">
      <c r="F398" s="12" t="s">
        <v>1767</v>
      </c>
      <c r="G398" s="13">
        <f>AVERAGE(Superstores_sales_dataset_1_!R396)</f>
        <v>279.9</v>
      </c>
      <c r="H398" s="14">
        <v>0</v>
      </c>
      <c r="I398" s="25">
        <f>SUM(Superstores_sales_dataset_1_!R396,Superstores_sales_dataset_1_!U396)</f>
        <v>417.051</v>
      </c>
    </row>
    <row r="399" spans="6:9">
      <c r="F399" s="12" t="s">
        <v>1772</v>
      </c>
      <c r="G399" s="13">
        <f>AVERAGE(Superstores_sales_dataset_1_!R397)</f>
        <v>287.52</v>
      </c>
      <c r="H399" s="14">
        <v>0</v>
      </c>
      <c r="I399" s="25">
        <f>SUM(Superstores_sales_dataset_1_!R397,Superstores_sales_dataset_1_!U397)</f>
        <v>416.904</v>
      </c>
    </row>
    <row r="400" spans="6:9">
      <c r="F400" s="12" t="s">
        <v>1777</v>
      </c>
      <c r="G400" s="13">
        <f>AVERAGE(Superstores_sales_dataset_1_!R398)</f>
        <v>644.076</v>
      </c>
      <c r="H400" s="14">
        <v>0.1</v>
      </c>
      <c r="I400" s="25">
        <f>SUM(Superstores_sales_dataset_1_!R398,Superstores_sales_dataset_1_!U398)</f>
        <v>751.422</v>
      </c>
    </row>
    <row r="401" spans="6:9">
      <c r="F401" s="12" t="s">
        <v>1781</v>
      </c>
      <c r="G401" s="13">
        <f>AVERAGE(Superstores_sales_dataset_1_!R399)</f>
        <v>362.94</v>
      </c>
      <c r="H401" s="14">
        <v>0</v>
      </c>
      <c r="I401" s="25">
        <f>SUM(Superstores_sales_dataset_1_!R399,Superstores_sales_dataset_1_!U399)</f>
        <v>453.675</v>
      </c>
    </row>
    <row r="402" spans="6:9">
      <c r="F402" s="12" t="s">
        <v>1786</v>
      </c>
      <c r="G402" s="13">
        <f>AVERAGE(Superstores_sales_dataset_1_!R400)</f>
        <v>53.94</v>
      </c>
      <c r="H402" s="14">
        <v>0</v>
      </c>
      <c r="I402" s="25">
        <f>SUM(Superstores_sales_dataset_1_!R400,Superstores_sales_dataset_1_!U400)</f>
        <v>69.5826</v>
      </c>
    </row>
    <row r="403" spans="6:9">
      <c r="F403" s="12" t="s">
        <v>1790</v>
      </c>
      <c r="G403" s="13">
        <f>AVERAGE(Superstores_sales_dataset_1_!R401)</f>
        <v>9.99</v>
      </c>
      <c r="H403" s="14">
        <v>0</v>
      </c>
      <c r="I403" s="25">
        <f>SUM(Superstores_sales_dataset_1_!R401,Superstores_sales_dataset_1_!U401)</f>
        <v>14.5854</v>
      </c>
    </row>
    <row r="404" spans="6:9">
      <c r="F404" s="12" t="s">
        <v>1450</v>
      </c>
      <c r="G404" s="13">
        <f>AVERAGE(Superstores_sales_dataset_1_!R402)</f>
        <v>46.8</v>
      </c>
      <c r="H404" s="14">
        <v>0</v>
      </c>
      <c r="I404" s="25">
        <f>SUM(Superstores_sales_dataset_1_!R402,Superstores_sales_dataset_1_!U402)</f>
        <v>67.86</v>
      </c>
    </row>
    <row r="405" spans="6:9">
      <c r="F405" s="12" t="s">
        <v>1796</v>
      </c>
      <c r="G405" s="13">
        <f>AVERAGE(Superstores_sales_dataset_1_!R403)</f>
        <v>11.56</v>
      </c>
      <c r="H405" s="14">
        <v>0</v>
      </c>
      <c r="I405" s="25">
        <f>SUM(Superstores_sales_dataset_1_!R403,Superstores_sales_dataset_1_!U403)</f>
        <v>16.9932</v>
      </c>
    </row>
    <row r="406" spans="6:9">
      <c r="F406" s="12" t="s">
        <v>1800</v>
      </c>
      <c r="G406" s="13">
        <f>AVERAGE(Superstores_sales_dataset_1_!R404)</f>
        <v>258.696</v>
      </c>
      <c r="H406" s="14">
        <v>0.2</v>
      </c>
      <c r="I406" s="25">
        <f>SUM(Superstores_sales_dataset_1_!R404,Superstores_sales_dataset_1_!U404)</f>
        <v>323.37</v>
      </c>
    </row>
    <row r="407" spans="6:9">
      <c r="F407" s="12" t="s">
        <v>1804</v>
      </c>
      <c r="G407" s="13">
        <f>AVERAGE(Superstores_sales_dataset_1_!R405)</f>
        <v>12.096</v>
      </c>
      <c r="H407" s="14">
        <v>0.2</v>
      </c>
      <c r="I407" s="25">
        <f>SUM(Superstores_sales_dataset_1_!R405,Superstores_sales_dataset_1_!U405)</f>
        <v>16.3296</v>
      </c>
    </row>
    <row r="408" spans="6:9">
      <c r="F408" s="12" t="s">
        <v>1237</v>
      </c>
      <c r="G408" s="13">
        <f>AVERAGE(Superstores_sales_dataset_1_!R406)</f>
        <v>81.92</v>
      </c>
      <c r="H408" s="14">
        <v>0</v>
      </c>
      <c r="I408" s="25">
        <f>SUM(Superstores_sales_dataset_1_!R406,Superstores_sales_dataset_1_!U406)</f>
        <v>104.0384</v>
      </c>
    </row>
    <row r="409" spans="6:9">
      <c r="F409" s="12" t="s">
        <v>1810</v>
      </c>
      <c r="G409" s="13">
        <f>AVERAGE(Superstores_sales_dataset_1_!R407)</f>
        <v>271.96</v>
      </c>
      <c r="H409" s="14">
        <v>0.2</v>
      </c>
      <c r="I409" s="25">
        <f>SUM(Superstores_sales_dataset_1_!R407,Superstores_sales_dataset_1_!U407)</f>
        <v>288.9575</v>
      </c>
    </row>
    <row r="410" spans="6:9">
      <c r="F410" s="12" t="s">
        <v>1814</v>
      </c>
      <c r="G410" s="13">
        <f>AVERAGE(Superstores_sales_dataset_1_!R408)</f>
        <v>11.21</v>
      </c>
      <c r="H410" s="14">
        <v>0</v>
      </c>
      <c r="I410" s="25">
        <f>SUM(Superstores_sales_dataset_1_!R408,Superstores_sales_dataset_1_!U408)</f>
        <v>14.573</v>
      </c>
    </row>
    <row r="411" spans="6:9">
      <c r="F411" s="12" t="s">
        <v>565</v>
      </c>
      <c r="G411" s="13">
        <f>AVERAGE(Superstores_sales_dataset_1_!R409)</f>
        <v>141.372</v>
      </c>
      <c r="H411" s="14">
        <v>0.3</v>
      </c>
      <c r="I411" s="25">
        <f>SUM(Superstores_sales_dataset_1_!R409,Superstores_sales_dataset_1_!U409)</f>
        <v>92.9016</v>
      </c>
    </row>
    <row r="412" spans="6:9">
      <c r="F412" s="12" t="s">
        <v>103</v>
      </c>
      <c r="G412" s="13">
        <f>AVERAGE(Superstores_sales_dataset_1_!R410)</f>
        <v>249.75</v>
      </c>
      <c r="H412" s="14">
        <v>0</v>
      </c>
      <c r="I412" s="25">
        <f>SUM(Superstores_sales_dataset_1_!R410,Superstores_sales_dataset_1_!U410)</f>
        <v>294.705</v>
      </c>
    </row>
    <row r="413" spans="6:9">
      <c r="F413" s="12" t="s">
        <v>881</v>
      </c>
      <c r="G413" s="13">
        <f>AVERAGE(Superstores_sales_dataset_1_!R411)</f>
        <v>2.78</v>
      </c>
      <c r="H413" s="14">
        <v>0</v>
      </c>
      <c r="I413" s="25">
        <f>SUM(Superstores_sales_dataset_1_!R411,Superstores_sales_dataset_1_!U411)</f>
        <v>3.5028</v>
      </c>
    </row>
    <row r="414" spans="6:9">
      <c r="F414" s="12" t="s">
        <v>1825</v>
      </c>
      <c r="G414" s="13">
        <f>AVERAGE(Superstores_sales_dataset_1_!R412)</f>
        <v>839.988</v>
      </c>
      <c r="H414" s="14">
        <v>0.4</v>
      </c>
      <c r="I414" s="25">
        <f>SUM(Superstores_sales_dataset_1_!R412,Superstores_sales_dataset_1_!U412)</f>
        <v>909.987</v>
      </c>
    </row>
    <row r="415" spans="6:9">
      <c r="F415" s="12" t="s">
        <v>1829</v>
      </c>
      <c r="G415" s="13">
        <f>AVERAGE(Superstores_sales_dataset_1_!R413)</f>
        <v>12.35</v>
      </c>
      <c r="H415" s="14">
        <v>0</v>
      </c>
      <c r="I415" s="25">
        <f>SUM(Superstores_sales_dataset_1_!R413,Superstores_sales_dataset_1_!U413)</f>
        <v>17.784</v>
      </c>
    </row>
    <row r="416" spans="6:9">
      <c r="F416" s="12" t="s">
        <v>1834</v>
      </c>
      <c r="G416" s="13">
        <f>AVERAGE(Superstores_sales_dataset_1_!R414)</f>
        <v>48.69</v>
      </c>
      <c r="H416" s="14">
        <v>0</v>
      </c>
      <c r="I416" s="25">
        <f>SUM(Superstores_sales_dataset_1_!R414,Superstores_sales_dataset_1_!U414)</f>
        <v>72.5481</v>
      </c>
    </row>
    <row r="417" spans="6:9">
      <c r="F417" s="12" t="s">
        <v>1839</v>
      </c>
      <c r="G417" s="13">
        <f>AVERAGE(Superstores_sales_dataset_1_!R415)</f>
        <v>764.688</v>
      </c>
      <c r="H417" s="14">
        <v>0.2</v>
      </c>
      <c r="I417" s="25">
        <f>SUM(Superstores_sales_dataset_1_!R415,Superstores_sales_dataset_1_!U415)</f>
        <v>860.274</v>
      </c>
    </row>
    <row r="418" spans="6:9">
      <c r="F418" s="12" t="s">
        <v>1843</v>
      </c>
      <c r="G418" s="13">
        <f>AVERAGE(Superstores_sales_dataset_1_!R416)</f>
        <v>5.248</v>
      </c>
      <c r="H418" s="14">
        <v>0.2</v>
      </c>
      <c r="I418" s="25">
        <f>SUM(Superstores_sales_dataset_1_!R416,Superstores_sales_dataset_1_!U416)</f>
        <v>5.8384</v>
      </c>
    </row>
    <row r="419" spans="6:9">
      <c r="F419" s="12" t="s">
        <v>1847</v>
      </c>
      <c r="G419" s="13">
        <f>AVERAGE(Superstores_sales_dataset_1_!R417)</f>
        <v>863.88</v>
      </c>
      <c r="H419" s="14">
        <v>0.2</v>
      </c>
      <c r="I419" s="25">
        <f>SUM(Superstores_sales_dataset_1_!R417,Superstores_sales_dataset_1_!U417)</f>
        <v>971.865</v>
      </c>
    </row>
    <row r="420" spans="6:9">
      <c r="F420" s="12" t="s">
        <v>1852</v>
      </c>
      <c r="G420" s="13">
        <f>AVERAGE(Superstores_sales_dataset_1_!R418)</f>
        <v>17.616</v>
      </c>
      <c r="H420" s="14">
        <v>0.7</v>
      </c>
      <c r="I420" s="25">
        <f>SUM(Superstores_sales_dataset_1_!R418,Superstores_sales_dataset_1_!U418)</f>
        <v>3.5232</v>
      </c>
    </row>
    <row r="421" spans="6:9">
      <c r="F421" s="12" t="s">
        <v>400</v>
      </c>
      <c r="G421" s="13">
        <f>AVERAGE(Superstores_sales_dataset_1_!R419)</f>
        <v>69.9</v>
      </c>
      <c r="H421" s="14">
        <v>0</v>
      </c>
      <c r="I421" s="25">
        <f>SUM(Superstores_sales_dataset_1_!R419,Superstores_sales_dataset_1_!U419)</f>
        <v>88.773</v>
      </c>
    </row>
    <row r="422" spans="6:9">
      <c r="F422" s="12" t="s">
        <v>1858</v>
      </c>
      <c r="G422" s="13">
        <f>AVERAGE(Superstores_sales_dataset_1_!R420)</f>
        <v>6.57</v>
      </c>
      <c r="H422" s="14">
        <v>0</v>
      </c>
      <c r="I422" s="25">
        <f>SUM(Superstores_sales_dataset_1_!R420,Superstores_sales_dataset_1_!U420)</f>
        <v>8.3439</v>
      </c>
    </row>
    <row r="423" spans="6:9">
      <c r="F423" s="12" t="s">
        <v>1863</v>
      </c>
      <c r="G423" s="13">
        <f>AVERAGE(Superstores_sales_dataset_1_!R421)</f>
        <v>12.48</v>
      </c>
      <c r="H423" s="14">
        <v>0</v>
      </c>
      <c r="I423" s="25">
        <f>SUM(Superstores_sales_dataset_1_!R421,Superstores_sales_dataset_1_!U421)</f>
        <v>18.096</v>
      </c>
    </row>
    <row r="424" spans="6:9">
      <c r="F424" s="12" t="s">
        <v>1867</v>
      </c>
      <c r="G424" s="13">
        <f>AVERAGE(Superstores_sales_dataset_1_!R422)</f>
        <v>86.352</v>
      </c>
      <c r="H424" s="14">
        <v>0.2</v>
      </c>
      <c r="I424" s="25">
        <f>SUM(Superstores_sales_dataset_1_!R422,Superstores_sales_dataset_1_!U422)</f>
        <v>91.749</v>
      </c>
    </row>
    <row r="425" spans="6:9">
      <c r="F425" s="12" t="s">
        <v>1872</v>
      </c>
      <c r="G425" s="13">
        <f>AVERAGE(Superstores_sales_dataset_1_!R423)</f>
        <v>14.9</v>
      </c>
      <c r="H425" s="14">
        <v>0</v>
      </c>
      <c r="I425" s="25">
        <f>SUM(Superstores_sales_dataset_1_!R423,Superstores_sales_dataset_1_!U423)</f>
        <v>15.943</v>
      </c>
    </row>
    <row r="426" spans="6:9">
      <c r="F426" s="12" t="s">
        <v>1876</v>
      </c>
      <c r="G426" s="13">
        <f>AVERAGE(Superstores_sales_dataset_1_!R424)</f>
        <v>39.88</v>
      </c>
      <c r="H426" s="14">
        <v>0</v>
      </c>
      <c r="I426" s="25">
        <f>SUM(Superstores_sales_dataset_1_!R424,Superstores_sales_dataset_1_!U424)</f>
        <v>51.0464</v>
      </c>
    </row>
    <row r="427" spans="6:9">
      <c r="F427" s="12" t="s">
        <v>1881</v>
      </c>
      <c r="G427" s="13">
        <f>AVERAGE(Superstores_sales_dataset_1_!R425)</f>
        <v>845.728</v>
      </c>
      <c r="H427" s="14">
        <v>0.2</v>
      </c>
      <c r="I427" s="25">
        <f>SUM(Superstores_sales_dataset_1_!R425,Superstores_sales_dataset_1_!U425)</f>
        <v>930.3008</v>
      </c>
    </row>
    <row r="428" spans="6:9">
      <c r="F428" s="12" t="s">
        <v>1161</v>
      </c>
      <c r="G428" s="13">
        <f>AVERAGE(Superstores_sales_dataset_1_!R426)</f>
        <v>13.904</v>
      </c>
      <c r="H428" s="14">
        <v>0.2</v>
      </c>
      <c r="I428" s="25">
        <f>SUM(Superstores_sales_dataset_1_!R426,Superstores_sales_dataset_1_!U426)</f>
        <v>18.4228</v>
      </c>
    </row>
    <row r="429" spans="6:9">
      <c r="F429" s="12" t="s">
        <v>1887</v>
      </c>
      <c r="G429" s="13">
        <f>AVERAGE(Superstores_sales_dataset_1_!R427)</f>
        <v>114.95</v>
      </c>
      <c r="H429" s="14">
        <v>0</v>
      </c>
      <c r="I429" s="25">
        <f>SUM(Superstores_sales_dataset_1_!R427,Superstores_sales_dataset_1_!U427)</f>
        <v>117.249</v>
      </c>
    </row>
    <row r="430" spans="6:9">
      <c r="F430" s="12" t="s">
        <v>1891</v>
      </c>
      <c r="G430" s="13">
        <f>AVERAGE(Superstores_sales_dataset_1_!R428)</f>
        <v>61.96</v>
      </c>
      <c r="H430" s="14">
        <v>0</v>
      </c>
      <c r="I430" s="25">
        <f>SUM(Superstores_sales_dataset_1_!R428,Superstores_sales_dataset_1_!U428)</f>
        <v>66.2972</v>
      </c>
    </row>
    <row r="431" spans="6:9">
      <c r="F431" s="12" t="s">
        <v>1895</v>
      </c>
      <c r="G431" s="13">
        <f>AVERAGE(Superstores_sales_dataset_1_!R429)</f>
        <v>23.99</v>
      </c>
      <c r="H431" s="14">
        <v>0</v>
      </c>
      <c r="I431" s="25">
        <f>SUM(Superstores_sales_dataset_1_!R429,Superstores_sales_dataset_1_!U429)</f>
        <v>29.5077</v>
      </c>
    </row>
    <row r="432" spans="6:9">
      <c r="F432" s="12" t="s">
        <v>1899</v>
      </c>
      <c r="G432" s="13">
        <f>AVERAGE(Superstores_sales_dataset_1_!R430)</f>
        <v>38.88</v>
      </c>
      <c r="H432" s="14">
        <v>0</v>
      </c>
      <c r="I432" s="25">
        <f>SUM(Superstores_sales_dataset_1_!R430,Superstores_sales_dataset_1_!U430)</f>
        <v>57.5424</v>
      </c>
    </row>
    <row r="433" spans="6:9">
      <c r="F433" s="12" t="s">
        <v>1847</v>
      </c>
      <c r="G433" s="13">
        <f>AVERAGE(Superstores_sales_dataset_1_!R431)</f>
        <v>575.92</v>
      </c>
      <c r="H433" s="14">
        <v>0.2</v>
      </c>
      <c r="I433" s="25">
        <f>SUM(Superstores_sales_dataset_1_!R431,Superstores_sales_dataset_1_!U431)</f>
        <v>647.91</v>
      </c>
    </row>
    <row r="434" spans="6:9">
      <c r="F434" s="12" t="s">
        <v>1515</v>
      </c>
      <c r="G434" s="13">
        <f>AVERAGE(Superstores_sales_dataset_1_!R432)</f>
        <v>5.229</v>
      </c>
      <c r="H434" s="14">
        <v>0.7</v>
      </c>
      <c r="I434" s="25">
        <f>SUM(Superstores_sales_dataset_1_!R432,Superstores_sales_dataset_1_!U432)</f>
        <v>1.0458</v>
      </c>
    </row>
    <row r="435" spans="6:9">
      <c r="F435" s="12" t="s">
        <v>1909</v>
      </c>
      <c r="G435" s="13">
        <f>AVERAGE(Superstores_sales_dataset_1_!R433)</f>
        <v>72.8</v>
      </c>
      <c r="H435" s="14">
        <v>0</v>
      </c>
      <c r="I435" s="25">
        <f>SUM(Superstores_sales_dataset_1_!R433,Superstores_sales_dataset_1_!U433)</f>
        <v>92.456</v>
      </c>
    </row>
    <row r="436" spans="6:9">
      <c r="F436" s="12" t="s">
        <v>1913</v>
      </c>
      <c r="G436" s="13">
        <f>AVERAGE(Superstores_sales_dataset_1_!R434)</f>
        <v>10.816</v>
      </c>
      <c r="H436" s="14">
        <v>0.2</v>
      </c>
      <c r="I436" s="25">
        <f>SUM(Superstores_sales_dataset_1_!R434,Superstores_sales_dataset_1_!U434)</f>
        <v>14.3312</v>
      </c>
    </row>
    <row r="437" spans="6:9">
      <c r="F437" s="12" t="s">
        <v>1917</v>
      </c>
      <c r="G437" s="13">
        <f>AVERAGE(Superstores_sales_dataset_1_!R435)</f>
        <v>46.26</v>
      </c>
      <c r="H437" s="14">
        <v>0</v>
      </c>
      <c r="I437" s="25">
        <f>SUM(Superstores_sales_dataset_1_!R435,Superstores_sales_dataset_1_!U435)</f>
        <v>58.7502</v>
      </c>
    </row>
    <row r="438" spans="6:9">
      <c r="F438" s="12" t="s">
        <v>1921</v>
      </c>
      <c r="G438" s="13">
        <f>AVERAGE(Superstores_sales_dataset_1_!R436)</f>
        <v>11.34</v>
      </c>
      <c r="H438" s="14">
        <v>0</v>
      </c>
      <c r="I438" s="25">
        <f>SUM(Superstores_sales_dataset_1_!R436,Superstores_sales_dataset_1_!U436)</f>
        <v>16.8966</v>
      </c>
    </row>
    <row r="439" spans="6:9">
      <c r="F439" s="12" t="s">
        <v>1925</v>
      </c>
      <c r="G439" s="13">
        <f>AVERAGE(Superstores_sales_dataset_1_!R437)</f>
        <v>87.92</v>
      </c>
      <c r="H439" s="14">
        <v>0</v>
      </c>
      <c r="I439" s="25">
        <f>SUM(Superstores_sales_dataset_1_!R437,Superstores_sales_dataset_1_!U437)</f>
        <v>114.296</v>
      </c>
    </row>
    <row r="440" spans="6:9">
      <c r="F440" s="12" t="s">
        <v>1829</v>
      </c>
      <c r="G440" s="13">
        <f>AVERAGE(Superstores_sales_dataset_1_!R438)</f>
        <v>37.05</v>
      </c>
      <c r="H440" s="14">
        <v>0</v>
      </c>
      <c r="I440" s="25">
        <f>SUM(Superstores_sales_dataset_1_!R438,Superstores_sales_dataset_1_!U438)</f>
        <v>53.352</v>
      </c>
    </row>
    <row r="441" spans="6:9">
      <c r="F441" s="12" t="s">
        <v>1931</v>
      </c>
      <c r="G441" s="13">
        <f>AVERAGE(Superstores_sales_dataset_1_!R439)</f>
        <v>2.97</v>
      </c>
      <c r="H441" s="14">
        <v>0.4</v>
      </c>
      <c r="I441" s="25">
        <f>SUM(Superstores_sales_dataset_1_!R439,Superstores_sales_dataset_1_!U439)</f>
        <v>2.3265</v>
      </c>
    </row>
    <row r="442" spans="6:9">
      <c r="F442" s="12" t="s">
        <v>1935</v>
      </c>
      <c r="G442" s="13">
        <f>AVERAGE(Superstores_sales_dataset_1_!R440)</f>
        <v>1.08</v>
      </c>
      <c r="H442" s="14">
        <v>0.8</v>
      </c>
      <c r="I442" s="25">
        <f>SUM(Superstores_sales_dataset_1_!R440,Superstores_sales_dataset_1_!U440)</f>
        <v>-0.648</v>
      </c>
    </row>
    <row r="443" spans="6:9">
      <c r="F443" s="12" t="s">
        <v>1940</v>
      </c>
      <c r="G443" s="13">
        <f>AVERAGE(Superstores_sales_dataset_1_!R441)</f>
        <v>552.56</v>
      </c>
      <c r="H443" s="14">
        <v>0</v>
      </c>
      <c r="I443" s="25">
        <f>SUM(Superstores_sales_dataset_1_!R441,Superstores_sales_dataset_1_!U441)</f>
        <v>552.56</v>
      </c>
    </row>
    <row r="444" spans="6:9">
      <c r="F444" s="12" t="s">
        <v>1944</v>
      </c>
      <c r="G444" s="13">
        <f>AVERAGE(Superstores_sales_dataset_1_!R442)</f>
        <v>25.11</v>
      </c>
      <c r="H444" s="14">
        <v>0</v>
      </c>
      <c r="I444" s="25">
        <f>SUM(Superstores_sales_dataset_1_!R442,Superstores_sales_dataset_1_!U442)</f>
        <v>31.6386</v>
      </c>
    </row>
    <row r="445" spans="6:9">
      <c r="F445" s="12" t="s">
        <v>1948</v>
      </c>
      <c r="G445" s="13">
        <f>AVERAGE(Superstores_sales_dataset_1_!R443)</f>
        <v>29.78</v>
      </c>
      <c r="H445" s="14">
        <v>0</v>
      </c>
      <c r="I445" s="25">
        <f>SUM(Superstores_sales_dataset_1_!R443,Superstores_sales_dataset_1_!U443)</f>
        <v>37.8206</v>
      </c>
    </row>
    <row r="446" spans="6:9">
      <c r="F446" s="12" t="s">
        <v>1952</v>
      </c>
      <c r="G446" s="13">
        <f>AVERAGE(Superstores_sales_dataset_1_!R444)</f>
        <v>695.7</v>
      </c>
      <c r="H446" s="14">
        <v>0.5</v>
      </c>
      <c r="I446" s="25">
        <f>SUM(Superstores_sales_dataset_1_!R444,Superstores_sales_dataset_1_!U444)</f>
        <v>667.872</v>
      </c>
    </row>
    <row r="447" spans="6:9">
      <c r="F447" s="12" t="s">
        <v>1956</v>
      </c>
      <c r="G447" s="13">
        <f>AVERAGE(Superstores_sales_dataset_1_!R445)</f>
        <v>258.279</v>
      </c>
      <c r="H447" s="14">
        <v>0.3</v>
      </c>
      <c r="I447" s="25">
        <f>SUM(Superstores_sales_dataset_1_!R445,Superstores_sales_dataset_1_!U445)</f>
        <v>188.1747</v>
      </c>
    </row>
    <row r="448" spans="6:9">
      <c r="F448" s="12" t="s">
        <v>1960</v>
      </c>
      <c r="G448" s="13">
        <f>AVERAGE(Superstores_sales_dataset_1_!R446)</f>
        <v>79.14</v>
      </c>
      <c r="H448" s="14">
        <v>0</v>
      </c>
      <c r="I448" s="25">
        <f>SUM(Superstores_sales_dataset_1_!R446,Superstores_sales_dataset_1_!U446)</f>
        <v>115.5444</v>
      </c>
    </row>
    <row r="449" spans="6:9">
      <c r="F449" s="12" t="s">
        <v>1300</v>
      </c>
      <c r="G449" s="13">
        <f>AVERAGE(Superstores_sales_dataset_1_!R447)</f>
        <v>1.988</v>
      </c>
      <c r="H449" s="14">
        <v>0.6</v>
      </c>
      <c r="I449" s="25">
        <f>SUM(Superstores_sales_dataset_1_!R447,Superstores_sales_dataset_1_!U447)</f>
        <v>0.5467</v>
      </c>
    </row>
    <row r="450" spans="6:9">
      <c r="F450" s="12" t="s">
        <v>1966</v>
      </c>
      <c r="G450" s="13">
        <f>AVERAGE(Superstores_sales_dataset_1_!R448)</f>
        <v>145.568</v>
      </c>
      <c r="H450" s="14">
        <v>0.2</v>
      </c>
      <c r="I450" s="25">
        <f>SUM(Superstores_sales_dataset_1_!R448,Superstores_sales_dataset_1_!U448)</f>
        <v>145.568</v>
      </c>
    </row>
    <row r="451" spans="6:9">
      <c r="F451" s="12" t="s">
        <v>1970</v>
      </c>
      <c r="G451" s="13">
        <f>AVERAGE(Superstores_sales_dataset_1_!R449)</f>
        <v>123.256</v>
      </c>
      <c r="H451" s="14">
        <v>0.2</v>
      </c>
      <c r="I451" s="25">
        <f>SUM(Superstores_sales_dataset_1_!R449,Superstores_sales_dataset_1_!U449)</f>
        <v>132.5002</v>
      </c>
    </row>
    <row r="452" spans="6:9">
      <c r="F452" s="12" t="s">
        <v>1378</v>
      </c>
      <c r="G452" s="13">
        <f>AVERAGE(Superstores_sales_dataset_1_!R450)</f>
        <v>38.388</v>
      </c>
      <c r="H452" s="14">
        <v>0.7</v>
      </c>
      <c r="I452" s="25">
        <f>SUM(Superstores_sales_dataset_1_!R450,Superstores_sales_dataset_1_!U450)</f>
        <v>12.796</v>
      </c>
    </row>
    <row r="453" spans="6:9">
      <c r="F453" s="12" t="s">
        <v>685</v>
      </c>
      <c r="G453" s="13">
        <f>AVERAGE(Superstores_sales_dataset_1_!R451)</f>
        <v>145.9</v>
      </c>
      <c r="H453" s="14">
        <v>0</v>
      </c>
      <c r="I453" s="25">
        <f>SUM(Superstores_sales_dataset_1_!R451,Superstores_sales_dataset_1_!U451)</f>
        <v>208.637</v>
      </c>
    </row>
    <row r="454" spans="6:9">
      <c r="F454" s="12" t="s">
        <v>1979</v>
      </c>
      <c r="G454" s="13">
        <f>AVERAGE(Superstores_sales_dataset_1_!R452)</f>
        <v>49.08</v>
      </c>
      <c r="H454" s="14">
        <v>0</v>
      </c>
      <c r="I454" s="25">
        <f>SUM(Superstores_sales_dataset_1_!R452,Superstores_sales_dataset_1_!U452)</f>
        <v>53.988</v>
      </c>
    </row>
    <row r="455" spans="6:9">
      <c r="F455" s="12" t="s">
        <v>1983</v>
      </c>
      <c r="G455" s="13">
        <f>AVERAGE(Superstores_sales_dataset_1_!R453)</f>
        <v>83.952</v>
      </c>
      <c r="H455" s="14">
        <v>0.6</v>
      </c>
      <c r="I455" s="25">
        <f>SUM(Superstores_sales_dataset_1_!R453,Superstores_sales_dataset_1_!U453)</f>
        <v>-6.29640000000001</v>
      </c>
    </row>
    <row r="456" spans="6:9">
      <c r="F456" s="12" t="s">
        <v>1988</v>
      </c>
      <c r="G456" s="13">
        <f>AVERAGE(Superstores_sales_dataset_1_!R454)</f>
        <v>80.98</v>
      </c>
      <c r="H456" s="14">
        <v>0</v>
      </c>
      <c r="I456" s="25">
        <f>SUM(Superstores_sales_dataset_1_!R454,Superstores_sales_dataset_1_!U454)</f>
        <v>82.5996</v>
      </c>
    </row>
    <row r="457" spans="6:9">
      <c r="F457" s="12" t="s">
        <v>1992</v>
      </c>
      <c r="G457" s="13">
        <f>AVERAGE(Superstores_sales_dataset_1_!R455)</f>
        <v>9.552</v>
      </c>
      <c r="H457" s="14">
        <v>0.2</v>
      </c>
      <c r="I457" s="25">
        <f>SUM(Superstores_sales_dataset_1_!R455,Superstores_sales_dataset_1_!U455)</f>
        <v>11.1042</v>
      </c>
    </row>
    <row r="458" spans="6:9">
      <c r="F458" s="12" t="s">
        <v>1996</v>
      </c>
      <c r="G458" s="13">
        <f>AVERAGE(Superstores_sales_dataset_1_!R456)</f>
        <v>21.8</v>
      </c>
      <c r="H458" s="14">
        <v>0</v>
      </c>
      <c r="I458" s="25">
        <f>SUM(Superstores_sales_dataset_1_!R456,Superstores_sales_dataset_1_!U456)</f>
        <v>27.904</v>
      </c>
    </row>
    <row r="459" spans="6:9">
      <c r="F459" s="12" t="s">
        <v>2000</v>
      </c>
      <c r="G459" s="13">
        <f>AVERAGE(Superstores_sales_dataset_1_!R457)</f>
        <v>393.165</v>
      </c>
      <c r="H459" s="14">
        <v>0.5</v>
      </c>
      <c r="I459" s="25">
        <f>SUM(Superstores_sales_dataset_1_!R457,Superstores_sales_dataset_1_!U457)</f>
        <v>188.7192</v>
      </c>
    </row>
    <row r="460" spans="6:9">
      <c r="F460" s="12" t="s">
        <v>2004</v>
      </c>
      <c r="G460" s="13">
        <f>AVERAGE(Superstores_sales_dataset_1_!R458)</f>
        <v>334.768</v>
      </c>
      <c r="H460" s="14">
        <v>0.2</v>
      </c>
      <c r="I460" s="25">
        <f>SUM(Superstores_sales_dataset_1_!R458,Superstores_sales_dataset_1_!U458)</f>
        <v>443.5676</v>
      </c>
    </row>
    <row r="461" spans="6:9">
      <c r="F461" s="12" t="s">
        <v>2009</v>
      </c>
      <c r="G461" s="13">
        <f>AVERAGE(Superstores_sales_dataset_1_!R459)</f>
        <v>239.97</v>
      </c>
      <c r="H461" s="14">
        <v>0</v>
      </c>
      <c r="I461" s="25">
        <f>SUM(Superstores_sales_dataset_1_!R459,Superstores_sales_dataset_1_!U459)</f>
        <v>266.3667</v>
      </c>
    </row>
    <row r="462" spans="6:9">
      <c r="F462" s="12" t="s">
        <v>2013</v>
      </c>
      <c r="G462" s="13">
        <f>AVERAGE(Superstores_sales_dataset_1_!R460)</f>
        <v>946.344</v>
      </c>
      <c r="H462" s="14">
        <v>0.2</v>
      </c>
      <c r="I462" s="25">
        <f>SUM(Superstores_sales_dataset_1_!R460,Superstores_sales_dataset_1_!U460)</f>
        <v>1064.637</v>
      </c>
    </row>
    <row r="463" spans="6:9">
      <c r="F463" s="12" t="s">
        <v>2017</v>
      </c>
      <c r="G463" s="13">
        <f>AVERAGE(Superstores_sales_dataset_1_!R461)</f>
        <v>86.272</v>
      </c>
      <c r="H463" s="14">
        <v>0.2</v>
      </c>
      <c r="I463" s="25">
        <f>SUM(Superstores_sales_dataset_1_!R461,Superstores_sales_dataset_1_!U461)</f>
        <v>117.5456</v>
      </c>
    </row>
    <row r="464" spans="6:9">
      <c r="F464" s="12" t="s">
        <v>2021</v>
      </c>
      <c r="G464" s="13">
        <f>AVERAGE(Superstores_sales_dataset_1_!R462)</f>
        <v>9.728</v>
      </c>
      <c r="H464" s="14">
        <v>0.2</v>
      </c>
      <c r="I464" s="25">
        <f>SUM(Superstores_sales_dataset_1_!R462,Superstores_sales_dataset_1_!U462)</f>
        <v>13.0112</v>
      </c>
    </row>
    <row r="465" spans="6:9">
      <c r="F465" s="12" t="s">
        <v>2026</v>
      </c>
      <c r="G465" s="13">
        <f>AVERAGE(Superstores_sales_dataset_1_!R463)</f>
        <v>31.104</v>
      </c>
      <c r="H465" s="14">
        <v>0.2</v>
      </c>
      <c r="I465" s="25">
        <f>SUM(Superstores_sales_dataset_1_!R463,Superstores_sales_dataset_1_!U463)</f>
        <v>41.9904</v>
      </c>
    </row>
    <row r="466" spans="6:9">
      <c r="F466" s="12" t="s">
        <v>2030</v>
      </c>
      <c r="G466" s="13">
        <f>AVERAGE(Superstores_sales_dataset_1_!R464)</f>
        <v>36.672</v>
      </c>
      <c r="H466" s="14">
        <v>0.2</v>
      </c>
      <c r="I466" s="25">
        <f>SUM(Superstores_sales_dataset_1_!R464,Superstores_sales_dataset_1_!U464)</f>
        <v>48.132</v>
      </c>
    </row>
    <row r="467" spans="6:9">
      <c r="F467" s="12" t="s">
        <v>2034</v>
      </c>
      <c r="G467" s="13">
        <f>AVERAGE(Superstores_sales_dataset_1_!R465)</f>
        <v>13.76</v>
      </c>
      <c r="H467" s="14">
        <v>0</v>
      </c>
      <c r="I467" s="25">
        <f>SUM(Superstores_sales_dataset_1_!R465,Superstores_sales_dataset_1_!U465)</f>
        <v>20.0896</v>
      </c>
    </row>
    <row r="468" spans="6:9">
      <c r="F468" s="12" t="s">
        <v>1100</v>
      </c>
      <c r="G468" s="13">
        <f>AVERAGE(Superstores_sales_dataset_1_!R466)</f>
        <v>139.424</v>
      </c>
      <c r="H468" s="14">
        <v>0.2</v>
      </c>
      <c r="I468" s="25">
        <f>SUM(Superstores_sales_dataset_1_!R466,Superstores_sales_dataset_1_!U466)</f>
        <v>156.852</v>
      </c>
    </row>
    <row r="469" spans="6:9">
      <c r="F469" s="12" t="s">
        <v>2040</v>
      </c>
      <c r="G469" s="13">
        <f>AVERAGE(Superstores_sales_dataset_1_!R467)</f>
        <v>2.025</v>
      </c>
      <c r="H469" s="14">
        <v>0.7</v>
      </c>
      <c r="I469" s="25">
        <f>SUM(Superstores_sales_dataset_1_!R467,Superstores_sales_dataset_1_!U467)</f>
        <v>0.675</v>
      </c>
    </row>
    <row r="470" spans="6:9">
      <c r="F470" s="12" t="s">
        <v>138</v>
      </c>
      <c r="G470" s="13">
        <f>AVERAGE(Superstores_sales_dataset_1_!R468)</f>
        <v>70.98</v>
      </c>
      <c r="H470" s="14">
        <v>0</v>
      </c>
      <c r="I470" s="25">
        <f>SUM(Superstores_sales_dataset_1_!R468,Superstores_sales_dataset_1_!U468)</f>
        <v>105.7602</v>
      </c>
    </row>
    <row r="471" spans="6:9">
      <c r="F471" s="12" t="s">
        <v>2048</v>
      </c>
      <c r="G471" s="13">
        <f>AVERAGE(Superstores_sales_dataset_1_!R469)</f>
        <v>91.2</v>
      </c>
      <c r="H471" s="14">
        <v>0</v>
      </c>
      <c r="I471" s="25">
        <f>SUM(Superstores_sales_dataset_1_!R469,Superstores_sales_dataset_1_!U469)</f>
        <v>133.152</v>
      </c>
    </row>
    <row r="472" spans="6:9">
      <c r="F472" s="12" t="s">
        <v>1400</v>
      </c>
      <c r="G472" s="13">
        <f>AVERAGE(Superstores_sales_dataset_1_!R470)</f>
        <v>15.936</v>
      </c>
      <c r="H472" s="14">
        <v>0.2</v>
      </c>
      <c r="I472" s="25">
        <f>SUM(Superstores_sales_dataset_1_!R470,Superstores_sales_dataset_1_!U470)</f>
        <v>21.1152</v>
      </c>
    </row>
    <row r="473" spans="6:9">
      <c r="F473" s="12" t="s">
        <v>1679</v>
      </c>
      <c r="G473" s="13">
        <f>AVERAGE(Superstores_sales_dataset_1_!R471)</f>
        <v>244.006</v>
      </c>
      <c r="H473" s="14">
        <v>0.3</v>
      </c>
      <c r="I473" s="25">
        <f>SUM(Superstores_sales_dataset_1_!R471,Superstores_sales_dataset_1_!U471)</f>
        <v>212.6338</v>
      </c>
    </row>
    <row r="474" spans="6:9">
      <c r="F474" s="12" t="s">
        <v>1699</v>
      </c>
      <c r="G474" s="13">
        <f>AVERAGE(Superstores_sales_dataset_1_!R472)</f>
        <v>3.68</v>
      </c>
      <c r="H474" s="14">
        <v>0</v>
      </c>
      <c r="I474" s="25">
        <f>SUM(Superstores_sales_dataset_1_!R472,Superstores_sales_dataset_1_!U472)</f>
        <v>5.4832</v>
      </c>
    </row>
    <row r="475" spans="6:9">
      <c r="F475" s="12" t="s">
        <v>1485</v>
      </c>
      <c r="G475" s="13">
        <f>AVERAGE(Superstores_sales_dataset_1_!R473)</f>
        <v>8.67</v>
      </c>
      <c r="H475" s="14">
        <v>0</v>
      </c>
      <c r="I475" s="25">
        <f>SUM(Superstores_sales_dataset_1_!R473,Superstores_sales_dataset_1_!U473)</f>
        <v>12.7449</v>
      </c>
    </row>
    <row r="476" spans="6:9">
      <c r="F476" s="12" t="s">
        <v>2063</v>
      </c>
      <c r="G476" s="13">
        <f>AVERAGE(Superstores_sales_dataset_1_!R474)</f>
        <v>17.28</v>
      </c>
      <c r="H476" s="14">
        <v>0</v>
      </c>
      <c r="I476" s="25">
        <f>SUM(Superstores_sales_dataset_1_!R474,Superstores_sales_dataset_1_!U474)</f>
        <v>22.2912</v>
      </c>
    </row>
    <row r="477" spans="6:9">
      <c r="F477" s="12" t="s">
        <v>2068</v>
      </c>
      <c r="G477" s="13">
        <f>AVERAGE(Superstores_sales_dataset_1_!R475)</f>
        <v>52.136</v>
      </c>
      <c r="H477" s="14">
        <v>0.2</v>
      </c>
      <c r="I477" s="25">
        <f>SUM(Superstores_sales_dataset_1_!R475,Superstores_sales_dataset_1_!U475)</f>
        <v>58.0013</v>
      </c>
    </row>
    <row r="478" spans="6:9">
      <c r="F478" s="12" t="s">
        <v>1004</v>
      </c>
      <c r="G478" s="13">
        <f>AVERAGE(Superstores_sales_dataset_1_!R476)</f>
        <v>3.76</v>
      </c>
      <c r="H478" s="14">
        <v>0</v>
      </c>
      <c r="I478" s="25">
        <f>SUM(Superstores_sales_dataset_1_!R476,Superstores_sales_dataset_1_!U476)</f>
        <v>5.076</v>
      </c>
    </row>
    <row r="479" spans="6:9">
      <c r="F479" s="12" t="s">
        <v>2075</v>
      </c>
      <c r="G479" s="13">
        <f>AVERAGE(Superstores_sales_dataset_1_!R477)</f>
        <v>1212.848</v>
      </c>
      <c r="H479" s="14">
        <v>0.2</v>
      </c>
      <c r="I479" s="25">
        <f>SUM(Superstores_sales_dataset_1_!R477,Superstores_sales_dataset_1_!U477)</f>
        <v>1318.9722</v>
      </c>
    </row>
    <row r="480" spans="6:9">
      <c r="F480" s="12" t="s">
        <v>2079</v>
      </c>
      <c r="G480" s="13">
        <f>AVERAGE(Superstores_sales_dataset_1_!R478)</f>
        <v>5.04</v>
      </c>
      <c r="H480" s="14">
        <v>0.2</v>
      </c>
      <c r="I480" s="25">
        <f>SUM(Superstores_sales_dataset_1_!R478,Superstores_sales_dataset_1_!U478)</f>
        <v>6.804</v>
      </c>
    </row>
    <row r="481" spans="6:9">
      <c r="F481" s="12" t="s">
        <v>2083</v>
      </c>
      <c r="G481" s="13">
        <f>AVERAGE(Superstores_sales_dataset_1_!R479)</f>
        <v>5.88</v>
      </c>
      <c r="H481" s="14">
        <v>0</v>
      </c>
      <c r="I481" s="25">
        <f>SUM(Superstores_sales_dataset_1_!R479,Superstores_sales_dataset_1_!U479)</f>
        <v>8.7612</v>
      </c>
    </row>
    <row r="482" spans="6:9">
      <c r="F482" s="12" t="s">
        <v>2087</v>
      </c>
      <c r="G482" s="13">
        <f>AVERAGE(Superstores_sales_dataset_1_!R480)</f>
        <v>9.64</v>
      </c>
      <c r="H482" s="14">
        <v>0</v>
      </c>
      <c r="I482" s="25">
        <f>SUM(Superstores_sales_dataset_1_!R480,Superstores_sales_dataset_1_!U480)</f>
        <v>13.3032</v>
      </c>
    </row>
    <row r="483" spans="6:9">
      <c r="F483" s="12" t="s">
        <v>2092</v>
      </c>
      <c r="G483" s="13">
        <f>AVERAGE(Superstores_sales_dataset_1_!R481)</f>
        <v>10.192</v>
      </c>
      <c r="H483" s="14">
        <v>0.2</v>
      </c>
      <c r="I483" s="25">
        <f>SUM(Superstores_sales_dataset_1_!R481,Superstores_sales_dataset_1_!U481)</f>
        <v>13.377</v>
      </c>
    </row>
    <row r="484" spans="6:9">
      <c r="F484" s="12" t="s">
        <v>2096</v>
      </c>
      <c r="G484" s="13">
        <f>AVERAGE(Superstores_sales_dataset_1_!R482)</f>
        <v>6.72</v>
      </c>
      <c r="H484" s="14">
        <v>0</v>
      </c>
      <c r="I484" s="25">
        <f>SUM(Superstores_sales_dataset_1_!R482,Superstores_sales_dataset_1_!U482)</f>
        <v>10.08</v>
      </c>
    </row>
    <row r="485" spans="6:9">
      <c r="F485" s="12" t="s">
        <v>2100</v>
      </c>
      <c r="G485" s="13">
        <f>AVERAGE(Superstores_sales_dataset_1_!R483)</f>
        <v>17.88</v>
      </c>
      <c r="H485" s="14">
        <v>0.2</v>
      </c>
      <c r="I485" s="25">
        <f>SUM(Superstores_sales_dataset_1_!R483,Superstores_sales_dataset_1_!U483)</f>
        <v>23.4675</v>
      </c>
    </row>
    <row r="486" spans="6:9">
      <c r="F486" s="12" t="s">
        <v>1966</v>
      </c>
      <c r="G486" s="13">
        <f>AVERAGE(Superstores_sales_dataset_1_!R484)</f>
        <v>63.686</v>
      </c>
      <c r="H486" s="14">
        <v>0.3</v>
      </c>
      <c r="I486" s="25">
        <f>SUM(Superstores_sales_dataset_1_!R484,Superstores_sales_dataset_1_!U484)</f>
        <v>54.588</v>
      </c>
    </row>
    <row r="487" spans="6:9">
      <c r="F487" s="12" t="s">
        <v>708</v>
      </c>
      <c r="G487" s="13">
        <f>AVERAGE(Superstores_sales_dataset_1_!R485)</f>
        <v>83.84</v>
      </c>
      <c r="H487" s="14">
        <v>0.2</v>
      </c>
      <c r="I487" s="25">
        <f>SUM(Superstores_sales_dataset_1_!R485,Superstores_sales_dataset_1_!U485)</f>
        <v>111.088</v>
      </c>
    </row>
    <row r="488" spans="6:9">
      <c r="F488" s="12" t="s">
        <v>2108</v>
      </c>
      <c r="G488" s="13">
        <f>AVERAGE(Superstores_sales_dataset_1_!R486)</f>
        <v>16.52</v>
      </c>
      <c r="H488" s="14">
        <v>0.2</v>
      </c>
      <c r="I488" s="25">
        <f>SUM(Superstores_sales_dataset_1_!R486,Superstores_sales_dataset_1_!U486)</f>
        <v>18.585</v>
      </c>
    </row>
    <row r="489" spans="6:9">
      <c r="F489" s="12" t="s">
        <v>2112</v>
      </c>
      <c r="G489" s="13">
        <f>AVERAGE(Superstores_sales_dataset_1_!R487)</f>
        <v>206.112</v>
      </c>
      <c r="H489" s="14">
        <v>0.2</v>
      </c>
      <c r="I489" s="25">
        <f>SUM(Superstores_sales_dataset_1_!R487,Superstores_sales_dataset_1_!U487)</f>
        <v>255.0636</v>
      </c>
    </row>
    <row r="490" spans="6:9">
      <c r="F490" s="12" t="s">
        <v>1259</v>
      </c>
      <c r="G490" s="13">
        <f>AVERAGE(Superstores_sales_dataset_1_!R488)</f>
        <v>203.983</v>
      </c>
      <c r="H490" s="14">
        <v>0.15</v>
      </c>
      <c r="I490" s="25">
        <f>SUM(Superstores_sales_dataset_1_!R488,Superstores_sales_dataset_1_!U488)</f>
        <v>220.7816</v>
      </c>
    </row>
    <row r="491" spans="6:9">
      <c r="F491" s="12" t="s">
        <v>2120</v>
      </c>
      <c r="G491" s="13">
        <f>AVERAGE(Superstores_sales_dataset_1_!R489)</f>
        <v>40.74</v>
      </c>
      <c r="H491" s="14">
        <v>0</v>
      </c>
      <c r="I491" s="25">
        <f>SUM(Superstores_sales_dataset_1_!R489,Superstores_sales_dataset_1_!U489)</f>
        <v>41.1474</v>
      </c>
    </row>
    <row r="492" spans="6:9">
      <c r="F492" s="12" t="s">
        <v>2125</v>
      </c>
      <c r="G492" s="13">
        <f>AVERAGE(Superstores_sales_dataset_1_!R490)</f>
        <v>39.99</v>
      </c>
      <c r="H492" s="14">
        <v>0</v>
      </c>
      <c r="I492" s="25">
        <f>SUM(Superstores_sales_dataset_1_!R490,Superstores_sales_dataset_1_!U490)</f>
        <v>51.5871</v>
      </c>
    </row>
    <row r="493" spans="6:9">
      <c r="F493" s="12" t="s">
        <v>2129</v>
      </c>
      <c r="G493" s="13">
        <f>AVERAGE(Superstores_sales_dataset_1_!R491)</f>
        <v>82.896</v>
      </c>
      <c r="H493" s="14">
        <v>0.2</v>
      </c>
      <c r="I493" s="25">
        <f>SUM(Superstores_sales_dataset_1_!R491,Superstores_sales_dataset_1_!U491)</f>
        <v>111.9096</v>
      </c>
    </row>
    <row r="494" spans="6:9">
      <c r="F494" s="12" t="s">
        <v>2133</v>
      </c>
      <c r="G494" s="13">
        <f>AVERAGE(Superstores_sales_dataset_1_!R492)</f>
        <v>111.96</v>
      </c>
      <c r="H494" s="14">
        <v>0</v>
      </c>
      <c r="I494" s="25">
        <f>SUM(Superstores_sales_dataset_1_!R492,Superstores_sales_dataset_1_!U492)</f>
        <v>166.8204</v>
      </c>
    </row>
    <row r="495" spans="6:9">
      <c r="F495" s="12" t="s">
        <v>1493</v>
      </c>
      <c r="G495" s="13">
        <f>AVERAGE(Superstores_sales_dataset_1_!R493)</f>
        <v>124.75</v>
      </c>
      <c r="H495" s="14">
        <v>0</v>
      </c>
      <c r="I495" s="25">
        <f>SUM(Superstores_sales_dataset_1_!R493,Superstores_sales_dataset_1_!U493)</f>
        <v>182.135</v>
      </c>
    </row>
    <row r="496" spans="6:9">
      <c r="F496" s="12" t="s">
        <v>172</v>
      </c>
      <c r="G496" s="13">
        <f>AVERAGE(Superstores_sales_dataset_1_!R494)</f>
        <v>91.96</v>
      </c>
      <c r="H496" s="14">
        <v>0</v>
      </c>
      <c r="I496" s="25">
        <f>SUM(Superstores_sales_dataset_1_!R494,Superstores_sales_dataset_1_!U494)</f>
        <v>131.5028</v>
      </c>
    </row>
    <row r="497" spans="6:9">
      <c r="F497" s="12" t="s">
        <v>436</v>
      </c>
      <c r="G497" s="13">
        <f>AVERAGE(Superstores_sales_dataset_1_!R495)</f>
        <v>9.344</v>
      </c>
      <c r="H497" s="14">
        <v>0.2</v>
      </c>
      <c r="I497" s="25">
        <f>SUM(Superstores_sales_dataset_1_!R495,Superstores_sales_dataset_1_!U495)</f>
        <v>12.848</v>
      </c>
    </row>
    <row r="498" spans="6:9">
      <c r="F498" s="12" t="s">
        <v>1505</v>
      </c>
      <c r="G498" s="13">
        <f>AVERAGE(Superstores_sales_dataset_1_!R496)</f>
        <v>35.352</v>
      </c>
      <c r="H498" s="14">
        <v>0.2</v>
      </c>
      <c r="I498" s="25">
        <f>SUM(Superstores_sales_dataset_1_!R496,Superstores_sales_dataset_1_!U496)</f>
        <v>48.1671</v>
      </c>
    </row>
    <row r="499" spans="6:9">
      <c r="F499" s="12" t="s">
        <v>64</v>
      </c>
      <c r="G499" s="13">
        <f>AVERAGE(Superstores_sales_dataset_1_!R497)</f>
        <v>1044.63</v>
      </c>
      <c r="H499" s="14">
        <v>0.4</v>
      </c>
      <c r="I499" s="25">
        <f>SUM(Superstores_sales_dataset_1_!R497,Superstores_sales_dataset_1_!U497)</f>
        <v>748.6515</v>
      </c>
    </row>
    <row r="500" spans="6:9">
      <c r="F500" s="12" t="s">
        <v>2148</v>
      </c>
      <c r="G500" s="13">
        <f>AVERAGE(Superstores_sales_dataset_1_!R498)</f>
        <v>11.352</v>
      </c>
      <c r="H500" s="14">
        <v>0.2</v>
      </c>
      <c r="I500" s="25">
        <f>SUM(Superstores_sales_dataset_1_!R498,Superstores_sales_dataset_1_!U498)</f>
        <v>15.4671</v>
      </c>
    </row>
    <row r="501" spans="6:9">
      <c r="F501" s="12" t="s">
        <v>2153</v>
      </c>
      <c r="G501" s="13">
        <f>AVERAGE(Superstores_sales_dataset_1_!R499)</f>
        <v>21.48</v>
      </c>
      <c r="H501" s="14">
        <v>0.2</v>
      </c>
      <c r="I501" s="25">
        <f>SUM(Superstores_sales_dataset_1_!R499,Superstores_sales_dataset_1_!U499)</f>
        <v>21.2115</v>
      </c>
    </row>
    <row r="502" spans="6:9">
      <c r="F502" s="12" t="s">
        <v>2158</v>
      </c>
      <c r="G502" s="13">
        <f>AVERAGE(Superstores_sales_dataset_1_!R500)</f>
        <v>40.68</v>
      </c>
      <c r="H502" s="14">
        <v>0.2</v>
      </c>
      <c r="I502" s="25">
        <f>SUM(Superstores_sales_dataset_1_!R500,Superstores_sales_dataset_1_!U500)</f>
        <v>31.527</v>
      </c>
    </row>
    <row r="503" spans="6:9">
      <c r="F503" s="12" t="s">
        <v>2162</v>
      </c>
      <c r="G503" s="13">
        <f>AVERAGE(Superstores_sales_dataset_1_!R501)</f>
        <v>23.952</v>
      </c>
      <c r="H503" s="14">
        <v>0.2</v>
      </c>
      <c r="I503" s="25">
        <f>SUM(Superstores_sales_dataset_1_!R501,Superstores_sales_dataset_1_!U501)</f>
        <v>26.3472</v>
      </c>
    </row>
    <row r="504" spans="6:9">
      <c r="F504" s="12" t="s">
        <v>987</v>
      </c>
      <c r="G504" s="13">
        <f>AVERAGE(Superstores_sales_dataset_1_!R502)</f>
        <v>10.96</v>
      </c>
      <c r="H504" s="14">
        <v>0</v>
      </c>
      <c r="I504" s="25">
        <f>SUM(Superstores_sales_dataset_1_!R502,Superstores_sales_dataset_1_!U502)</f>
        <v>13.9192</v>
      </c>
    </row>
    <row r="505" spans="6:9">
      <c r="F505" s="12" t="s">
        <v>2169</v>
      </c>
      <c r="G505" s="13">
        <f>AVERAGE(Superstores_sales_dataset_1_!R503)</f>
        <v>33.488</v>
      </c>
      <c r="H505" s="14">
        <v>0.2</v>
      </c>
      <c r="I505" s="25">
        <f>SUM(Superstores_sales_dataset_1_!R503,Superstores_sales_dataset_1_!U503)</f>
        <v>39.3484</v>
      </c>
    </row>
    <row r="506" spans="6:9">
      <c r="F506" s="12" t="s">
        <v>2174</v>
      </c>
      <c r="G506" s="13">
        <f>AVERAGE(Superstores_sales_dataset_1_!R504)</f>
        <v>201.568</v>
      </c>
      <c r="H506" s="14">
        <v>0.2</v>
      </c>
      <c r="I506" s="25">
        <f>SUM(Superstores_sales_dataset_1_!R504,Superstores_sales_dataset_1_!U504)</f>
        <v>224.2444</v>
      </c>
    </row>
    <row r="507" spans="6:9">
      <c r="F507" s="12" t="s">
        <v>2178</v>
      </c>
      <c r="G507" s="13">
        <f>AVERAGE(Superstores_sales_dataset_1_!R505)</f>
        <v>359.058</v>
      </c>
      <c r="H507" s="14">
        <v>0.3</v>
      </c>
      <c r="I507" s="25">
        <f>SUM(Superstores_sales_dataset_1_!R505,Superstores_sales_dataset_1_!U505)</f>
        <v>323.1522</v>
      </c>
    </row>
    <row r="508" spans="6:9">
      <c r="F508" s="12" t="s">
        <v>2178</v>
      </c>
      <c r="G508" s="13">
        <f>AVERAGE(Superstores_sales_dataset_1_!R506)</f>
        <v>290.666</v>
      </c>
      <c r="H508" s="14">
        <v>0.15</v>
      </c>
      <c r="I508" s="25">
        <f>SUM(Superstores_sales_dataset_1_!R506,Superstores_sales_dataset_1_!U506)</f>
        <v>318.0228</v>
      </c>
    </row>
    <row r="509" spans="6:9">
      <c r="F509" s="12" t="s">
        <v>2185</v>
      </c>
      <c r="G509" s="13">
        <f>AVERAGE(Superstores_sales_dataset_1_!R507)</f>
        <v>198.46</v>
      </c>
      <c r="H509" s="14">
        <v>0</v>
      </c>
      <c r="I509" s="25">
        <f>SUM(Superstores_sales_dataset_1_!R507,Superstores_sales_dataset_1_!U507)</f>
        <v>297.69</v>
      </c>
    </row>
    <row r="510" spans="6:9">
      <c r="F510" s="12" t="s">
        <v>2013</v>
      </c>
      <c r="G510" s="13">
        <f>AVERAGE(Superstores_sales_dataset_1_!R508)</f>
        <v>675.96</v>
      </c>
      <c r="H510" s="14">
        <v>0.2</v>
      </c>
      <c r="I510" s="25">
        <f>SUM(Superstores_sales_dataset_1_!R508,Superstores_sales_dataset_1_!U508)</f>
        <v>760.455</v>
      </c>
    </row>
    <row r="511" spans="6:9">
      <c r="F511" s="12" t="s">
        <v>2192</v>
      </c>
      <c r="G511" s="13">
        <f>AVERAGE(Superstores_sales_dataset_1_!R509)</f>
        <v>517.5</v>
      </c>
      <c r="H511" s="14">
        <v>0</v>
      </c>
      <c r="I511" s="25">
        <f>SUM(Superstores_sales_dataset_1_!R509,Superstores_sales_dataset_1_!U509)</f>
        <v>672.75</v>
      </c>
    </row>
    <row r="512" spans="6:9">
      <c r="F512" s="12" t="s">
        <v>1662</v>
      </c>
      <c r="G512" s="13">
        <f>AVERAGE(Superstores_sales_dataset_1_!R510)</f>
        <v>15.552</v>
      </c>
      <c r="H512" s="14">
        <v>0.2</v>
      </c>
      <c r="I512" s="25">
        <f>SUM(Superstores_sales_dataset_1_!R510,Superstores_sales_dataset_1_!U510)</f>
        <v>20.9952</v>
      </c>
    </row>
    <row r="513" spans="6:9">
      <c r="F513" s="12" t="s">
        <v>2200</v>
      </c>
      <c r="G513" s="13">
        <f>AVERAGE(Superstores_sales_dataset_1_!R511)</f>
        <v>19.44</v>
      </c>
      <c r="H513" s="14">
        <v>0</v>
      </c>
      <c r="I513" s="25">
        <f>SUM(Superstores_sales_dataset_1_!R511,Superstores_sales_dataset_1_!U511)</f>
        <v>28.7712</v>
      </c>
    </row>
    <row r="514" spans="6:9">
      <c r="F514" s="12" t="s">
        <v>1004</v>
      </c>
      <c r="G514" s="13">
        <f>AVERAGE(Superstores_sales_dataset_1_!R512)</f>
        <v>12.624</v>
      </c>
      <c r="H514" s="14">
        <v>0.2</v>
      </c>
      <c r="I514" s="25">
        <f>SUM(Superstores_sales_dataset_1_!R512,Superstores_sales_dataset_1_!U512)</f>
        <v>16.569</v>
      </c>
    </row>
    <row r="515" spans="6:9">
      <c r="F515" s="12" t="s">
        <v>2208</v>
      </c>
      <c r="G515" s="13">
        <f>AVERAGE(Superstores_sales_dataset_1_!R513)</f>
        <v>109.92</v>
      </c>
      <c r="H515" s="14">
        <v>0</v>
      </c>
      <c r="I515" s="25">
        <f>SUM(Superstores_sales_dataset_1_!R513,Superstores_sales_dataset_1_!U513)</f>
        <v>163.7808</v>
      </c>
    </row>
    <row r="516" spans="6:9">
      <c r="F516" s="12" t="s">
        <v>265</v>
      </c>
      <c r="G516" s="13">
        <f>AVERAGE(Superstores_sales_dataset_1_!R514)</f>
        <v>169.68</v>
      </c>
      <c r="H516" s="14">
        <v>0</v>
      </c>
      <c r="I516" s="25">
        <f>SUM(Superstores_sales_dataset_1_!R514,Superstores_sales_dataset_1_!U514)</f>
        <v>215.4936</v>
      </c>
    </row>
    <row r="517" spans="6:9">
      <c r="F517" s="12" t="s">
        <v>2214</v>
      </c>
      <c r="G517" s="13">
        <f>AVERAGE(Superstores_sales_dataset_1_!R515)</f>
        <v>160.776</v>
      </c>
      <c r="H517" s="14">
        <v>0.2</v>
      </c>
      <c r="I517" s="25">
        <f>SUM(Superstores_sales_dataset_1_!R515,Superstores_sales_dataset_1_!U515)</f>
        <v>170.8245</v>
      </c>
    </row>
    <row r="518" spans="6:9">
      <c r="F518" s="12" t="s">
        <v>2218</v>
      </c>
      <c r="G518" s="13">
        <f>AVERAGE(Superstores_sales_dataset_1_!R516)</f>
        <v>88.752</v>
      </c>
      <c r="H518" s="14">
        <v>0.2</v>
      </c>
      <c r="I518" s="25">
        <f>SUM(Superstores_sales_dataset_1_!R516,Superstores_sales_dataset_1_!U516)</f>
        <v>116.487</v>
      </c>
    </row>
    <row r="519" spans="6:9">
      <c r="F519" s="12" t="s">
        <v>1031</v>
      </c>
      <c r="G519" s="13">
        <f>AVERAGE(Superstores_sales_dataset_1_!R517)</f>
        <v>41.92</v>
      </c>
      <c r="H519" s="14">
        <v>0.2</v>
      </c>
      <c r="I519" s="25">
        <f>SUM(Superstores_sales_dataset_1_!R517,Superstores_sales_dataset_1_!U517)</f>
        <v>45.588</v>
      </c>
    </row>
    <row r="520" spans="6:9">
      <c r="F520" s="12" t="s">
        <v>2225</v>
      </c>
      <c r="G520" s="13">
        <f>AVERAGE(Superstores_sales_dataset_1_!R518)</f>
        <v>58.58</v>
      </c>
      <c r="H520" s="14">
        <v>0</v>
      </c>
      <c r="I520" s="25">
        <f>SUM(Superstores_sales_dataset_1_!R518,Superstores_sales_dataset_1_!U518)</f>
        <v>77.9114</v>
      </c>
    </row>
    <row r="521" spans="6:9">
      <c r="F521" s="12" t="s">
        <v>2230</v>
      </c>
      <c r="G521" s="13">
        <f>AVERAGE(Superstores_sales_dataset_1_!R519)</f>
        <v>196.62</v>
      </c>
      <c r="H521" s="14">
        <v>0</v>
      </c>
      <c r="I521" s="25">
        <f>SUM(Superstores_sales_dataset_1_!R519,Superstores_sales_dataset_1_!U519)</f>
        <v>292.9638</v>
      </c>
    </row>
    <row r="522" spans="6:9">
      <c r="F522" s="12" t="s">
        <v>202</v>
      </c>
      <c r="G522" s="13">
        <f>AVERAGE(Superstores_sales_dataset_1_!R520)</f>
        <v>104.28</v>
      </c>
      <c r="H522" s="14">
        <v>0</v>
      </c>
      <c r="I522" s="25">
        <f>SUM(Superstores_sales_dataset_1_!R520,Superstores_sales_dataset_1_!U520)</f>
        <v>130.35</v>
      </c>
    </row>
    <row r="523" spans="6:9">
      <c r="F523" s="12" t="s">
        <v>2236</v>
      </c>
      <c r="G523" s="13">
        <f>AVERAGE(Superstores_sales_dataset_1_!R521)</f>
        <v>18.97</v>
      </c>
      <c r="H523" s="14">
        <v>0</v>
      </c>
      <c r="I523" s="25">
        <f>SUM(Superstores_sales_dataset_1_!R521,Superstores_sales_dataset_1_!U521)</f>
        <v>28.0756</v>
      </c>
    </row>
    <row r="524" spans="6:9">
      <c r="F524" s="12" t="s">
        <v>2241</v>
      </c>
      <c r="G524" s="13">
        <f>AVERAGE(Superstores_sales_dataset_1_!R522)</f>
        <v>33.45</v>
      </c>
      <c r="H524" s="14">
        <v>0</v>
      </c>
      <c r="I524" s="25">
        <f>SUM(Superstores_sales_dataset_1_!R522,Superstores_sales_dataset_1_!U522)</f>
        <v>48.837</v>
      </c>
    </row>
    <row r="525" spans="6:9">
      <c r="F525" s="12" t="s">
        <v>2245</v>
      </c>
      <c r="G525" s="13">
        <f>AVERAGE(Superstores_sales_dataset_1_!R523)</f>
        <v>21.88</v>
      </c>
      <c r="H525" s="14">
        <v>0.2</v>
      </c>
      <c r="I525" s="25">
        <f>SUM(Superstores_sales_dataset_1_!R523,Superstores_sales_dataset_1_!U523)</f>
        <v>28.1705</v>
      </c>
    </row>
    <row r="526" spans="6:9">
      <c r="F526" s="12" t="s">
        <v>1004</v>
      </c>
      <c r="G526" s="13">
        <f>AVERAGE(Superstores_sales_dataset_1_!R524)</f>
        <v>12.35</v>
      </c>
      <c r="H526" s="14">
        <v>0</v>
      </c>
      <c r="I526" s="25">
        <f>SUM(Superstores_sales_dataset_1_!R524,Superstores_sales_dataset_1_!U524)</f>
        <v>18.1545</v>
      </c>
    </row>
    <row r="527" spans="6:9">
      <c r="F527" s="12" t="s">
        <v>2252</v>
      </c>
      <c r="G527" s="13">
        <f>AVERAGE(Superstores_sales_dataset_1_!R525)</f>
        <v>43.86</v>
      </c>
      <c r="H527" s="14">
        <v>0</v>
      </c>
      <c r="I527" s="25">
        <f>SUM(Superstores_sales_dataset_1_!R525,Superstores_sales_dataset_1_!U525)</f>
        <v>64.4742</v>
      </c>
    </row>
    <row r="528" spans="6:9">
      <c r="F528" s="12" t="s">
        <v>2256</v>
      </c>
      <c r="G528" s="13">
        <f>AVERAGE(Superstores_sales_dataset_1_!R526)</f>
        <v>1048.35</v>
      </c>
      <c r="H528" s="14">
        <v>0.4</v>
      </c>
      <c r="I528" s="25">
        <f>SUM(Superstores_sales_dataset_1_!R526,Superstores_sales_dataset_1_!U526)</f>
        <v>978.46</v>
      </c>
    </row>
    <row r="529" spans="6:9">
      <c r="F529" s="12" t="s">
        <v>2260</v>
      </c>
      <c r="G529" s="13">
        <f>AVERAGE(Superstores_sales_dataset_1_!R527)</f>
        <v>20.88</v>
      </c>
      <c r="H529" s="14">
        <v>0</v>
      </c>
      <c r="I529" s="25">
        <f>SUM(Superstores_sales_dataset_1_!R527,Superstores_sales_dataset_1_!U527)</f>
        <v>30.4848</v>
      </c>
    </row>
    <row r="530" spans="6:9">
      <c r="F530" s="12" t="s">
        <v>1558</v>
      </c>
      <c r="G530" s="13">
        <f>AVERAGE(Superstores_sales_dataset_1_!R528)</f>
        <v>10.368</v>
      </c>
      <c r="H530" s="14">
        <v>0.2</v>
      </c>
      <c r="I530" s="25">
        <f>SUM(Superstores_sales_dataset_1_!R528,Superstores_sales_dataset_1_!U528)</f>
        <v>13.9968</v>
      </c>
    </row>
    <row r="531" spans="6:9">
      <c r="F531" s="12" t="s">
        <v>680</v>
      </c>
      <c r="G531" s="13">
        <f>AVERAGE(Superstores_sales_dataset_1_!R529)</f>
        <v>9.46</v>
      </c>
      <c r="H531" s="14">
        <v>0</v>
      </c>
      <c r="I531" s="25">
        <f>SUM(Superstores_sales_dataset_1_!R529,Superstores_sales_dataset_1_!U529)</f>
        <v>13.1494</v>
      </c>
    </row>
    <row r="532" spans="6:9">
      <c r="F532" s="12" t="s">
        <v>2225</v>
      </c>
      <c r="G532" s="13">
        <f>AVERAGE(Superstores_sales_dataset_1_!R530)</f>
        <v>46.864</v>
      </c>
      <c r="H532" s="14">
        <v>0.2</v>
      </c>
      <c r="I532" s="25">
        <f>SUM(Superstores_sales_dataset_1_!R530,Superstores_sales_dataset_1_!U530)</f>
        <v>54.4794</v>
      </c>
    </row>
    <row r="533" spans="6:9">
      <c r="F533" s="12" t="s">
        <v>2270</v>
      </c>
      <c r="G533" s="13">
        <f>AVERAGE(Superstores_sales_dataset_1_!R531)</f>
        <v>35.06</v>
      </c>
      <c r="H533" s="14">
        <v>0</v>
      </c>
      <c r="I533" s="25">
        <f>SUM(Superstores_sales_dataset_1_!R531,Superstores_sales_dataset_1_!U531)</f>
        <v>45.578</v>
      </c>
    </row>
    <row r="534" spans="6:9">
      <c r="F534" s="12" t="s">
        <v>190</v>
      </c>
      <c r="G534" s="13">
        <f>AVERAGE(Superstores_sales_dataset_1_!R532)</f>
        <v>7.644</v>
      </c>
      <c r="H534" s="14">
        <v>0.7</v>
      </c>
      <c r="I534" s="25">
        <f>SUM(Superstores_sales_dataset_1_!R532,Superstores_sales_dataset_1_!U532)</f>
        <v>1.7836</v>
      </c>
    </row>
    <row r="535" spans="6:9">
      <c r="F535" s="12" t="s">
        <v>2208</v>
      </c>
      <c r="G535" s="13">
        <f>AVERAGE(Superstores_sales_dataset_1_!R533)</f>
        <v>219.84</v>
      </c>
      <c r="H535" s="14">
        <v>0</v>
      </c>
      <c r="I535" s="25">
        <f>SUM(Superstores_sales_dataset_1_!R533,Superstores_sales_dataset_1_!U533)</f>
        <v>327.5616</v>
      </c>
    </row>
    <row r="536" spans="6:9">
      <c r="F536" s="12" t="s">
        <v>2280</v>
      </c>
      <c r="G536" s="13">
        <f>AVERAGE(Superstores_sales_dataset_1_!R534)</f>
        <v>134.97</v>
      </c>
      <c r="H536" s="14">
        <v>0</v>
      </c>
      <c r="I536" s="25">
        <f>SUM(Superstores_sales_dataset_1_!R534,Superstores_sales_dataset_1_!U534)</f>
        <v>199.7556</v>
      </c>
    </row>
    <row r="537" spans="6:9">
      <c r="F537" s="12" t="s">
        <v>2284</v>
      </c>
      <c r="G537" s="13">
        <f>AVERAGE(Superstores_sales_dataset_1_!R535)</f>
        <v>60.416</v>
      </c>
      <c r="H537" s="14">
        <v>0.2</v>
      </c>
      <c r="I537" s="25">
        <f>SUM(Superstores_sales_dataset_1_!R535,Superstores_sales_dataset_1_!U535)</f>
        <v>66.4576</v>
      </c>
    </row>
    <row r="538" spans="6:9">
      <c r="F538" s="12" t="s">
        <v>1867</v>
      </c>
      <c r="G538" s="13">
        <f>AVERAGE(Superstores_sales_dataset_1_!R536)</f>
        <v>107.94</v>
      </c>
      <c r="H538" s="14">
        <v>0</v>
      </c>
      <c r="I538" s="25">
        <f>SUM(Superstores_sales_dataset_1_!R536,Superstores_sales_dataset_1_!U536)</f>
        <v>134.925</v>
      </c>
    </row>
    <row r="539" spans="6:9">
      <c r="F539" s="12" t="s">
        <v>555</v>
      </c>
      <c r="G539" s="13">
        <f>AVERAGE(Superstores_sales_dataset_1_!R537)</f>
        <v>11.168</v>
      </c>
      <c r="H539" s="14">
        <v>0.2</v>
      </c>
      <c r="I539" s="25">
        <f>SUM(Superstores_sales_dataset_1_!R537,Superstores_sales_dataset_1_!U537)</f>
        <v>14.7976</v>
      </c>
    </row>
    <row r="540" spans="6:9">
      <c r="F540" s="12" t="s">
        <v>2295</v>
      </c>
      <c r="G540" s="13">
        <f>AVERAGE(Superstores_sales_dataset_1_!R538)</f>
        <v>69.93</v>
      </c>
      <c r="H540" s="14">
        <v>0</v>
      </c>
      <c r="I540" s="25">
        <f>SUM(Superstores_sales_dataset_1_!R538,Superstores_sales_dataset_1_!U538)</f>
        <v>70.6293</v>
      </c>
    </row>
    <row r="541" spans="6:9">
      <c r="F541" s="12" t="s">
        <v>2299</v>
      </c>
      <c r="G541" s="13">
        <f>AVERAGE(Superstores_sales_dataset_1_!R539)</f>
        <v>77.6</v>
      </c>
      <c r="H541" s="14">
        <v>0.2</v>
      </c>
      <c r="I541" s="25">
        <f>SUM(Superstores_sales_dataset_1_!R539,Superstores_sales_dataset_1_!U539)</f>
        <v>105.73</v>
      </c>
    </row>
    <row r="542" spans="6:9">
      <c r="F542" s="12" t="s">
        <v>2303</v>
      </c>
      <c r="G542" s="13">
        <f>AVERAGE(Superstores_sales_dataset_1_!R540)</f>
        <v>75.6</v>
      </c>
      <c r="H542" s="14">
        <v>0.8</v>
      </c>
      <c r="I542" s="25">
        <f>SUM(Superstores_sales_dataset_1_!R540,Superstores_sales_dataset_1_!U540)</f>
        <v>-90.72</v>
      </c>
    </row>
    <row r="543" spans="6:9">
      <c r="F543" s="12" t="s">
        <v>2308</v>
      </c>
      <c r="G543" s="13">
        <f>AVERAGE(Superstores_sales_dataset_1_!R541)</f>
        <v>1127.976</v>
      </c>
      <c r="H543" s="14">
        <v>0.2</v>
      </c>
      <c r="I543" s="25">
        <f>SUM(Superstores_sales_dataset_1_!R541,Superstores_sales_dataset_1_!U541)</f>
        <v>1254.8733</v>
      </c>
    </row>
    <row r="544" spans="6:9">
      <c r="F544" s="12" t="s">
        <v>2313</v>
      </c>
      <c r="G544" s="13">
        <f>AVERAGE(Superstores_sales_dataset_1_!R542)</f>
        <v>38.88</v>
      </c>
      <c r="H544" s="14">
        <v>0</v>
      </c>
      <c r="I544" s="25">
        <f>SUM(Superstores_sales_dataset_1_!R542,Superstores_sales_dataset_1_!U542)</f>
        <v>57.5424</v>
      </c>
    </row>
    <row r="545" spans="6:9">
      <c r="F545" s="12" t="s">
        <v>55</v>
      </c>
      <c r="G545" s="13">
        <f>AVERAGE(Superstores_sales_dataset_1_!R543)</f>
        <v>17.544</v>
      </c>
      <c r="H545" s="14">
        <v>0.2</v>
      </c>
      <c r="I545" s="25">
        <f>SUM(Superstores_sales_dataset_1_!R543,Superstores_sales_dataset_1_!U543)</f>
        <v>23.4651</v>
      </c>
    </row>
    <row r="546" spans="6:9">
      <c r="F546" s="12" t="s">
        <v>2320</v>
      </c>
      <c r="G546" s="13">
        <f>AVERAGE(Superstores_sales_dataset_1_!R544)</f>
        <v>140.81</v>
      </c>
      <c r="H546" s="14">
        <v>0</v>
      </c>
      <c r="I546" s="25">
        <f>SUM(Superstores_sales_dataset_1_!R544,Superstores_sales_dataset_1_!U544)</f>
        <v>180.2368</v>
      </c>
    </row>
    <row r="547" spans="6:9">
      <c r="F547" s="12" t="s">
        <v>2324</v>
      </c>
      <c r="G547" s="13">
        <f>AVERAGE(Superstores_sales_dataset_1_!R545)</f>
        <v>90.57</v>
      </c>
      <c r="H547" s="14">
        <v>0</v>
      </c>
      <c r="I547" s="25">
        <f>SUM(Superstores_sales_dataset_1_!R545,Superstores_sales_dataset_1_!U545)</f>
        <v>102.3441</v>
      </c>
    </row>
    <row r="548" spans="6:9">
      <c r="F548" s="12" t="s">
        <v>2328</v>
      </c>
      <c r="G548" s="13">
        <f>AVERAGE(Superstores_sales_dataset_1_!R546)</f>
        <v>727.45</v>
      </c>
      <c r="H548" s="14">
        <v>0.5</v>
      </c>
      <c r="I548" s="25">
        <f>SUM(Superstores_sales_dataset_1_!R546,Superstores_sales_dataset_1_!U546)</f>
        <v>261.882</v>
      </c>
    </row>
    <row r="549" spans="6:9">
      <c r="F549" s="12" t="s">
        <v>2332</v>
      </c>
      <c r="G549" s="13">
        <f>AVERAGE(Superstores_sales_dataset_1_!R547)</f>
        <v>99.2</v>
      </c>
      <c r="H549" s="14">
        <v>0</v>
      </c>
      <c r="I549" s="25">
        <f>SUM(Superstores_sales_dataset_1_!R547,Superstores_sales_dataset_1_!U547)</f>
        <v>124.992</v>
      </c>
    </row>
    <row r="550" spans="6:9">
      <c r="F550" s="12" t="s">
        <v>2337</v>
      </c>
      <c r="G550" s="13">
        <f>AVERAGE(Superstores_sales_dataset_1_!R548)</f>
        <v>70.98</v>
      </c>
      <c r="H550" s="14">
        <v>0</v>
      </c>
      <c r="I550" s="25">
        <f>SUM(Superstores_sales_dataset_1_!R548,Superstores_sales_dataset_1_!U548)</f>
        <v>91.5642</v>
      </c>
    </row>
    <row r="551" spans="6:9">
      <c r="F551" s="12" t="s">
        <v>1026</v>
      </c>
      <c r="G551" s="13">
        <f>AVERAGE(Superstores_sales_dataset_1_!R549)</f>
        <v>470.376</v>
      </c>
      <c r="H551" s="14">
        <v>0.2</v>
      </c>
      <c r="I551" s="25">
        <f>SUM(Superstores_sales_dataset_1_!R549,Superstores_sales_dataset_1_!U549)</f>
        <v>517.4136</v>
      </c>
    </row>
    <row r="552" spans="6:9">
      <c r="F552" s="12" t="s">
        <v>2344</v>
      </c>
      <c r="G552" s="13">
        <f>AVERAGE(Superstores_sales_dataset_1_!R550)</f>
        <v>34.65</v>
      </c>
      <c r="H552" s="14">
        <v>0</v>
      </c>
      <c r="I552" s="25">
        <f>SUM(Superstores_sales_dataset_1_!R550,Superstores_sales_dataset_1_!U550)</f>
        <v>45.045</v>
      </c>
    </row>
    <row r="553" spans="6:9">
      <c r="F553" s="12" t="s">
        <v>2348</v>
      </c>
      <c r="G553" s="13">
        <f>AVERAGE(Superstores_sales_dataset_1_!R551)</f>
        <v>1793.98</v>
      </c>
      <c r="H553" s="14">
        <v>0</v>
      </c>
      <c r="I553" s="25">
        <f>SUM(Superstores_sales_dataset_1_!R551,Superstores_sales_dataset_1_!U551)</f>
        <v>2637.1506</v>
      </c>
    </row>
    <row r="554" spans="6:9">
      <c r="F554" s="12" t="s">
        <v>934</v>
      </c>
      <c r="G554" s="13">
        <f>AVERAGE(Superstores_sales_dataset_1_!R552)</f>
        <v>909.12</v>
      </c>
      <c r="H554" s="14">
        <v>0</v>
      </c>
      <c r="I554" s="25">
        <f>SUM(Superstores_sales_dataset_1_!R552,Superstores_sales_dataset_1_!U552)</f>
        <v>918.2112</v>
      </c>
    </row>
    <row r="555" spans="6:9">
      <c r="F555" s="12" t="s">
        <v>2354</v>
      </c>
      <c r="G555" s="13">
        <f>AVERAGE(Superstores_sales_dataset_1_!R553)</f>
        <v>18.96</v>
      </c>
      <c r="H555" s="14">
        <v>0</v>
      </c>
      <c r="I555" s="25">
        <f>SUM(Superstores_sales_dataset_1_!R553,Superstores_sales_dataset_1_!U553)</f>
        <v>27.492</v>
      </c>
    </row>
    <row r="556" spans="6:9">
      <c r="F556" s="12" t="s">
        <v>1284</v>
      </c>
      <c r="G556" s="13">
        <f>AVERAGE(Superstores_sales_dataset_1_!R554)</f>
        <v>149.95</v>
      </c>
      <c r="H556" s="14">
        <v>0</v>
      </c>
      <c r="I556" s="25">
        <f>SUM(Superstores_sales_dataset_1_!R554,Superstores_sales_dataset_1_!U554)</f>
        <v>215.928</v>
      </c>
    </row>
    <row r="557" spans="6:9">
      <c r="F557" s="12" t="s">
        <v>2361</v>
      </c>
      <c r="G557" s="13">
        <f>AVERAGE(Superstores_sales_dataset_1_!R555)</f>
        <v>895.92</v>
      </c>
      <c r="H557" s="14">
        <v>0.2</v>
      </c>
      <c r="I557" s="25">
        <f>SUM(Superstores_sales_dataset_1_!R555,Superstores_sales_dataset_1_!U555)</f>
        <v>1198.293</v>
      </c>
    </row>
    <row r="558" spans="6:9">
      <c r="F558" s="12" t="s">
        <v>2365</v>
      </c>
      <c r="G558" s="13">
        <f>AVERAGE(Superstores_sales_dataset_1_!R556)</f>
        <v>863.64</v>
      </c>
      <c r="H558" s="14">
        <v>0.2</v>
      </c>
      <c r="I558" s="25">
        <f>SUM(Superstores_sales_dataset_1_!R556,Superstores_sales_dataset_1_!U556)</f>
        <v>971.595</v>
      </c>
    </row>
    <row r="559" spans="6:9">
      <c r="F559" s="12" t="s">
        <v>2370</v>
      </c>
      <c r="G559" s="13">
        <f>AVERAGE(Superstores_sales_dataset_1_!R557)</f>
        <v>19.968</v>
      </c>
      <c r="H559" s="14">
        <v>0.7</v>
      </c>
      <c r="I559" s="25">
        <f>SUM(Superstores_sales_dataset_1_!R557,Superstores_sales_dataset_1_!U557)</f>
        <v>6.656</v>
      </c>
    </row>
    <row r="560" spans="6:9">
      <c r="F560" s="12" t="s">
        <v>1562</v>
      </c>
      <c r="G560" s="13">
        <f>AVERAGE(Superstores_sales_dataset_1_!R558)</f>
        <v>23.1</v>
      </c>
      <c r="H560" s="14">
        <v>0</v>
      </c>
      <c r="I560" s="25">
        <f>SUM(Superstores_sales_dataset_1_!R558,Superstores_sales_dataset_1_!U558)</f>
        <v>29.568</v>
      </c>
    </row>
    <row r="561" spans="6:9">
      <c r="F561" s="12" t="s">
        <v>2376</v>
      </c>
      <c r="G561" s="13">
        <f>AVERAGE(Superstores_sales_dataset_1_!R559)</f>
        <v>5.104</v>
      </c>
      <c r="H561" s="14">
        <v>0.8</v>
      </c>
      <c r="I561" s="25">
        <f>SUM(Superstores_sales_dataset_1_!R559,Superstores_sales_dataset_1_!U559)</f>
        <v>-3.5728</v>
      </c>
    </row>
    <row r="562" spans="6:9">
      <c r="F562" s="12" t="s">
        <v>2380</v>
      </c>
      <c r="G562" s="13">
        <f>AVERAGE(Superstores_sales_dataset_1_!R560)</f>
        <v>1439.976</v>
      </c>
      <c r="H562" s="14">
        <v>0.4</v>
      </c>
      <c r="I562" s="25">
        <f>SUM(Superstores_sales_dataset_1_!R560,Superstores_sales_dataset_1_!U560)</f>
        <v>1631.9728</v>
      </c>
    </row>
    <row r="563" spans="6:9">
      <c r="F563" s="12" t="s">
        <v>2384</v>
      </c>
      <c r="G563" s="13">
        <f>AVERAGE(Superstores_sales_dataset_1_!R561)</f>
        <v>294.62</v>
      </c>
      <c r="H563" s="14">
        <v>0.8</v>
      </c>
      <c r="I563" s="25">
        <f>SUM(Superstores_sales_dataset_1_!R561,Superstores_sales_dataset_1_!U561)</f>
        <v>-471.392</v>
      </c>
    </row>
    <row r="564" spans="6:9">
      <c r="F564" s="12" t="s">
        <v>2388</v>
      </c>
      <c r="G564" s="13">
        <f>AVERAGE(Superstores_sales_dataset_1_!R562)</f>
        <v>199.95</v>
      </c>
      <c r="H564" s="14">
        <v>0</v>
      </c>
      <c r="I564" s="25">
        <f>SUM(Superstores_sales_dataset_1_!R562,Superstores_sales_dataset_1_!U562)</f>
        <v>221.9445</v>
      </c>
    </row>
    <row r="565" spans="6:9">
      <c r="F565" s="12" t="s">
        <v>2392</v>
      </c>
      <c r="G565" s="13">
        <f>AVERAGE(Superstores_sales_dataset_1_!R563)</f>
        <v>159.984</v>
      </c>
      <c r="H565" s="14">
        <v>0.2</v>
      </c>
      <c r="I565" s="25">
        <f>SUM(Superstores_sales_dataset_1_!R563,Superstores_sales_dataset_1_!U563)</f>
        <v>195.9804</v>
      </c>
    </row>
    <row r="566" spans="6:9">
      <c r="F566" s="12" t="s">
        <v>2396</v>
      </c>
      <c r="G566" s="13">
        <f>AVERAGE(Superstores_sales_dataset_1_!R564)</f>
        <v>350.98</v>
      </c>
      <c r="H566" s="14">
        <v>0</v>
      </c>
      <c r="I566" s="25">
        <f>SUM(Superstores_sales_dataset_1_!R564,Superstores_sales_dataset_1_!U564)</f>
        <v>435.2152</v>
      </c>
    </row>
    <row r="567" spans="6:9">
      <c r="F567" s="12" t="s">
        <v>1138</v>
      </c>
      <c r="G567" s="13">
        <f>AVERAGE(Superstores_sales_dataset_1_!R565)</f>
        <v>1606.23</v>
      </c>
      <c r="H567" s="14">
        <v>0</v>
      </c>
      <c r="I567" s="25">
        <f>SUM(Superstores_sales_dataset_1_!R565,Superstores_sales_dataset_1_!U565)</f>
        <v>2088.099</v>
      </c>
    </row>
    <row r="568" spans="6:9">
      <c r="F568" s="12" t="s">
        <v>2402</v>
      </c>
      <c r="G568" s="13">
        <f>AVERAGE(Superstores_sales_dataset_1_!R566)</f>
        <v>8.26</v>
      </c>
      <c r="H568" s="14">
        <v>0</v>
      </c>
      <c r="I568" s="25">
        <f>SUM(Superstores_sales_dataset_1_!R566,Superstores_sales_dataset_1_!U566)</f>
        <v>12.1422</v>
      </c>
    </row>
    <row r="569" spans="6:9">
      <c r="F569" s="12" t="s">
        <v>1881</v>
      </c>
      <c r="G569" s="13">
        <f>AVERAGE(Superstores_sales_dataset_1_!R567)</f>
        <v>162.64</v>
      </c>
      <c r="H569" s="14">
        <v>0</v>
      </c>
      <c r="I569" s="25">
        <f>SUM(Superstores_sales_dataset_1_!R567,Superstores_sales_dataset_1_!U567)</f>
        <v>208.1792</v>
      </c>
    </row>
    <row r="570" spans="6:9">
      <c r="F570" s="12" t="s">
        <v>2409</v>
      </c>
      <c r="G570" s="13">
        <f>AVERAGE(Superstores_sales_dataset_1_!R568)</f>
        <v>1.941</v>
      </c>
      <c r="H570" s="14">
        <v>0.7</v>
      </c>
      <c r="I570" s="25">
        <f>SUM(Superstores_sales_dataset_1_!R568,Superstores_sales_dataset_1_!U568)</f>
        <v>0.647</v>
      </c>
    </row>
    <row r="571" spans="6:9">
      <c r="F571" s="12" t="s">
        <v>1112</v>
      </c>
      <c r="G571" s="13">
        <f>AVERAGE(Superstores_sales_dataset_1_!R569)</f>
        <v>283.92</v>
      </c>
      <c r="H571" s="14">
        <v>0.2</v>
      </c>
      <c r="I571" s="25">
        <f>SUM(Superstores_sales_dataset_1_!R569,Superstores_sales_dataset_1_!U569)</f>
        <v>237.783</v>
      </c>
    </row>
    <row r="572" spans="6:9">
      <c r="F572" s="12" t="s">
        <v>2416</v>
      </c>
      <c r="G572" s="13">
        <f>AVERAGE(Superstores_sales_dataset_1_!R570)</f>
        <v>7.312</v>
      </c>
      <c r="H572" s="14">
        <v>0.2</v>
      </c>
      <c r="I572" s="25">
        <f>SUM(Superstores_sales_dataset_1_!R570,Superstores_sales_dataset_1_!U570)</f>
        <v>9.8712</v>
      </c>
    </row>
    <row r="573" spans="6:9">
      <c r="F573" s="12" t="s">
        <v>2421</v>
      </c>
      <c r="G573" s="13">
        <f>AVERAGE(Superstores_sales_dataset_1_!R571)</f>
        <v>39.9</v>
      </c>
      <c r="H573" s="14">
        <v>0</v>
      </c>
      <c r="I573" s="25">
        <f>SUM(Superstores_sales_dataset_1_!R571,Superstores_sales_dataset_1_!U571)</f>
        <v>59.85</v>
      </c>
    </row>
    <row r="574" spans="6:9">
      <c r="F574" s="12" t="s">
        <v>2425</v>
      </c>
      <c r="G574" s="13">
        <f>AVERAGE(Superstores_sales_dataset_1_!R572)</f>
        <v>26.55</v>
      </c>
      <c r="H574" s="14">
        <v>0</v>
      </c>
      <c r="I574" s="25">
        <f>SUM(Superstores_sales_dataset_1_!R572,Superstores_sales_dataset_1_!U572)</f>
        <v>39.5595</v>
      </c>
    </row>
    <row r="575" spans="6:9">
      <c r="F575" s="12" t="s">
        <v>2429</v>
      </c>
      <c r="G575" s="13">
        <f>AVERAGE(Superstores_sales_dataset_1_!R573)</f>
        <v>259.136</v>
      </c>
      <c r="H575" s="14">
        <v>0.2</v>
      </c>
      <c r="I575" s="25">
        <f>SUM(Superstores_sales_dataset_1_!R573,Superstores_sales_dataset_1_!U573)</f>
        <v>233.2224</v>
      </c>
    </row>
    <row r="576" spans="6:9">
      <c r="F576" s="12" t="s">
        <v>2434</v>
      </c>
      <c r="G576" s="13">
        <f>AVERAGE(Superstores_sales_dataset_1_!R574)</f>
        <v>15.552</v>
      </c>
      <c r="H576" s="14">
        <v>0.2</v>
      </c>
      <c r="I576" s="25">
        <f>SUM(Superstores_sales_dataset_1_!R574,Superstores_sales_dataset_1_!U574)</f>
        <v>20.9952</v>
      </c>
    </row>
    <row r="577" spans="6:9">
      <c r="F577" s="12" t="s">
        <v>2439</v>
      </c>
      <c r="G577" s="13">
        <f>AVERAGE(Superstores_sales_dataset_1_!R575)</f>
        <v>159.88</v>
      </c>
      <c r="H577" s="14">
        <v>0</v>
      </c>
      <c r="I577" s="25">
        <f>SUM(Superstores_sales_dataset_1_!R575,Superstores_sales_dataset_1_!U575)</f>
        <v>233.4248</v>
      </c>
    </row>
    <row r="578" spans="6:9">
      <c r="F578" s="12" t="s">
        <v>848</v>
      </c>
      <c r="G578" s="13">
        <f>AVERAGE(Superstores_sales_dataset_1_!R576)</f>
        <v>86.376</v>
      </c>
      <c r="H578" s="14">
        <v>0.2</v>
      </c>
      <c r="I578" s="25">
        <f>SUM(Superstores_sales_dataset_1_!R576,Superstores_sales_dataset_1_!U576)</f>
        <v>87.4557</v>
      </c>
    </row>
    <row r="579" spans="6:9">
      <c r="F579" s="12" t="s">
        <v>2446</v>
      </c>
      <c r="G579" s="13">
        <f>AVERAGE(Superstores_sales_dataset_1_!R577)</f>
        <v>33.28</v>
      </c>
      <c r="H579" s="14">
        <v>0</v>
      </c>
      <c r="I579" s="25">
        <f>SUM(Superstores_sales_dataset_1_!R577,Superstores_sales_dataset_1_!U577)</f>
        <v>42.5984</v>
      </c>
    </row>
    <row r="580" spans="6:9">
      <c r="F580" s="12" t="s">
        <v>83</v>
      </c>
      <c r="G580" s="13">
        <f>AVERAGE(Superstores_sales_dataset_1_!R578)</f>
        <v>152.991</v>
      </c>
      <c r="H580" s="14">
        <v>0.7</v>
      </c>
      <c r="I580" s="25">
        <f>SUM(Superstores_sales_dataset_1_!R578,Superstores_sales_dataset_1_!U578)</f>
        <v>30.5982</v>
      </c>
    </row>
    <row r="581" spans="6:9">
      <c r="F581" s="12" t="s">
        <v>2452</v>
      </c>
      <c r="G581" s="13">
        <f>AVERAGE(Superstores_sales_dataset_1_!R579)</f>
        <v>14.76</v>
      </c>
      <c r="H581" s="14">
        <v>0.6</v>
      </c>
      <c r="I581" s="25">
        <f>SUM(Superstores_sales_dataset_1_!R579,Superstores_sales_dataset_1_!U579)</f>
        <v>3.321</v>
      </c>
    </row>
    <row r="582" spans="6:9">
      <c r="F582" s="12" t="s">
        <v>2457</v>
      </c>
      <c r="G582" s="13">
        <f>AVERAGE(Superstores_sales_dataset_1_!R580)</f>
        <v>233.058</v>
      </c>
      <c r="H582" s="14">
        <v>0.3</v>
      </c>
      <c r="I582" s="25">
        <f>SUM(Superstores_sales_dataset_1_!R580,Superstores_sales_dataset_1_!U580)</f>
        <v>179.7876</v>
      </c>
    </row>
    <row r="583" spans="6:9">
      <c r="F583" s="12" t="s">
        <v>2462</v>
      </c>
      <c r="G583" s="13">
        <f>AVERAGE(Superstores_sales_dataset_1_!R581)</f>
        <v>111.79</v>
      </c>
      <c r="H583" s="14">
        <v>0</v>
      </c>
      <c r="I583" s="25">
        <f>SUM(Superstores_sales_dataset_1_!R581,Superstores_sales_dataset_1_!U581)</f>
        <v>155.3881</v>
      </c>
    </row>
    <row r="584" spans="6:9">
      <c r="F584" s="12" t="s">
        <v>2467</v>
      </c>
      <c r="G584" s="13">
        <f>AVERAGE(Superstores_sales_dataset_1_!R582)</f>
        <v>314.55</v>
      </c>
      <c r="H584" s="14">
        <v>0</v>
      </c>
      <c r="I584" s="25">
        <f>SUM(Superstores_sales_dataset_1_!R582,Superstores_sales_dataset_1_!U582)</f>
        <v>465.534</v>
      </c>
    </row>
    <row r="585" spans="6:9">
      <c r="F585" s="12" t="s">
        <v>1122</v>
      </c>
      <c r="G585" s="13">
        <f>AVERAGE(Superstores_sales_dataset_1_!R583)</f>
        <v>14.016</v>
      </c>
      <c r="H585" s="14">
        <v>0.2</v>
      </c>
      <c r="I585" s="25">
        <f>SUM(Superstores_sales_dataset_1_!R583,Superstores_sales_dataset_1_!U583)</f>
        <v>15.768</v>
      </c>
    </row>
    <row r="586" spans="6:9">
      <c r="F586" s="12" t="s">
        <v>2473</v>
      </c>
      <c r="G586" s="13">
        <f>AVERAGE(Superstores_sales_dataset_1_!R584)</f>
        <v>19.752</v>
      </c>
      <c r="H586" s="14">
        <v>0.2</v>
      </c>
      <c r="I586" s="25">
        <f>SUM(Superstores_sales_dataset_1_!R584,Superstores_sales_dataset_1_!U584)</f>
        <v>26.6652</v>
      </c>
    </row>
    <row r="587" spans="6:9">
      <c r="F587" s="12" t="s">
        <v>2478</v>
      </c>
      <c r="G587" s="13">
        <f>AVERAGE(Superstores_sales_dataset_1_!R585)</f>
        <v>45.68</v>
      </c>
      <c r="H587" s="14">
        <v>0</v>
      </c>
      <c r="I587" s="25">
        <f>SUM(Superstores_sales_dataset_1_!R585,Superstores_sales_dataset_1_!U585)</f>
        <v>66.6928</v>
      </c>
    </row>
    <row r="588" spans="6:9">
      <c r="F588" s="12" t="s">
        <v>2482</v>
      </c>
      <c r="G588" s="13">
        <f>AVERAGE(Superstores_sales_dataset_1_!R586)</f>
        <v>29</v>
      </c>
      <c r="H588" s="14">
        <v>0</v>
      </c>
      <c r="I588" s="25">
        <f>SUM(Superstores_sales_dataset_1_!R586,Superstores_sales_dataset_1_!U586)</f>
        <v>36.25</v>
      </c>
    </row>
    <row r="589" spans="6:9">
      <c r="F589" s="12" t="s">
        <v>1386</v>
      </c>
      <c r="G589" s="13">
        <f>AVERAGE(Superstores_sales_dataset_1_!R587)</f>
        <v>29.932</v>
      </c>
      <c r="H589" s="14">
        <v>0.8</v>
      </c>
      <c r="I589" s="25">
        <f>SUM(Superstores_sales_dataset_1_!R587,Superstores_sales_dataset_1_!U587)</f>
        <v>-16.4626</v>
      </c>
    </row>
    <row r="590" spans="6:9">
      <c r="F590" s="12" t="s">
        <v>2488</v>
      </c>
      <c r="G590" s="13">
        <f>AVERAGE(Superstores_sales_dataset_1_!R588)</f>
        <v>832.93</v>
      </c>
      <c r="H590" s="14">
        <v>0</v>
      </c>
      <c r="I590" s="25">
        <f>SUM(Superstores_sales_dataset_1_!R588,Superstores_sales_dataset_1_!U588)</f>
        <v>1066.1504</v>
      </c>
    </row>
    <row r="591" spans="6:9">
      <c r="F591" s="12" t="s">
        <v>2492</v>
      </c>
      <c r="G591" s="13">
        <f>AVERAGE(Superstores_sales_dataset_1_!R589)</f>
        <v>2.816</v>
      </c>
      <c r="H591" s="14">
        <v>0.2</v>
      </c>
      <c r="I591" s="25">
        <f>SUM(Superstores_sales_dataset_1_!R589,Superstores_sales_dataset_1_!U589)</f>
        <v>3.8016</v>
      </c>
    </row>
    <row r="592" spans="6:9">
      <c r="F592" s="12" t="s">
        <v>1604</v>
      </c>
      <c r="G592" s="13">
        <f>AVERAGE(Superstores_sales_dataset_1_!R590)</f>
        <v>9.984</v>
      </c>
      <c r="H592" s="14">
        <v>0.2</v>
      </c>
      <c r="I592" s="25">
        <f>SUM(Superstores_sales_dataset_1_!R590,Superstores_sales_dataset_1_!U590)</f>
        <v>13.6032</v>
      </c>
    </row>
    <row r="593" spans="6:9">
      <c r="F593" s="12" t="s">
        <v>2499</v>
      </c>
      <c r="G593" s="13">
        <f>AVERAGE(Superstores_sales_dataset_1_!R591)</f>
        <v>485.94</v>
      </c>
      <c r="H593" s="14">
        <v>0.4</v>
      </c>
      <c r="I593" s="25">
        <f>SUM(Superstores_sales_dataset_1_!R591,Superstores_sales_dataset_1_!U591)</f>
        <v>396.851</v>
      </c>
    </row>
    <row r="594" spans="6:9">
      <c r="F594" s="12" t="s">
        <v>2504</v>
      </c>
      <c r="G594" s="13">
        <f>AVERAGE(Superstores_sales_dataset_1_!R592)</f>
        <v>72.294</v>
      </c>
      <c r="H594" s="14">
        <v>0.7</v>
      </c>
      <c r="I594" s="25">
        <f>SUM(Superstores_sales_dataset_1_!R592,Superstores_sales_dataset_1_!U592)</f>
        <v>-26.5078</v>
      </c>
    </row>
    <row r="595" spans="6:9">
      <c r="F595" s="12" t="s">
        <v>1691</v>
      </c>
      <c r="G595" s="13">
        <f>AVERAGE(Superstores_sales_dataset_1_!R593)</f>
        <v>526.45</v>
      </c>
      <c r="H595" s="14">
        <v>0</v>
      </c>
      <c r="I595" s="25">
        <f>SUM(Superstores_sales_dataset_1_!R593,Superstores_sales_dataset_1_!U593)</f>
        <v>558.037</v>
      </c>
    </row>
    <row r="596" spans="6:9">
      <c r="F596" s="12" t="s">
        <v>2510</v>
      </c>
      <c r="G596" s="13">
        <f>AVERAGE(Superstores_sales_dataset_1_!R594)</f>
        <v>1016.792</v>
      </c>
      <c r="H596" s="14">
        <v>0.2</v>
      </c>
      <c r="I596" s="25">
        <f>SUM(Superstores_sales_dataset_1_!R594,Superstores_sales_dataset_1_!U594)</f>
        <v>1398.089</v>
      </c>
    </row>
    <row r="597" spans="6:9">
      <c r="F597" s="12" t="s">
        <v>265</v>
      </c>
      <c r="G597" s="13">
        <f>AVERAGE(Superstores_sales_dataset_1_!R595)</f>
        <v>56.56</v>
      </c>
      <c r="H597" s="14">
        <v>0</v>
      </c>
      <c r="I597" s="25">
        <f>SUM(Superstores_sales_dataset_1_!R595,Superstores_sales_dataset_1_!U595)</f>
        <v>71.8312</v>
      </c>
    </row>
    <row r="598" spans="6:9">
      <c r="F598" s="12" t="s">
        <v>2516</v>
      </c>
      <c r="G598" s="13">
        <f>AVERAGE(Superstores_sales_dataset_1_!R596)</f>
        <v>13.36</v>
      </c>
      <c r="H598" s="14">
        <v>0</v>
      </c>
      <c r="I598" s="25">
        <f>SUM(Superstores_sales_dataset_1_!R596,Superstores_sales_dataset_1_!U596)</f>
        <v>19.7728</v>
      </c>
    </row>
    <row r="599" spans="6:9">
      <c r="F599" s="12" t="s">
        <v>2520</v>
      </c>
      <c r="G599" s="13">
        <f>AVERAGE(Superstores_sales_dataset_1_!R597)</f>
        <v>5</v>
      </c>
      <c r="H599" s="14">
        <v>0</v>
      </c>
      <c r="I599" s="25">
        <f>SUM(Superstores_sales_dataset_1_!R597,Superstores_sales_dataset_1_!U597)</f>
        <v>7.4</v>
      </c>
    </row>
    <row r="600" spans="6:9">
      <c r="F600" s="12" t="s">
        <v>1268</v>
      </c>
      <c r="G600" s="13">
        <f>AVERAGE(Superstores_sales_dataset_1_!R598)</f>
        <v>166.24</v>
      </c>
      <c r="H600" s="14">
        <v>0</v>
      </c>
      <c r="I600" s="25">
        <f>SUM(Superstores_sales_dataset_1_!R598,Superstores_sales_dataset_1_!U598)</f>
        <v>191.176</v>
      </c>
    </row>
    <row r="601" spans="6:9">
      <c r="F601" s="12" t="s">
        <v>1259</v>
      </c>
      <c r="G601" s="13">
        <f>AVERAGE(Superstores_sales_dataset_1_!R599)</f>
        <v>359.97</v>
      </c>
      <c r="H601" s="14">
        <v>0</v>
      </c>
      <c r="I601" s="25">
        <f>SUM(Superstores_sales_dataset_1_!R599,Superstores_sales_dataset_1_!U599)</f>
        <v>439.1634</v>
      </c>
    </row>
    <row r="602" spans="6:9">
      <c r="F602" s="12" t="s">
        <v>2528</v>
      </c>
      <c r="G602" s="13">
        <f>AVERAGE(Superstores_sales_dataset_1_!R600)</f>
        <v>7.968</v>
      </c>
      <c r="H602" s="14">
        <v>0.2</v>
      </c>
      <c r="I602" s="25">
        <f>SUM(Superstores_sales_dataset_1_!R600,Superstores_sales_dataset_1_!U600)</f>
        <v>10.6572</v>
      </c>
    </row>
    <row r="603" spans="6:9">
      <c r="F603" s="12" t="s">
        <v>2532</v>
      </c>
      <c r="G603" s="13">
        <f>AVERAGE(Superstores_sales_dataset_1_!R601)</f>
        <v>12.96</v>
      </c>
      <c r="H603" s="14">
        <v>0</v>
      </c>
      <c r="I603" s="25">
        <f>SUM(Superstores_sales_dataset_1_!R601,Superstores_sales_dataset_1_!U601)</f>
        <v>19.3104</v>
      </c>
    </row>
    <row r="604" spans="6:9">
      <c r="F604" s="12" t="s">
        <v>2536</v>
      </c>
      <c r="G604" s="13">
        <f>AVERAGE(Superstores_sales_dataset_1_!R602)</f>
        <v>97.568</v>
      </c>
      <c r="H604" s="14">
        <v>0.2</v>
      </c>
      <c r="I604" s="25">
        <f>SUM(Superstores_sales_dataset_1_!R602,Superstores_sales_dataset_1_!U602)</f>
        <v>91.47</v>
      </c>
    </row>
    <row r="605" spans="6:9">
      <c r="F605" s="12" t="s">
        <v>2540</v>
      </c>
      <c r="G605" s="13">
        <f>AVERAGE(Superstores_sales_dataset_1_!R603)</f>
        <v>14.352</v>
      </c>
      <c r="H605" s="14">
        <v>0.2</v>
      </c>
      <c r="I605" s="25">
        <f>SUM(Superstores_sales_dataset_1_!R603,Superstores_sales_dataset_1_!U603)</f>
        <v>19.5546</v>
      </c>
    </row>
    <row r="606" spans="6:9">
      <c r="F606" s="12" t="s">
        <v>2544</v>
      </c>
      <c r="G606" s="13">
        <f>AVERAGE(Superstores_sales_dataset_1_!R604)</f>
        <v>892.98</v>
      </c>
      <c r="H606" s="14">
        <v>0</v>
      </c>
      <c r="I606" s="25">
        <f>SUM(Superstores_sales_dataset_1_!R604,Superstores_sales_dataset_1_!U604)</f>
        <v>973.3482</v>
      </c>
    </row>
    <row r="607" spans="6:9">
      <c r="F607" s="12" t="s">
        <v>1044</v>
      </c>
      <c r="G607" s="13">
        <f>AVERAGE(Superstores_sales_dataset_1_!R605)</f>
        <v>390.75</v>
      </c>
      <c r="H607" s="14">
        <v>0</v>
      </c>
      <c r="I607" s="25">
        <f>SUM(Superstores_sales_dataset_1_!R605,Superstores_sales_dataset_1_!U605)</f>
        <v>562.68</v>
      </c>
    </row>
    <row r="608" spans="6:9">
      <c r="F608" s="12" t="s">
        <v>2550</v>
      </c>
      <c r="G608" s="13">
        <f>AVERAGE(Superstores_sales_dataset_1_!R606)</f>
        <v>280.792</v>
      </c>
      <c r="H608" s="14">
        <v>0.2</v>
      </c>
      <c r="I608" s="25">
        <f>SUM(Superstores_sales_dataset_1_!R606,Superstores_sales_dataset_1_!U606)</f>
        <v>315.891</v>
      </c>
    </row>
    <row r="609" spans="6:9">
      <c r="F609" s="12" t="s">
        <v>2556</v>
      </c>
      <c r="G609" s="13">
        <f>AVERAGE(Superstores_sales_dataset_1_!R607)</f>
        <v>14.62</v>
      </c>
      <c r="H609" s="14">
        <v>0</v>
      </c>
      <c r="I609" s="25">
        <f>SUM(Superstores_sales_dataset_1_!R607,Superstores_sales_dataset_1_!U607)</f>
        <v>21.4914</v>
      </c>
    </row>
    <row r="610" spans="6:9">
      <c r="F610" s="12" t="s">
        <v>2370</v>
      </c>
      <c r="G610" s="13">
        <f>AVERAGE(Superstores_sales_dataset_1_!R608)</f>
        <v>79.872</v>
      </c>
      <c r="H610" s="14">
        <v>0.2</v>
      </c>
      <c r="I610" s="25">
        <f>SUM(Superstores_sales_dataset_1_!R608,Superstores_sales_dataset_1_!U608)</f>
        <v>109.824</v>
      </c>
    </row>
    <row r="611" spans="6:9">
      <c r="F611" s="12" t="s">
        <v>2563</v>
      </c>
      <c r="G611" s="13">
        <f>AVERAGE(Superstores_sales_dataset_1_!R609)</f>
        <v>14.352</v>
      </c>
      <c r="H611" s="14">
        <v>0.2</v>
      </c>
      <c r="I611" s="25">
        <f>SUM(Superstores_sales_dataset_1_!R609,Superstores_sales_dataset_1_!U609)</f>
        <v>19.5546</v>
      </c>
    </row>
    <row r="612" spans="6:9">
      <c r="F612" s="12" t="s">
        <v>783</v>
      </c>
      <c r="G612" s="13">
        <f>AVERAGE(Superstores_sales_dataset_1_!R610)</f>
        <v>69.216</v>
      </c>
      <c r="H612" s="14">
        <v>0.2</v>
      </c>
      <c r="I612" s="25">
        <f>SUM(Superstores_sales_dataset_1_!R610,Superstores_sales_dataset_1_!U610)</f>
        <v>80.4636</v>
      </c>
    </row>
    <row r="613" spans="6:9">
      <c r="F613" s="12" t="s">
        <v>2570</v>
      </c>
      <c r="G613" s="13">
        <f>AVERAGE(Superstores_sales_dataset_1_!R611)</f>
        <v>1552.831</v>
      </c>
      <c r="H613" s="14">
        <v>0.15</v>
      </c>
      <c r="I613" s="25">
        <f>SUM(Superstores_sales_dataset_1_!R611,Superstores_sales_dataset_1_!U611)</f>
        <v>1753.7856</v>
      </c>
    </row>
    <row r="614" spans="6:9">
      <c r="F614" s="12" t="s">
        <v>2574</v>
      </c>
      <c r="G614" s="13">
        <f>AVERAGE(Superstores_sales_dataset_1_!R612)</f>
        <v>176.04</v>
      </c>
      <c r="H614" s="14">
        <v>0</v>
      </c>
      <c r="I614" s="25">
        <f>SUM(Superstores_sales_dataset_1_!R612,Superstores_sales_dataset_1_!U612)</f>
        <v>221.8104</v>
      </c>
    </row>
    <row r="615" spans="6:9">
      <c r="F615" s="12" t="s">
        <v>2578</v>
      </c>
      <c r="G615" s="13">
        <f>AVERAGE(Superstores_sales_dataset_1_!R613)</f>
        <v>6.48</v>
      </c>
      <c r="H615" s="14">
        <v>0</v>
      </c>
      <c r="I615" s="25">
        <f>SUM(Superstores_sales_dataset_1_!R613,Superstores_sales_dataset_1_!U613)</f>
        <v>9.5904</v>
      </c>
    </row>
    <row r="616" spans="6:9">
      <c r="F616" s="12" t="s">
        <v>2582</v>
      </c>
      <c r="G616" s="13">
        <f>AVERAGE(Superstores_sales_dataset_1_!R614)</f>
        <v>24.2</v>
      </c>
      <c r="H616" s="14">
        <v>0</v>
      </c>
      <c r="I616" s="25">
        <f>SUM(Superstores_sales_dataset_1_!R614,Superstores_sales_dataset_1_!U614)</f>
        <v>32.186</v>
      </c>
    </row>
    <row r="617" spans="6:9">
      <c r="F617" s="12" t="s">
        <v>2586</v>
      </c>
      <c r="G617" s="13">
        <f>AVERAGE(Superstores_sales_dataset_1_!R615)</f>
        <v>7.52</v>
      </c>
      <c r="H617" s="14">
        <v>0.2</v>
      </c>
      <c r="I617" s="25">
        <f>SUM(Superstores_sales_dataset_1_!R615,Superstores_sales_dataset_1_!U615)</f>
        <v>10.152</v>
      </c>
    </row>
    <row r="618" spans="6:9">
      <c r="F618" s="12" t="s">
        <v>2591</v>
      </c>
      <c r="G618" s="13">
        <f>AVERAGE(Superstores_sales_dataset_1_!R616)</f>
        <v>595</v>
      </c>
      <c r="H618" s="14">
        <v>0</v>
      </c>
      <c r="I618" s="25">
        <f>SUM(Superstores_sales_dataset_1_!R616,Superstores_sales_dataset_1_!U616)</f>
        <v>690.2</v>
      </c>
    </row>
    <row r="619" spans="6:9">
      <c r="F619" s="12" t="s">
        <v>256</v>
      </c>
      <c r="G619" s="13">
        <f>AVERAGE(Superstores_sales_dataset_1_!R617)</f>
        <v>230.376</v>
      </c>
      <c r="H619" s="14">
        <v>0.2</v>
      </c>
      <c r="I619" s="25">
        <f>SUM(Superstores_sales_dataset_1_!R617,Superstores_sales_dataset_1_!U617)</f>
        <v>181.4211</v>
      </c>
    </row>
    <row r="620" spans="6:9">
      <c r="F620" s="12" t="s">
        <v>2598</v>
      </c>
      <c r="G620" s="13">
        <f>AVERAGE(Superstores_sales_dataset_1_!R618)</f>
        <v>366.786</v>
      </c>
      <c r="H620" s="14">
        <v>0.1</v>
      </c>
      <c r="I620" s="25">
        <f>SUM(Superstores_sales_dataset_1_!R618,Superstores_sales_dataset_1_!U618)</f>
        <v>431.9924</v>
      </c>
    </row>
    <row r="621" spans="6:9">
      <c r="F621" s="12" t="s">
        <v>2602</v>
      </c>
      <c r="G621" s="13">
        <f>AVERAGE(Superstores_sales_dataset_1_!R619)</f>
        <v>145.98</v>
      </c>
      <c r="H621" s="14">
        <v>0.5</v>
      </c>
      <c r="I621" s="25">
        <f>SUM(Superstores_sales_dataset_1_!R619,Superstores_sales_dataset_1_!U619)</f>
        <v>46.7136</v>
      </c>
    </row>
    <row r="622" spans="6:9">
      <c r="F622" s="12" t="s">
        <v>2606</v>
      </c>
      <c r="G622" s="13">
        <f>AVERAGE(Superstores_sales_dataset_1_!R620)</f>
        <v>29.97</v>
      </c>
      <c r="H622" s="14">
        <v>0</v>
      </c>
      <c r="I622" s="25">
        <f>SUM(Superstores_sales_dataset_1_!R620,Superstores_sales_dataset_1_!U620)</f>
        <v>43.4565</v>
      </c>
    </row>
    <row r="623" spans="6:9">
      <c r="F623" s="12" t="s">
        <v>2610</v>
      </c>
      <c r="G623" s="13">
        <f>AVERAGE(Superstores_sales_dataset_1_!R621)</f>
        <v>14.272</v>
      </c>
      <c r="H623" s="14">
        <v>0.2</v>
      </c>
      <c r="I623" s="25">
        <f>SUM(Superstores_sales_dataset_1_!R621,Superstores_sales_dataset_1_!U621)</f>
        <v>18.5536</v>
      </c>
    </row>
    <row r="624" spans="6:9">
      <c r="F624" s="12" t="s">
        <v>2614</v>
      </c>
      <c r="G624" s="13">
        <f>AVERAGE(Superstores_sales_dataset_1_!R622)</f>
        <v>1322.352</v>
      </c>
      <c r="H624" s="14">
        <v>0.2</v>
      </c>
      <c r="I624" s="25">
        <f>SUM(Superstores_sales_dataset_1_!R622,Superstores_sales_dataset_1_!U622)</f>
        <v>1223.1756</v>
      </c>
    </row>
    <row r="625" spans="6:9">
      <c r="F625" s="12" t="s">
        <v>2618</v>
      </c>
      <c r="G625" s="13">
        <f>AVERAGE(Superstores_sales_dataset_1_!R623)</f>
        <v>631.96</v>
      </c>
      <c r="H625" s="14">
        <v>0</v>
      </c>
      <c r="I625" s="25">
        <f>SUM(Superstores_sales_dataset_1_!R623,Superstores_sales_dataset_1_!U623)</f>
        <v>935.3008</v>
      </c>
    </row>
    <row r="626" spans="6:9">
      <c r="F626" s="12" t="s">
        <v>2623</v>
      </c>
      <c r="G626" s="13">
        <f>AVERAGE(Superstores_sales_dataset_1_!R624)</f>
        <v>4548.81</v>
      </c>
      <c r="H626" s="14">
        <v>0</v>
      </c>
      <c r="I626" s="25">
        <f>SUM(Superstores_sales_dataset_1_!R624,Superstores_sales_dataset_1_!U624)</f>
        <v>5776.9887</v>
      </c>
    </row>
    <row r="627" spans="6:9">
      <c r="F627" s="12" t="s">
        <v>916</v>
      </c>
      <c r="G627" s="13">
        <f>AVERAGE(Superstores_sales_dataset_1_!R625)</f>
        <v>647.84</v>
      </c>
      <c r="H627" s="14">
        <v>0</v>
      </c>
      <c r="I627" s="25">
        <f>SUM(Superstores_sales_dataset_1_!R625,Superstores_sales_dataset_1_!U625)</f>
        <v>680.232</v>
      </c>
    </row>
    <row r="628" spans="6:9">
      <c r="F628" s="12" t="s">
        <v>1759</v>
      </c>
      <c r="G628" s="13">
        <f>AVERAGE(Superstores_sales_dataset_1_!R626)</f>
        <v>12.224</v>
      </c>
      <c r="H628" s="14">
        <v>0.2</v>
      </c>
      <c r="I628" s="25">
        <f>SUM(Superstores_sales_dataset_1_!R626,Superstores_sales_dataset_1_!U626)</f>
        <v>16.6552</v>
      </c>
    </row>
    <row r="629" spans="6:9">
      <c r="F629" s="12" t="s">
        <v>2632</v>
      </c>
      <c r="G629" s="13">
        <f>AVERAGE(Superstores_sales_dataset_1_!R627)</f>
        <v>7.38</v>
      </c>
      <c r="H629" s="14">
        <v>0</v>
      </c>
      <c r="I629" s="25">
        <f>SUM(Superstores_sales_dataset_1_!R627,Superstores_sales_dataset_1_!U627)</f>
        <v>10.8486</v>
      </c>
    </row>
    <row r="630" spans="6:9">
      <c r="F630" s="12" t="s">
        <v>1035</v>
      </c>
      <c r="G630" s="13">
        <f>AVERAGE(Superstores_sales_dataset_1_!R628)</f>
        <v>45.66</v>
      </c>
      <c r="H630" s="14">
        <v>0.7</v>
      </c>
      <c r="I630" s="25">
        <f>SUM(Superstores_sales_dataset_1_!R628,Superstores_sales_dataset_1_!U628)</f>
        <v>12.176</v>
      </c>
    </row>
    <row r="631" spans="6:9">
      <c r="F631" s="12" t="s">
        <v>1122</v>
      </c>
      <c r="G631" s="13">
        <f>AVERAGE(Superstores_sales_dataset_1_!R629)</f>
        <v>42.048</v>
      </c>
      <c r="H631" s="14">
        <v>0.2</v>
      </c>
      <c r="I631" s="25">
        <f>SUM(Superstores_sales_dataset_1_!R629,Superstores_sales_dataset_1_!U629)</f>
        <v>47.304</v>
      </c>
    </row>
    <row r="632" spans="6:9">
      <c r="F632" s="12" t="s">
        <v>312</v>
      </c>
      <c r="G632" s="13">
        <f>AVERAGE(Superstores_sales_dataset_1_!R630)</f>
        <v>46.32</v>
      </c>
      <c r="H632" s="14">
        <v>0</v>
      </c>
      <c r="I632" s="25">
        <f>SUM(Superstores_sales_dataset_1_!R630,Superstores_sales_dataset_1_!U630)</f>
        <v>64.3848</v>
      </c>
    </row>
    <row r="633" spans="6:9">
      <c r="F633" s="12" t="s">
        <v>2643</v>
      </c>
      <c r="G633" s="13">
        <f>AVERAGE(Superstores_sales_dataset_1_!R631)</f>
        <v>111.888</v>
      </c>
      <c r="H633" s="14">
        <v>0.2</v>
      </c>
      <c r="I633" s="25">
        <f>SUM(Superstores_sales_dataset_1_!R631,Superstores_sales_dataset_1_!U631)</f>
        <v>134.2656</v>
      </c>
    </row>
    <row r="634" spans="6:9">
      <c r="F634" s="12" t="s">
        <v>1734</v>
      </c>
      <c r="G634" s="13">
        <f>AVERAGE(Superstores_sales_dataset_1_!R632)</f>
        <v>143.952</v>
      </c>
      <c r="H634" s="14">
        <v>0.2</v>
      </c>
      <c r="I634" s="25">
        <f>SUM(Superstores_sales_dataset_1_!R632,Superstores_sales_dataset_1_!U632)</f>
        <v>158.3472</v>
      </c>
    </row>
    <row r="635" spans="6:9">
      <c r="F635" s="12" t="s">
        <v>2649</v>
      </c>
      <c r="G635" s="13">
        <f>AVERAGE(Superstores_sales_dataset_1_!R633)</f>
        <v>71</v>
      </c>
      <c r="H635" s="14">
        <v>0</v>
      </c>
      <c r="I635" s="25">
        <f>SUM(Superstores_sales_dataset_1_!R633,Superstores_sales_dataset_1_!U633)</f>
        <v>98.69</v>
      </c>
    </row>
    <row r="636" spans="6:9">
      <c r="F636" s="12" t="s">
        <v>2654</v>
      </c>
      <c r="G636" s="13">
        <f>AVERAGE(Superstores_sales_dataset_1_!R634)</f>
        <v>1399.944</v>
      </c>
      <c r="H636" s="14">
        <v>0.2</v>
      </c>
      <c r="I636" s="25">
        <f>SUM(Superstores_sales_dataset_1_!R634,Superstores_sales_dataset_1_!U634)</f>
        <v>1452.4419</v>
      </c>
    </row>
    <row r="637" spans="6:9">
      <c r="F637" s="12" t="s">
        <v>138</v>
      </c>
      <c r="G637" s="13">
        <f>AVERAGE(Superstores_sales_dataset_1_!R635)</f>
        <v>14.94</v>
      </c>
      <c r="H637" s="14">
        <v>0</v>
      </c>
      <c r="I637" s="25">
        <f>SUM(Superstores_sales_dataset_1_!R635,Superstores_sales_dataset_1_!U635)</f>
        <v>21.9618</v>
      </c>
    </row>
    <row r="638" spans="6:9">
      <c r="F638" s="12" t="s">
        <v>2660</v>
      </c>
      <c r="G638" s="13">
        <f>AVERAGE(Superstores_sales_dataset_1_!R636)</f>
        <v>1.167</v>
      </c>
      <c r="H638" s="14">
        <v>0.7</v>
      </c>
      <c r="I638" s="25">
        <f>SUM(Superstores_sales_dataset_1_!R636,Superstores_sales_dataset_1_!U636)</f>
        <v>0.3112</v>
      </c>
    </row>
    <row r="639" spans="6:9">
      <c r="F639" s="12" t="s">
        <v>2664</v>
      </c>
      <c r="G639" s="13">
        <f>AVERAGE(Superstores_sales_dataset_1_!R637)</f>
        <v>41.568</v>
      </c>
      <c r="H639" s="14">
        <v>0.2</v>
      </c>
      <c r="I639" s="25">
        <f>SUM(Superstores_sales_dataset_1_!R637,Superstores_sales_dataset_1_!U637)</f>
        <v>44.166</v>
      </c>
    </row>
    <row r="640" spans="6:9">
      <c r="F640" s="12" t="s">
        <v>861</v>
      </c>
      <c r="G640" s="13">
        <f>AVERAGE(Superstores_sales_dataset_1_!R638)</f>
        <v>230.28</v>
      </c>
      <c r="H640" s="14">
        <v>0.2</v>
      </c>
      <c r="I640" s="25">
        <f>SUM(Superstores_sales_dataset_1_!R638,Superstores_sales_dataset_1_!U638)</f>
        <v>253.308</v>
      </c>
    </row>
    <row r="641" spans="6:9">
      <c r="F641" s="12" t="s">
        <v>2670</v>
      </c>
      <c r="G641" s="13">
        <f>AVERAGE(Superstores_sales_dataset_1_!R639)</f>
        <v>25.92</v>
      </c>
      <c r="H641" s="14">
        <v>0</v>
      </c>
      <c r="I641" s="25">
        <f>SUM(Superstores_sales_dataset_1_!R639,Superstores_sales_dataset_1_!U639)</f>
        <v>38.3616</v>
      </c>
    </row>
    <row r="642" spans="6:9">
      <c r="F642" s="12" t="s">
        <v>2674</v>
      </c>
      <c r="G642" s="13">
        <f>AVERAGE(Superstores_sales_dataset_1_!R640)</f>
        <v>11199.968</v>
      </c>
      <c r="H642" s="14">
        <v>0.2</v>
      </c>
      <c r="I642" s="25">
        <f>SUM(Superstores_sales_dataset_1_!R640,Superstores_sales_dataset_1_!U640)</f>
        <v>15119.9568</v>
      </c>
    </row>
    <row r="643" spans="6:9">
      <c r="F643" s="12" t="s">
        <v>2678</v>
      </c>
      <c r="G643" s="13">
        <f>AVERAGE(Superstores_sales_dataset_1_!R641)</f>
        <v>39.96</v>
      </c>
      <c r="H643" s="14">
        <v>0</v>
      </c>
      <c r="I643" s="25">
        <f>SUM(Superstores_sales_dataset_1_!R641,Superstores_sales_dataset_1_!U641)</f>
        <v>57.1428</v>
      </c>
    </row>
    <row r="644" spans="6:9">
      <c r="F644" s="12" t="s">
        <v>1638</v>
      </c>
      <c r="G644" s="13">
        <f>AVERAGE(Superstores_sales_dataset_1_!R642)</f>
        <v>323.1</v>
      </c>
      <c r="H644" s="14">
        <v>0</v>
      </c>
      <c r="I644" s="25">
        <f>SUM(Superstores_sales_dataset_1_!R642,Superstores_sales_dataset_1_!U642)</f>
        <v>384.489</v>
      </c>
    </row>
    <row r="645" spans="6:9">
      <c r="F645" s="12" t="s">
        <v>2684</v>
      </c>
      <c r="G645" s="13">
        <f>AVERAGE(Superstores_sales_dataset_1_!R643)</f>
        <v>19.04</v>
      </c>
      <c r="H645" s="14">
        <v>0</v>
      </c>
      <c r="I645" s="25">
        <f>SUM(Superstores_sales_dataset_1_!R643,Superstores_sales_dataset_1_!U643)</f>
        <v>28.3696</v>
      </c>
    </row>
    <row r="646" spans="6:9">
      <c r="F646" s="12" t="s">
        <v>2688</v>
      </c>
      <c r="G646" s="13">
        <f>AVERAGE(Superstores_sales_dataset_1_!R644)</f>
        <v>8.76</v>
      </c>
      <c r="H646" s="14">
        <v>0</v>
      </c>
      <c r="I646" s="25">
        <f>SUM(Superstores_sales_dataset_1_!R644,Superstores_sales_dataset_1_!U644)</f>
        <v>12.9648</v>
      </c>
    </row>
    <row r="647" spans="6:9">
      <c r="F647" s="12" t="s">
        <v>1201</v>
      </c>
      <c r="G647" s="13">
        <f>AVERAGE(Superstores_sales_dataset_1_!R645)</f>
        <v>79.512</v>
      </c>
      <c r="H647" s="14">
        <v>0.2</v>
      </c>
      <c r="I647" s="25">
        <f>SUM(Superstores_sales_dataset_1_!R645,Superstores_sales_dataset_1_!U645)</f>
        <v>100.3839</v>
      </c>
    </row>
    <row r="648" spans="6:9">
      <c r="F648" s="12" t="s">
        <v>122</v>
      </c>
      <c r="G648" s="13">
        <f>AVERAGE(Superstores_sales_dataset_1_!R646)</f>
        <v>40.784</v>
      </c>
      <c r="H648" s="14">
        <v>0.2</v>
      </c>
      <c r="I648" s="25">
        <f>SUM(Superstores_sales_dataset_1_!R646,Superstores_sales_dataset_1_!U646)</f>
        <v>45.3722</v>
      </c>
    </row>
    <row r="649" spans="6:9">
      <c r="F649" s="12" t="s">
        <v>2697</v>
      </c>
      <c r="G649" s="13">
        <f>AVERAGE(Superstores_sales_dataset_1_!R647)</f>
        <v>166.44</v>
      </c>
      <c r="H649" s="14">
        <v>0</v>
      </c>
      <c r="I649" s="25">
        <f>SUM(Superstores_sales_dataset_1_!R647,Superstores_sales_dataset_1_!U647)</f>
        <v>246.3312</v>
      </c>
    </row>
    <row r="650" spans="6:9">
      <c r="F650" s="12" t="s">
        <v>2701</v>
      </c>
      <c r="G650" s="13">
        <f>AVERAGE(Superstores_sales_dataset_1_!R648)</f>
        <v>166.44</v>
      </c>
      <c r="H650" s="14">
        <v>0</v>
      </c>
      <c r="I650" s="25">
        <f>SUM(Superstores_sales_dataset_1_!R648,Superstores_sales_dataset_1_!U648)</f>
        <v>246.3312</v>
      </c>
    </row>
    <row r="651" spans="6:9">
      <c r="F651" s="12" t="s">
        <v>2705</v>
      </c>
      <c r="G651" s="13">
        <f>AVERAGE(Superstores_sales_dataset_1_!R649)</f>
        <v>11.088</v>
      </c>
      <c r="H651" s="14">
        <v>0.7</v>
      </c>
      <c r="I651" s="25">
        <f>SUM(Superstores_sales_dataset_1_!R649,Superstores_sales_dataset_1_!U649)</f>
        <v>2.9568</v>
      </c>
    </row>
    <row r="652" spans="6:9">
      <c r="F652" s="12" t="s">
        <v>2709</v>
      </c>
      <c r="G652" s="13">
        <f>AVERAGE(Superstores_sales_dataset_1_!R650)</f>
        <v>30.352</v>
      </c>
      <c r="H652" s="14">
        <v>0.2</v>
      </c>
      <c r="I652" s="25">
        <f>SUM(Superstores_sales_dataset_1_!R650,Superstores_sales_dataset_1_!U650)</f>
        <v>40.9752</v>
      </c>
    </row>
    <row r="653" spans="6:9">
      <c r="F653" s="12" t="s">
        <v>848</v>
      </c>
      <c r="G653" s="13">
        <f>AVERAGE(Superstores_sales_dataset_1_!R651)</f>
        <v>71.98</v>
      </c>
      <c r="H653" s="14">
        <v>0</v>
      </c>
      <c r="I653" s="25">
        <f>SUM(Superstores_sales_dataset_1_!R651,Superstores_sales_dataset_1_!U651)</f>
        <v>87.0958</v>
      </c>
    </row>
    <row r="654" spans="6:9">
      <c r="F654" s="12" t="s">
        <v>2716</v>
      </c>
      <c r="G654" s="13">
        <f>AVERAGE(Superstores_sales_dataset_1_!R652)</f>
        <v>14.45</v>
      </c>
      <c r="H654" s="14">
        <v>0</v>
      </c>
      <c r="I654" s="25">
        <f>SUM(Superstores_sales_dataset_1_!R652,Superstores_sales_dataset_1_!U652)</f>
        <v>21.2415</v>
      </c>
    </row>
    <row r="655" spans="6:9">
      <c r="F655" s="12" t="s">
        <v>414</v>
      </c>
      <c r="G655" s="13">
        <f>AVERAGE(Superstores_sales_dataset_1_!R653)</f>
        <v>6.63</v>
      </c>
      <c r="H655" s="14">
        <v>0</v>
      </c>
      <c r="I655" s="25">
        <f>SUM(Superstores_sales_dataset_1_!R653,Superstores_sales_dataset_1_!U653)</f>
        <v>8.4201</v>
      </c>
    </row>
    <row r="656" spans="6:9">
      <c r="F656" s="12" t="s">
        <v>2722</v>
      </c>
      <c r="G656" s="13">
        <f>AVERAGE(Superstores_sales_dataset_1_!R654)</f>
        <v>35.34</v>
      </c>
      <c r="H656" s="14">
        <v>0</v>
      </c>
      <c r="I656" s="25">
        <f>SUM(Superstores_sales_dataset_1_!R654,Superstores_sales_dataset_1_!U654)</f>
        <v>48.7692</v>
      </c>
    </row>
    <row r="657" spans="6:9">
      <c r="F657" s="12" t="s">
        <v>2727</v>
      </c>
      <c r="G657" s="13">
        <f>AVERAGE(Superstores_sales_dataset_1_!R655)</f>
        <v>8.226</v>
      </c>
      <c r="H657" s="14">
        <v>0.7</v>
      </c>
      <c r="I657" s="25">
        <f>SUM(Superstores_sales_dataset_1_!R655,Superstores_sales_dataset_1_!U655)</f>
        <v>2.1936</v>
      </c>
    </row>
    <row r="658" spans="6:9">
      <c r="F658" s="12" t="s">
        <v>2731</v>
      </c>
      <c r="G658" s="13">
        <f>AVERAGE(Superstores_sales_dataset_1_!R656)</f>
        <v>5.56</v>
      </c>
      <c r="H658" s="14">
        <v>0</v>
      </c>
      <c r="I658" s="25">
        <f>SUM(Superstores_sales_dataset_1_!R656,Superstores_sales_dataset_1_!U656)</f>
        <v>7.784</v>
      </c>
    </row>
    <row r="659" spans="6:9">
      <c r="F659" s="12" t="s">
        <v>2735</v>
      </c>
      <c r="G659" s="13">
        <f>AVERAGE(Superstores_sales_dataset_1_!R657)</f>
        <v>76.92</v>
      </c>
      <c r="H659" s="14">
        <v>0</v>
      </c>
      <c r="I659" s="25">
        <f>SUM(Superstores_sales_dataset_1_!R657,Superstores_sales_dataset_1_!U657)</f>
        <v>108.4572</v>
      </c>
    </row>
    <row r="660" spans="6:9">
      <c r="F660" s="12" t="s">
        <v>2739</v>
      </c>
      <c r="G660" s="13">
        <f>AVERAGE(Superstores_sales_dataset_1_!R658)</f>
        <v>48.4</v>
      </c>
      <c r="H660" s="14">
        <v>0</v>
      </c>
      <c r="I660" s="25">
        <f>SUM(Superstores_sales_dataset_1_!R658,Superstores_sales_dataset_1_!U658)</f>
        <v>71.632</v>
      </c>
    </row>
    <row r="661" spans="6:9">
      <c r="F661" s="12" t="s">
        <v>2743</v>
      </c>
      <c r="G661" s="13">
        <f>AVERAGE(Superstores_sales_dataset_1_!R659)</f>
        <v>32.192</v>
      </c>
      <c r="H661" s="14">
        <v>0.8</v>
      </c>
      <c r="I661" s="25">
        <f>SUM(Superstores_sales_dataset_1_!R659,Superstores_sales_dataset_1_!U659)</f>
        <v>-48.288</v>
      </c>
    </row>
    <row r="662" spans="6:9">
      <c r="F662" s="12" t="s">
        <v>284</v>
      </c>
      <c r="G662" s="13">
        <f>AVERAGE(Superstores_sales_dataset_1_!R660)</f>
        <v>41.37</v>
      </c>
      <c r="H662" s="14">
        <v>0</v>
      </c>
      <c r="I662" s="25">
        <f>SUM(Superstores_sales_dataset_1_!R660,Superstores_sales_dataset_1_!U660)</f>
        <v>58.7454</v>
      </c>
    </row>
    <row r="663" spans="6:9">
      <c r="F663" s="12" t="s">
        <v>2750</v>
      </c>
      <c r="G663" s="13">
        <f>AVERAGE(Superstores_sales_dataset_1_!R661)</f>
        <v>9.42</v>
      </c>
      <c r="H663" s="14">
        <v>0</v>
      </c>
      <c r="I663" s="25">
        <f>SUM(Superstores_sales_dataset_1_!R661,Superstores_sales_dataset_1_!U661)</f>
        <v>9.891</v>
      </c>
    </row>
    <row r="664" spans="6:9">
      <c r="F664" s="12" t="s">
        <v>2030</v>
      </c>
      <c r="G664" s="13">
        <f>AVERAGE(Superstores_sales_dataset_1_!R662)</f>
        <v>114.6</v>
      </c>
      <c r="H664" s="14">
        <v>0</v>
      </c>
      <c r="I664" s="25">
        <f>SUM(Superstores_sales_dataset_1_!R662,Superstores_sales_dataset_1_!U662)</f>
        <v>166.17</v>
      </c>
    </row>
    <row r="665" spans="6:9">
      <c r="F665" s="12" t="s">
        <v>2757</v>
      </c>
      <c r="G665" s="13">
        <f>AVERAGE(Superstores_sales_dataset_1_!R663)</f>
        <v>6.72</v>
      </c>
      <c r="H665" s="14">
        <v>0.2</v>
      </c>
      <c r="I665" s="25">
        <f>SUM(Superstores_sales_dataset_1_!R663,Superstores_sales_dataset_1_!U663)</f>
        <v>9.072</v>
      </c>
    </row>
    <row r="666" spans="6:9">
      <c r="F666" s="12" t="s">
        <v>414</v>
      </c>
      <c r="G666" s="13">
        <f>AVERAGE(Superstores_sales_dataset_1_!R664)</f>
        <v>15.47</v>
      </c>
      <c r="H666" s="14">
        <v>0</v>
      </c>
      <c r="I666" s="25">
        <f>SUM(Superstores_sales_dataset_1_!R664,Superstores_sales_dataset_1_!U664)</f>
        <v>19.6469</v>
      </c>
    </row>
    <row r="667" spans="6:9">
      <c r="F667" s="12" t="s">
        <v>963</v>
      </c>
      <c r="G667" s="13">
        <f>AVERAGE(Superstores_sales_dataset_1_!R665)</f>
        <v>143.728</v>
      </c>
      <c r="H667" s="14">
        <v>0.2</v>
      </c>
      <c r="I667" s="25">
        <f>SUM(Superstores_sales_dataset_1_!R665,Superstores_sales_dataset_1_!U665)</f>
        <v>111.3892</v>
      </c>
    </row>
    <row r="668" spans="6:9">
      <c r="F668" s="12" t="s">
        <v>2766</v>
      </c>
      <c r="G668" s="13">
        <f>AVERAGE(Superstores_sales_dataset_1_!R666)</f>
        <v>56.28</v>
      </c>
      <c r="H668" s="14">
        <v>0</v>
      </c>
      <c r="I668" s="25">
        <f>SUM(Superstores_sales_dataset_1_!R666,Superstores_sales_dataset_1_!U666)</f>
        <v>72.0384</v>
      </c>
    </row>
    <row r="669" spans="6:9">
      <c r="F669" s="12" t="s">
        <v>1570</v>
      </c>
      <c r="G669" s="13">
        <f>AVERAGE(Superstores_sales_dataset_1_!R667)</f>
        <v>28.16</v>
      </c>
      <c r="H669" s="14">
        <v>0</v>
      </c>
      <c r="I669" s="25">
        <f>SUM(Superstores_sales_dataset_1_!R667,Superstores_sales_dataset_1_!U667)</f>
        <v>41.3952</v>
      </c>
    </row>
    <row r="670" spans="6:9">
      <c r="F670" s="12" t="s">
        <v>2320</v>
      </c>
      <c r="G670" s="13">
        <f>AVERAGE(Superstores_sales_dataset_1_!R668)</f>
        <v>225.296</v>
      </c>
      <c r="H670" s="14">
        <v>0.2</v>
      </c>
      <c r="I670" s="25">
        <f>SUM(Superstores_sales_dataset_1_!R668,Superstores_sales_dataset_1_!U668)</f>
        <v>247.8256</v>
      </c>
    </row>
    <row r="671" spans="6:9">
      <c r="F671" s="12" t="s">
        <v>2774</v>
      </c>
      <c r="G671" s="13">
        <f>AVERAGE(Superstores_sales_dataset_1_!R669)</f>
        <v>74.352</v>
      </c>
      <c r="H671" s="14">
        <v>0.2</v>
      </c>
      <c r="I671" s="25">
        <f>SUM(Superstores_sales_dataset_1_!R669,Superstores_sales_dataset_1_!U669)</f>
        <v>97.587</v>
      </c>
    </row>
    <row r="672" spans="6:9">
      <c r="F672" s="12" t="s">
        <v>2664</v>
      </c>
      <c r="G672" s="13">
        <f>AVERAGE(Superstores_sales_dataset_1_!R670)</f>
        <v>51.96</v>
      </c>
      <c r="H672" s="14">
        <v>0</v>
      </c>
      <c r="I672" s="25">
        <f>SUM(Superstores_sales_dataset_1_!R670,Superstores_sales_dataset_1_!U670)</f>
        <v>64.95</v>
      </c>
    </row>
    <row r="673" spans="6:9">
      <c r="F673" s="12" t="s">
        <v>2781</v>
      </c>
      <c r="G673" s="13">
        <f>AVERAGE(Superstores_sales_dataset_1_!R671)</f>
        <v>18.84</v>
      </c>
      <c r="H673" s="14">
        <v>0</v>
      </c>
      <c r="I673" s="25">
        <f>SUM(Superstores_sales_dataset_1_!R671,Superstores_sales_dataset_1_!U671)</f>
        <v>26.7528</v>
      </c>
    </row>
    <row r="674" spans="6:9">
      <c r="F674" s="12" t="s">
        <v>543</v>
      </c>
      <c r="G674" s="13">
        <f>AVERAGE(Superstores_sales_dataset_1_!R672)</f>
        <v>41.6</v>
      </c>
      <c r="H674" s="14">
        <v>0.2</v>
      </c>
      <c r="I674" s="25">
        <f>SUM(Superstores_sales_dataset_1_!R672,Superstores_sales_dataset_1_!U672)</f>
        <v>54.6</v>
      </c>
    </row>
    <row r="675" spans="6:9">
      <c r="F675" s="12" t="s">
        <v>1409</v>
      </c>
      <c r="G675" s="13">
        <f>AVERAGE(Superstores_sales_dataset_1_!R673)</f>
        <v>191.646</v>
      </c>
      <c r="H675" s="14">
        <v>0.1</v>
      </c>
      <c r="I675" s="25">
        <f>SUM(Superstores_sales_dataset_1_!R673,Superstores_sales_dataset_1_!U673)</f>
        <v>223.587</v>
      </c>
    </row>
    <row r="676" spans="6:9">
      <c r="F676" s="12" t="s">
        <v>122</v>
      </c>
      <c r="G676" s="13">
        <f>AVERAGE(Superstores_sales_dataset_1_!R674)</f>
        <v>81.568</v>
      </c>
      <c r="H676" s="14">
        <v>0.2</v>
      </c>
      <c r="I676" s="25">
        <f>SUM(Superstores_sales_dataset_1_!R674,Superstores_sales_dataset_1_!U674)</f>
        <v>90.7444</v>
      </c>
    </row>
    <row r="677" spans="6:9">
      <c r="F677" s="12" t="s">
        <v>2792</v>
      </c>
      <c r="G677" s="13">
        <f>AVERAGE(Superstores_sales_dataset_1_!R675)</f>
        <v>20.736</v>
      </c>
      <c r="H677" s="14">
        <v>0.2</v>
      </c>
      <c r="I677" s="25">
        <f>SUM(Superstores_sales_dataset_1_!R675,Superstores_sales_dataset_1_!U675)</f>
        <v>27.9936</v>
      </c>
    </row>
    <row r="678" spans="6:9">
      <c r="F678" s="12" t="s">
        <v>2796</v>
      </c>
      <c r="G678" s="13">
        <f>AVERAGE(Superstores_sales_dataset_1_!R676)</f>
        <v>24.96</v>
      </c>
      <c r="H678" s="14">
        <v>0</v>
      </c>
      <c r="I678" s="25">
        <f>SUM(Superstores_sales_dataset_1_!R676,Superstores_sales_dataset_1_!U676)</f>
        <v>31.2</v>
      </c>
    </row>
    <row r="679" spans="6:9">
      <c r="F679" s="12" t="s">
        <v>2800</v>
      </c>
      <c r="G679" s="13">
        <f>AVERAGE(Superstores_sales_dataset_1_!R677)</f>
        <v>207.48</v>
      </c>
      <c r="H679" s="14">
        <v>0</v>
      </c>
      <c r="I679" s="25">
        <f>SUM(Superstores_sales_dataset_1_!R677,Superstores_sales_dataset_1_!U677)</f>
        <v>269.724</v>
      </c>
    </row>
    <row r="680" spans="6:9">
      <c r="F680" s="12" t="s">
        <v>891</v>
      </c>
      <c r="G680" s="13">
        <f>AVERAGE(Superstores_sales_dataset_1_!R678)</f>
        <v>12.03</v>
      </c>
      <c r="H680" s="14">
        <v>0.7</v>
      </c>
      <c r="I680" s="25">
        <f>SUM(Superstores_sales_dataset_1_!R678,Superstores_sales_dataset_1_!U678)</f>
        <v>2.807</v>
      </c>
    </row>
    <row r="681" spans="6:9">
      <c r="F681" s="12" t="s">
        <v>2504</v>
      </c>
      <c r="G681" s="13">
        <f>AVERAGE(Superstores_sales_dataset_1_!R679)</f>
        <v>327.7328</v>
      </c>
      <c r="H681" s="14">
        <v>0.32</v>
      </c>
      <c r="I681" s="25">
        <f>SUM(Superstores_sales_dataset_1_!R679,Superstores_sales_dataset_1_!U679)</f>
        <v>313.274</v>
      </c>
    </row>
    <row r="682" spans="6:9">
      <c r="F682" s="12" t="s">
        <v>2809</v>
      </c>
      <c r="G682" s="13">
        <f>AVERAGE(Superstores_sales_dataset_1_!R680)</f>
        <v>194.32</v>
      </c>
      <c r="H682" s="14">
        <v>0</v>
      </c>
      <c r="I682" s="25">
        <f>SUM(Superstores_sales_dataset_1_!R680,Superstores_sales_dataset_1_!U680)</f>
        <v>225.4112</v>
      </c>
    </row>
    <row r="683" spans="6:9">
      <c r="F683" s="12" t="s">
        <v>356</v>
      </c>
      <c r="G683" s="13">
        <f>AVERAGE(Superstores_sales_dataset_1_!R681)</f>
        <v>411.8</v>
      </c>
      <c r="H683" s="14">
        <v>0</v>
      </c>
      <c r="I683" s="25">
        <f>SUM(Superstores_sales_dataset_1_!R681,Superstores_sales_dataset_1_!U681)</f>
        <v>481.806</v>
      </c>
    </row>
    <row r="684" spans="6:9">
      <c r="F684" s="12" t="s">
        <v>2815</v>
      </c>
      <c r="G684" s="13">
        <f>AVERAGE(Superstores_sales_dataset_1_!R682)</f>
        <v>517.9</v>
      </c>
      <c r="H684" s="14">
        <v>0</v>
      </c>
      <c r="I684" s="25">
        <f>SUM(Superstores_sales_dataset_1_!R682,Superstores_sales_dataset_1_!U682)</f>
        <v>652.554</v>
      </c>
    </row>
    <row r="685" spans="6:9">
      <c r="F685" s="12" t="s">
        <v>2819</v>
      </c>
      <c r="G685" s="13">
        <f>AVERAGE(Superstores_sales_dataset_1_!R683)</f>
        <v>26.88</v>
      </c>
      <c r="H685" s="14">
        <v>0.2</v>
      </c>
      <c r="I685" s="25">
        <f>SUM(Superstores_sales_dataset_1_!R683,Superstores_sales_dataset_1_!U683)</f>
        <v>36.624</v>
      </c>
    </row>
    <row r="686" spans="6:9">
      <c r="F686" s="12" t="s">
        <v>2823</v>
      </c>
      <c r="G686" s="13">
        <f>AVERAGE(Superstores_sales_dataset_1_!R684)</f>
        <v>90.8</v>
      </c>
      <c r="H686" s="14">
        <v>0</v>
      </c>
      <c r="I686" s="25">
        <f>SUM(Superstores_sales_dataset_1_!R684,Superstores_sales_dataset_1_!U684)</f>
        <v>116.224</v>
      </c>
    </row>
    <row r="687" spans="6:9">
      <c r="F687" s="12" t="s">
        <v>1280</v>
      </c>
      <c r="G687" s="13">
        <f>AVERAGE(Superstores_sales_dataset_1_!R685)</f>
        <v>12.96</v>
      </c>
      <c r="H687" s="14">
        <v>0</v>
      </c>
      <c r="I687" s="25">
        <f>SUM(Superstores_sales_dataset_1_!R685,Superstores_sales_dataset_1_!U685)</f>
        <v>19.1808</v>
      </c>
    </row>
    <row r="688" spans="6:9">
      <c r="F688" s="12" t="s">
        <v>2830</v>
      </c>
      <c r="G688" s="13">
        <f>AVERAGE(Superstores_sales_dataset_1_!R686)</f>
        <v>695.16</v>
      </c>
      <c r="H688" s="14">
        <v>0</v>
      </c>
      <c r="I688" s="25">
        <f>SUM(Superstores_sales_dataset_1_!R686,Superstores_sales_dataset_1_!U686)</f>
        <v>729.918</v>
      </c>
    </row>
    <row r="689" spans="6:9">
      <c r="F689" s="12" t="s">
        <v>2834</v>
      </c>
      <c r="G689" s="13">
        <f>AVERAGE(Superstores_sales_dataset_1_!R687)</f>
        <v>25.68</v>
      </c>
      <c r="H689" s="14">
        <v>0</v>
      </c>
      <c r="I689" s="25">
        <f>SUM(Superstores_sales_dataset_1_!R687,Superstores_sales_dataset_1_!U687)</f>
        <v>37.236</v>
      </c>
    </row>
    <row r="690" spans="6:9">
      <c r="F690" s="12" t="s">
        <v>2838</v>
      </c>
      <c r="G690" s="13">
        <f>AVERAGE(Superstores_sales_dataset_1_!R688)</f>
        <v>258.528</v>
      </c>
      <c r="H690" s="14">
        <v>0.4</v>
      </c>
      <c r="I690" s="25">
        <f>SUM(Superstores_sales_dataset_1_!R688,Superstores_sales_dataset_1_!U688)</f>
        <v>211.1312</v>
      </c>
    </row>
    <row r="691" spans="6:9">
      <c r="F691" s="12" t="s">
        <v>2842</v>
      </c>
      <c r="G691" s="13">
        <f>AVERAGE(Superstores_sales_dataset_1_!R689)</f>
        <v>13.28</v>
      </c>
      <c r="H691" s="14">
        <v>0</v>
      </c>
      <c r="I691" s="25">
        <f>SUM(Superstores_sales_dataset_1_!R689,Superstores_sales_dataset_1_!U689)</f>
        <v>19.6544</v>
      </c>
    </row>
    <row r="692" spans="6:9">
      <c r="F692" s="12" t="s">
        <v>2846</v>
      </c>
      <c r="G692" s="13">
        <f>AVERAGE(Superstores_sales_dataset_1_!R690)</f>
        <v>963.136</v>
      </c>
      <c r="H692" s="14">
        <v>0.2</v>
      </c>
      <c r="I692" s="25">
        <f>SUM(Superstores_sales_dataset_1_!R690,Superstores_sales_dataset_1_!U690)</f>
        <v>1071.4888</v>
      </c>
    </row>
    <row r="693" spans="6:9">
      <c r="F693" s="12" t="s">
        <v>2850</v>
      </c>
      <c r="G693" s="13">
        <f>AVERAGE(Superstores_sales_dataset_1_!R691)</f>
        <v>93.024</v>
      </c>
      <c r="H693" s="14">
        <v>0.2</v>
      </c>
      <c r="I693" s="25">
        <f>SUM(Superstores_sales_dataset_1_!R691,Superstores_sales_dataset_1_!U691)</f>
        <v>126.7452</v>
      </c>
    </row>
    <row r="694" spans="6:9">
      <c r="F694" s="12" t="s">
        <v>2854</v>
      </c>
      <c r="G694" s="13">
        <f>AVERAGE(Superstores_sales_dataset_1_!R692)</f>
        <v>5.18</v>
      </c>
      <c r="H694" s="14">
        <v>0.8</v>
      </c>
      <c r="I694" s="25">
        <f>SUM(Superstores_sales_dataset_1_!R692,Superstores_sales_dataset_1_!U692)</f>
        <v>-2.849</v>
      </c>
    </row>
    <row r="695" spans="6:9">
      <c r="F695" s="12" t="s">
        <v>2021</v>
      </c>
      <c r="G695" s="13">
        <f>AVERAGE(Superstores_sales_dataset_1_!R693)</f>
        <v>3.648</v>
      </c>
      <c r="H695" s="14">
        <v>0.8</v>
      </c>
      <c r="I695" s="25">
        <f>SUM(Superstores_sales_dataset_1_!R693,Superstores_sales_dataset_1_!U693)</f>
        <v>-2.3712</v>
      </c>
    </row>
    <row r="696" spans="6:9">
      <c r="F696" s="12" t="s">
        <v>2860</v>
      </c>
      <c r="G696" s="13">
        <f>AVERAGE(Superstores_sales_dataset_1_!R694)</f>
        <v>18.704</v>
      </c>
      <c r="H696" s="14">
        <v>0.2</v>
      </c>
      <c r="I696" s="25">
        <f>SUM(Superstores_sales_dataset_1_!R694,Superstores_sales_dataset_1_!U694)</f>
        <v>21.042</v>
      </c>
    </row>
    <row r="697" spans="6:9">
      <c r="F697" s="12" t="s">
        <v>835</v>
      </c>
      <c r="G697" s="13">
        <f>AVERAGE(Superstores_sales_dataset_1_!R695)</f>
        <v>44.94</v>
      </c>
      <c r="H697" s="14">
        <v>0</v>
      </c>
      <c r="I697" s="25">
        <f>SUM(Superstores_sales_dataset_1_!R695,Superstores_sales_dataset_1_!U695)</f>
        <v>57.5232</v>
      </c>
    </row>
    <row r="698" spans="6:9">
      <c r="F698" s="12" t="s">
        <v>2866</v>
      </c>
      <c r="G698" s="13">
        <f>AVERAGE(Superstores_sales_dataset_1_!R696)</f>
        <v>318.43</v>
      </c>
      <c r="H698" s="14">
        <v>0.3</v>
      </c>
      <c r="I698" s="25">
        <f>SUM(Superstores_sales_dataset_1_!R696,Superstores_sales_dataset_1_!U696)</f>
        <v>241.097</v>
      </c>
    </row>
    <row r="699" spans="6:9">
      <c r="F699" s="12" t="s">
        <v>2870</v>
      </c>
      <c r="G699" s="13">
        <f>AVERAGE(Superstores_sales_dataset_1_!R697)</f>
        <v>219.8</v>
      </c>
      <c r="H699" s="14">
        <v>0.2</v>
      </c>
      <c r="I699" s="25">
        <f>SUM(Superstores_sales_dataset_1_!R697,Superstores_sales_dataset_1_!U697)</f>
        <v>244.5275</v>
      </c>
    </row>
    <row r="700" spans="6:9">
      <c r="F700" s="12" t="s">
        <v>2874</v>
      </c>
      <c r="G700" s="13">
        <f>AVERAGE(Superstores_sales_dataset_1_!R698)</f>
        <v>60.312</v>
      </c>
      <c r="H700" s="14">
        <v>0.2</v>
      </c>
      <c r="I700" s="25">
        <f>SUM(Superstores_sales_dataset_1_!R698,Superstores_sales_dataset_1_!U698)</f>
        <v>65.5893</v>
      </c>
    </row>
    <row r="701" spans="6:9">
      <c r="F701" s="12" t="s">
        <v>2879</v>
      </c>
      <c r="G701" s="13">
        <f>AVERAGE(Superstores_sales_dataset_1_!R699)</f>
        <v>3.136</v>
      </c>
      <c r="H701" s="14">
        <v>0.8</v>
      </c>
      <c r="I701" s="25">
        <f>SUM(Superstores_sales_dataset_1_!R699,Superstores_sales_dataset_1_!U699)</f>
        <v>-1.568</v>
      </c>
    </row>
    <row r="702" spans="6:9">
      <c r="F702" s="12" t="s">
        <v>2883</v>
      </c>
      <c r="G702" s="13">
        <f>AVERAGE(Superstores_sales_dataset_1_!R700)</f>
        <v>20.736</v>
      </c>
      <c r="H702" s="14">
        <v>0.2</v>
      </c>
      <c r="I702" s="25">
        <f>SUM(Superstores_sales_dataset_1_!R700,Superstores_sales_dataset_1_!U700)</f>
        <v>27.9936</v>
      </c>
    </row>
    <row r="703" spans="6:9">
      <c r="F703" s="12" t="s">
        <v>1810</v>
      </c>
      <c r="G703" s="13">
        <f>AVERAGE(Superstores_sales_dataset_1_!R701)</f>
        <v>135.98</v>
      </c>
      <c r="H703" s="14">
        <v>0</v>
      </c>
      <c r="I703" s="25">
        <f>SUM(Superstores_sales_dataset_1_!R701,Superstores_sales_dataset_1_!U701)</f>
        <v>169.975</v>
      </c>
    </row>
    <row r="704" spans="6:9">
      <c r="F704" s="12" t="s">
        <v>2889</v>
      </c>
      <c r="G704" s="13">
        <f>AVERAGE(Superstores_sales_dataset_1_!R702)</f>
        <v>43.512</v>
      </c>
      <c r="H704" s="14">
        <v>0.2</v>
      </c>
      <c r="I704" s="25">
        <f>SUM(Superstores_sales_dataset_1_!R702,Superstores_sales_dataset_1_!U702)</f>
        <v>47.3193</v>
      </c>
    </row>
    <row r="705" spans="6:9">
      <c r="F705" s="12" t="s">
        <v>1674</v>
      </c>
      <c r="G705" s="13">
        <f>AVERAGE(Superstores_sales_dataset_1_!R703)</f>
        <v>17.12</v>
      </c>
      <c r="H705" s="14">
        <v>0</v>
      </c>
      <c r="I705" s="25">
        <f>SUM(Superstores_sales_dataset_1_!R703,Superstores_sales_dataset_1_!U703)</f>
        <v>22.0848</v>
      </c>
    </row>
    <row r="706" spans="6:9">
      <c r="F706" s="12" t="s">
        <v>2895</v>
      </c>
      <c r="G706" s="13">
        <f>AVERAGE(Superstores_sales_dataset_1_!R704)</f>
        <v>290.666</v>
      </c>
      <c r="H706" s="14">
        <v>0.15</v>
      </c>
      <c r="I706" s="25">
        <f>SUM(Superstores_sales_dataset_1_!R704,Superstores_sales_dataset_1_!U704)</f>
        <v>294.0856</v>
      </c>
    </row>
    <row r="707" spans="6:9">
      <c r="F707" s="12" t="s">
        <v>2900</v>
      </c>
      <c r="G707" s="13">
        <f>AVERAGE(Superstores_sales_dataset_1_!R705)</f>
        <v>111.672</v>
      </c>
      <c r="H707" s="14">
        <v>0.2</v>
      </c>
      <c r="I707" s="25">
        <f>SUM(Superstores_sales_dataset_1_!R705,Superstores_sales_dataset_1_!U705)</f>
        <v>118.6515</v>
      </c>
    </row>
    <row r="708" spans="6:9">
      <c r="F708" s="12" t="s">
        <v>1594</v>
      </c>
      <c r="G708" s="13">
        <f>AVERAGE(Superstores_sales_dataset_1_!R706)</f>
        <v>36.99</v>
      </c>
      <c r="H708" s="14">
        <v>0</v>
      </c>
      <c r="I708" s="25">
        <f>SUM(Superstores_sales_dataset_1_!R706,Superstores_sales_dataset_1_!U706)</f>
        <v>46.9773</v>
      </c>
    </row>
    <row r="709" spans="6:9">
      <c r="F709" s="12" t="s">
        <v>178</v>
      </c>
      <c r="G709" s="13">
        <f>AVERAGE(Superstores_sales_dataset_1_!R707)</f>
        <v>84.784</v>
      </c>
      <c r="H709" s="14">
        <v>0.2</v>
      </c>
      <c r="I709" s="25">
        <f>SUM(Superstores_sales_dataset_1_!R707,Superstores_sales_dataset_1_!U707)</f>
        <v>67.8272</v>
      </c>
    </row>
    <row r="710" spans="6:9">
      <c r="F710" s="12" t="s">
        <v>138</v>
      </c>
      <c r="G710" s="13">
        <f>AVERAGE(Superstores_sales_dataset_1_!R708)</f>
        <v>70.88</v>
      </c>
      <c r="H710" s="14">
        <v>0</v>
      </c>
      <c r="I710" s="25">
        <f>SUM(Superstores_sales_dataset_1_!R708,Superstores_sales_dataset_1_!U708)</f>
        <v>104.1936</v>
      </c>
    </row>
    <row r="711" spans="6:9">
      <c r="F711" s="12" t="s">
        <v>2911</v>
      </c>
      <c r="G711" s="13">
        <f>AVERAGE(Superstores_sales_dataset_1_!R709)</f>
        <v>5.08</v>
      </c>
      <c r="H711" s="14">
        <v>0.2</v>
      </c>
      <c r="I711" s="25">
        <f>SUM(Superstores_sales_dataset_1_!R709,Superstores_sales_dataset_1_!U709)</f>
        <v>6.731</v>
      </c>
    </row>
    <row r="712" spans="6:9">
      <c r="F712" s="12" t="s">
        <v>1474</v>
      </c>
      <c r="G712" s="13">
        <f>AVERAGE(Superstores_sales_dataset_1_!R710)</f>
        <v>47.952</v>
      </c>
      <c r="H712" s="14">
        <v>0.2</v>
      </c>
      <c r="I712" s="25">
        <f>SUM(Superstores_sales_dataset_1_!R710,Superstores_sales_dataset_1_!U710)</f>
        <v>64.1358</v>
      </c>
    </row>
    <row r="713" spans="6:9">
      <c r="F713" s="12" t="s">
        <v>2917</v>
      </c>
      <c r="G713" s="13">
        <f>AVERAGE(Superstores_sales_dataset_1_!R711)</f>
        <v>10.368</v>
      </c>
      <c r="H713" s="14">
        <v>0.2</v>
      </c>
      <c r="I713" s="25">
        <f>SUM(Superstores_sales_dataset_1_!R711,Superstores_sales_dataset_1_!U711)</f>
        <v>13.9968</v>
      </c>
    </row>
    <row r="714" spans="6:9">
      <c r="F714" s="12" t="s">
        <v>2922</v>
      </c>
      <c r="G714" s="13">
        <f>AVERAGE(Superstores_sales_dataset_1_!R712)</f>
        <v>201.584</v>
      </c>
      <c r="H714" s="14">
        <v>0.2</v>
      </c>
      <c r="I714" s="25">
        <f>SUM(Superstores_sales_dataset_1_!R712,Superstores_sales_dataset_1_!U712)</f>
        <v>221.7424</v>
      </c>
    </row>
    <row r="715" spans="6:9">
      <c r="F715" s="12" t="s">
        <v>2926</v>
      </c>
      <c r="G715" s="13">
        <f>AVERAGE(Superstores_sales_dataset_1_!R713)</f>
        <v>599.97</v>
      </c>
      <c r="H715" s="14">
        <v>0</v>
      </c>
      <c r="I715" s="25">
        <f>SUM(Superstores_sales_dataset_1_!R713,Superstores_sales_dataset_1_!U713)</f>
        <v>857.9571</v>
      </c>
    </row>
    <row r="716" spans="6:9">
      <c r="F716" s="12" t="s">
        <v>1417</v>
      </c>
      <c r="G716" s="13">
        <f>AVERAGE(Superstores_sales_dataset_1_!R714)</f>
        <v>5.184</v>
      </c>
      <c r="H716" s="14">
        <v>0.2</v>
      </c>
      <c r="I716" s="25">
        <f>SUM(Superstores_sales_dataset_1_!R714,Superstores_sales_dataset_1_!U714)</f>
        <v>6.9984</v>
      </c>
    </row>
    <row r="717" spans="6:9">
      <c r="F717" s="12" t="s">
        <v>2933</v>
      </c>
      <c r="G717" s="13">
        <f>AVERAGE(Superstores_sales_dataset_1_!R715)</f>
        <v>12.448</v>
      </c>
      <c r="H717" s="14">
        <v>0.2</v>
      </c>
      <c r="I717" s="25">
        <f>SUM(Superstores_sales_dataset_1_!R715,Superstores_sales_dataset_1_!U715)</f>
        <v>16.338</v>
      </c>
    </row>
    <row r="718" spans="6:9">
      <c r="F718" s="12" t="s">
        <v>2937</v>
      </c>
      <c r="G718" s="13">
        <f>AVERAGE(Superstores_sales_dataset_1_!R716)</f>
        <v>58.416</v>
      </c>
      <c r="H718" s="14">
        <v>0.2</v>
      </c>
      <c r="I718" s="25">
        <f>SUM(Superstores_sales_dataset_1_!R716,Superstores_sales_dataset_1_!U716)</f>
        <v>75.2106</v>
      </c>
    </row>
    <row r="719" spans="6:9">
      <c r="F719" s="12" t="s">
        <v>2941</v>
      </c>
      <c r="G719" s="13">
        <f>AVERAGE(Superstores_sales_dataset_1_!R717)</f>
        <v>69.52</v>
      </c>
      <c r="H719" s="14">
        <v>0</v>
      </c>
      <c r="I719" s="25">
        <f>SUM(Superstores_sales_dataset_1_!R717,Superstores_sales_dataset_1_!U717)</f>
        <v>88.9856</v>
      </c>
    </row>
    <row r="720" spans="6:9">
      <c r="F720" s="12" t="s">
        <v>2945</v>
      </c>
      <c r="G720" s="13">
        <f>AVERAGE(Superstores_sales_dataset_1_!R718)</f>
        <v>15.168</v>
      </c>
      <c r="H720" s="14">
        <v>0.2</v>
      </c>
      <c r="I720" s="25">
        <f>SUM(Superstores_sales_dataset_1_!R718,Superstores_sales_dataset_1_!U718)</f>
        <v>18.96</v>
      </c>
    </row>
    <row r="721" spans="6:9">
      <c r="F721" s="12" t="s">
        <v>2949</v>
      </c>
      <c r="G721" s="13">
        <f>AVERAGE(Superstores_sales_dataset_1_!R719)</f>
        <v>26.38</v>
      </c>
      <c r="H721" s="14">
        <v>0</v>
      </c>
      <c r="I721" s="25">
        <f>SUM(Superstores_sales_dataset_1_!R719,Superstores_sales_dataset_1_!U719)</f>
        <v>38.5148</v>
      </c>
    </row>
    <row r="722" spans="6:9">
      <c r="F722" s="12" t="s">
        <v>2953</v>
      </c>
      <c r="G722" s="13">
        <f>AVERAGE(Superstores_sales_dataset_1_!R720)</f>
        <v>129.98</v>
      </c>
      <c r="H722" s="14">
        <v>0</v>
      </c>
      <c r="I722" s="25">
        <f>SUM(Superstores_sales_dataset_1_!R720,Superstores_sales_dataset_1_!U720)</f>
        <v>192.3704</v>
      </c>
    </row>
    <row r="723" spans="6:9">
      <c r="F723" s="12" t="s">
        <v>2957</v>
      </c>
      <c r="G723" s="13">
        <f>AVERAGE(Superstores_sales_dataset_1_!R721)</f>
        <v>57.23</v>
      </c>
      <c r="H723" s="14">
        <v>0</v>
      </c>
      <c r="I723" s="25">
        <f>SUM(Superstores_sales_dataset_1_!R721,Superstores_sales_dataset_1_!U721)</f>
        <v>71.5375</v>
      </c>
    </row>
    <row r="724" spans="6:9">
      <c r="F724" s="12" t="s">
        <v>2961</v>
      </c>
      <c r="G724" s="13">
        <f>AVERAGE(Superstores_sales_dataset_1_!R722)</f>
        <v>102.592</v>
      </c>
      <c r="H724" s="14">
        <v>0.2</v>
      </c>
      <c r="I724" s="25">
        <f>SUM(Superstores_sales_dataset_1_!R722,Superstores_sales_dataset_1_!U722)</f>
        <v>112.8512</v>
      </c>
    </row>
    <row r="725" spans="6:9">
      <c r="F725" s="12" t="s">
        <v>2965</v>
      </c>
      <c r="G725" s="13">
        <f>AVERAGE(Superstores_sales_dataset_1_!R723)</f>
        <v>76.14</v>
      </c>
      <c r="H725" s="14">
        <v>0</v>
      </c>
      <c r="I725" s="25">
        <f>SUM(Superstores_sales_dataset_1_!R723,Superstores_sales_dataset_1_!U723)</f>
        <v>102.789</v>
      </c>
    </row>
    <row r="726" spans="6:9">
      <c r="F726" s="12" t="s">
        <v>1409</v>
      </c>
      <c r="G726" s="13">
        <f>AVERAGE(Superstores_sales_dataset_1_!R724)</f>
        <v>170.352</v>
      </c>
      <c r="H726" s="14">
        <v>0.2</v>
      </c>
      <c r="I726" s="25">
        <f>SUM(Superstores_sales_dataset_1_!R724,Superstores_sales_dataset_1_!U724)</f>
        <v>180.999</v>
      </c>
    </row>
    <row r="727" spans="6:9">
      <c r="F727" s="12" t="s">
        <v>2971</v>
      </c>
      <c r="G727" s="13">
        <f>AVERAGE(Superstores_sales_dataset_1_!R725)</f>
        <v>85.3</v>
      </c>
      <c r="H727" s="14">
        <v>0</v>
      </c>
      <c r="I727" s="25">
        <f>SUM(Superstores_sales_dataset_1_!R725,Superstores_sales_dataset_1_!U725)</f>
        <v>99.801</v>
      </c>
    </row>
    <row r="728" spans="6:9">
      <c r="F728" s="12" t="s">
        <v>2975</v>
      </c>
      <c r="G728" s="13">
        <f>AVERAGE(Superstores_sales_dataset_1_!R726)</f>
        <v>9.568</v>
      </c>
      <c r="H728" s="14">
        <v>0.2</v>
      </c>
      <c r="I728" s="25">
        <f>SUM(Superstores_sales_dataset_1_!R726,Superstores_sales_dataset_1_!U726)</f>
        <v>12.558</v>
      </c>
    </row>
    <row r="729" spans="6:9">
      <c r="F729" s="12" t="s">
        <v>2979</v>
      </c>
      <c r="G729" s="13">
        <f>AVERAGE(Superstores_sales_dataset_1_!R727)</f>
        <v>98.112</v>
      </c>
      <c r="H729" s="14">
        <v>0.2</v>
      </c>
      <c r="I729" s="25">
        <f>SUM(Superstores_sales_dataset_1_!R727,Superstores_sales_dataset_1_!U727)</f>
        <v>116.508</v>
      </c>
    </row>
    <row r="730" spans="6:9">
      <c r="F730" s="12" t="s">
        <v>2983</v>
      </c>
      <c r="G730" s="13">
        <f>AVERAGE(Superstores_sales_dataset_1_!R728)</f>
        <v>835.17</v>
      </c>
      <c r="H730" s="14">
        <v>0</v>
      </c>
      <c r="I730" s="25">
        <f>SUM(Superstores_sales_dataset_1_!R728,Superstores_sales_dataset_1_!U728)</f>
        <v>851.8734</v>
      </c>
    </row>
    <row r="731" spans="6:9">
      <c r="F731" s="12" t="s">
        <v>2975</v>
      </c>
      <c r="G731" s="13">
        <f>AVERAGE(Superstores_sales_dataset_1_!R729)</f>
        <v>53.82</v>
      </c>
      <c r="H731" s="14">
        <v>0</v>
      </c>
      <c r="I731" s="25">
        <f>SUM(Superstores_sales_dataset_1_!R729,Superstores_sales_dataset_1_!U729)</f>
        <v>78.039</v>
      </c>
    </row>
    <row r="732" spans="6:9">
      <c r="F732" s="12" t="s">
        <v>2989</v>
      </c>
      <c r="G732" s="13">
        <f>AVERAGE(Superstores_sales_dataset_1_!R730)</f>
        <v>79.12</v>
      </c>
      <c r="H732" s="14">
        <v>0.2</v>
      </c>
      <c r="I732" s="25">
        <f>SUM(Superstores_sales_dataset_1_!R730,Superstores_sales_dataset_1_!U730)</f>
        <v>92.966</v>
      </c>
    </row>
    <row r="733" spans="6:9">
      <c r="F733" s="12" t="s">
        <v>2993</v>
      </c>
      <c r="G733" s="13">
        <f>AVERAGE(Superstores_sales_dataset_1_!R731)</f>
        <v>512.94</v>
      </c>
      <c r="H733" s="14">
        <v>0</v>
      </c>
      <c r="I733" s="25">
        <f>SUM(Superstores_sales_dataset_1_!R731,Superstores_sales_dataset_1_!U731)</f>
        <v>610.3986</v>
      </c>
    </row>
    <row r="734" spans="6:9">
      <c r="F734" s="12" t="s">
        <v>2582</v>
      </c>
      <c r="G734" s="13">
        <f>AVERAGE(Superstores_sales_dataset_1_!R732)</f>
        <v>1.78</v>
      </c>
      <c r="H734" s="14">
        <v>0</v>
      </c>
      <c r="I734" s="25">
        <f>SUM(Superstores_sales_dataset_1_!R732,Superstores_sales_dataset_1_!U732)</f>
        <v>2.2784</v>
      </c>
    </row>
    <row r="735" spans="6:9">
      <c r="F735" s="12" t="s">
        <v>3000</v>
      </c>
      <c r="G735" s="13">
        <f>AVERAGE(Superstores_sales_dataset_1_!R733)</f>
        <v>170.058</v>
      </c>
      <c r="H735" s="14">
        <v>0.3</v>
      </c>
      <c r="I735" s="25">
        <f>SUM(Superstores_sales_dataset_1_!R733,Superstores_sales_dataset_1_!U733)</f>
        <v>165.1992</v>
      </c>
    </row>
    <row r="736" spans="6:9">
      <c r="F736" s="12" t="s">
        <v>3004</v>
      </c>
      <c r="G736" s="13">
        <f>AVERAGE(Superstores_sales_dataset_1_!R734)</f>
        <v>4.312</v>
      </c>
      <c r="H736" s="14">
        <v>0.8</v>
      </c>
      <c r="I736" s="25">
        <f>SUM(Superstores_sales_dataset_1_!R734,Superstores_sales_dataset_1_!U734)</f>
        <v>-2.5872</v>
      </c>
    </row>
    <row r="737" spans="6:9">
      <c r="F737" s="12" t="s">
        <v>3008</v>
      </c>
      <c r="G737" s="13">
        <f>AVERAGE(Superstores_sales_dataset_1_!R735)</f>
        <v>539.97</v>
      </c>
      <c r="H737" s="14">
        <v>0</v>
      </c>
      <c r="I737" s="25">
        <f>SUM(Superstores_sales_dataset_1_!R735,Superstores_sales_dataset_1_!U735)</f>
        <v>674.9625</v>
      </c>
    </row>
    <row r="738" spans="6:9">
      <c r="F738" s="12" t="s">
        <v>2324</v>
      </c>
      <c r="G738" s="13">
        <f>AVERAGE(Superstores_sales_dataset_1_!R736)</f>
        <v>169.064</v>
      </c>
      <c r="H738" s="14">
        <v>0.2</v>
      </c>
      <c r="I738" s="25">
        <f>SUM(Superstores_sales_dataset_1_!R736,Superstores_sales_dataset_1_!U736)</f>
        <v>154.2709</v>
      </c>
    </row>
    <row r="739" spans="6:9">
      <c r="F739" s="12" t="s">
        <v>3014</v>
      </c>
      <c r="G739" s="13">
        <f>AVERAGE(Superstores_sales_dataset_1_!R737)</f>
        <v>56.3</v>
      </c>
      <c r="H739" s="14">
        <v>0</v>
      </c>
      <c r="I739" s="25">
        <f>SUM(Superstores_sales_dataset_1_!R737,Superstores_sales_dataset_1_!U737)</f>
        <v>72.064</v>
      </c>
    </row>
    <row r="740" spans="6:9">
      <c r="F740" s="12" t="s">
        <v>3018</v>
      </c>
      <c r="G740" s="13">
        <f>AVERAGE(Superstores_sales_dataset_1_!R738)</f>
        <v>319.96</v>
      </c>
      <c r="H740" s="14">
        <v>0</v>
      </c>
      <c r="I740" s="25">
        <f>SUM(Superstores_sales_dataset_1_!R738,Superstores_sales_dataset_1_!U738)</f>
        <v>435.1456</v>
      </c>
    </row>
    <row r="741" spans="6:9">
      <c r="F741" s="12" t="s">
        <v>1505</v>
      </c>
      <c r="G741" s="13">
        <f>AVERAGE(Superstores_sales_dataset_1_!R739)</f>
        <v>6.874</v>
      </c>
      <c r="H741" s="14">
        <v>0.8</v>
      </c>
      <c r="I741" s="25">
        <f>SUM(Superstores_sales_dataset_1_!R739,Superstores_sales_dataset_1_!U739)</f>
        <v>-3.7807</v>
      </c>
    </row>
    <row r="742" spans="6:9">
      <c r="F742" s="12" t="s">
        <v>3025</v>
      </c>
      <c r="G742" s="13">
        <f>AVERAGE(Superstores_sales_dataset_1_!R740)</f>
        <v>15.984</v>
      </c>
      <c r="H742" s="14">
        <v>0.2</v>
      </c>
      <c r="I742" s="25">
        <f>SUM(Superstores_sales_dataset_1_!R740,Superstores_sales_dataset_1_!U740)</f>
        <v>20.979</v>
      </c>
    </row>
    <row r="743" spans="6:9">
      <c r="F743" s="12" t="s">
        <v>3030</v>
      </c>
      <c r="G743" s="13">
        <f>AVERAGE(Superstores_sales_dataset_1_!R741)</f>
        <v>11.416</v>
      </c>
      <c r="H743" s="14">
        <v>0.8</v>
      </c>
      <c r="I743" s="25">
        <f>SUM(Superstores_sales_dataset_1_!R741,Superstores_sales_dataset_1_!U741)</f>
        <v>-7.4204</v>
      </c>
    </row>
    <row r="744" spans="6:9">
      <c r="F744" s="12" t="s">
        <v>2320</v>
      </c>
      <c r="G744" s="13">
        <f>AVERAGE(Superstores_sales_dataset_1_!R742)</f>
        <v>887.103</v>
      </c>
      <c r="H744" s="14">
        <v>0.1</v>
      </c>
      <c r="I744" s="25">
        <f>SUM(Superstores_sales_dataset_1_!R742,Superstores_sales_dataset_1_!U742)</f>
        <v>1064.5236</v>
      </c>
    </row>
    <row r="745" spans="6:9">
      <c r="F745" s="12" t="s">
        <v>3036</v>
      </c>
      <c r="G745" s="13">
        <f>AVERAGE(Superstores_sales_dataset_1_!R743)</f>
        <v>692.472</v>
      </c>
      <c r="H745" s="14">
        <v>0.2</v>
      </c>
      <c r="I745" s="25">
        <f>SUM(Superstores_sales_dataset_1_!R743,Superstores_sales_dataset_1_!U743)</f>
        <v>882.9018</v>
      </c>
    </row>
    <row r="746" spans="6:9">
      <c r="F746" s="12" t="s">
        <v>3041</v>
      </c>
      <c r="G746" s="13">
        <f>AVERAGE(Superstores_sales_dataset_1_!R744)</f>
        <v>50.88</v>
      </c>
      <c r="H746" s="14">
        <v>0.2</v>
      </c>
      <c r="I746" s="25">
        <f>SUM(Superstores_sales_dataset_1_!R744,Superstores_sales_dataset_1_!U744)</f>
        <v>65.508</v>
      </c>
    </row>
    <row r="747" spans="6:9">
      <c r="F747" s="12" t="s">
        <v>3045</v>
      </c>
      <c r="G747" s="13">
        <f>AVERAGE(Superstores_sales_dataset_1_!R745)</f>
        <v>95.84</v>
      </c>
      <c r="H747" s="14">
        <v>0.2</v>
      </c>
      <c r="I747" s="25">
        <f>SUM(Superstores_sales_dataset_1_!R745,Superstores_sales_dataset_1_!U745)</f>
        <v>130.582</v>
      </c>
    </row>
    <row r="748" spans="6:9">
      <c r="F748" s="12" t="s">
        <v>3049</v>
      </c>
      <c r="G748" s="13">
        <f>AVERAGE(Superstores_sales_dataset_1_!R746)</f>
        <v>12.96</v>
      </c>
      <c r="H748" s="14">
        <v>0</v>
      </c>
      <c r="I748" s="25">
        <f>SUM(Superstores_sales_dataset_1_!R746,Superstores_sales_dataset_1_!U746)</f>
        <v>19.1808</v>
      </c>
    </row>
    <row r="749" spans="6:9">
      <c r="F749" s="12" t="s">
        <v>3053</v>
      </c>
      <c r="G749" s="13">
        <f>AVERAGE(Superstores_sales_dataset_1_!R747)</f>
        <v>171.288</v>
      </c>
      <c r="H749" s="14">
        <v>0.2</v>
      </c>
      <c r="I749" s="25">
        <f>SUM(Superstores_sales_dataset_1_!R747,Superstores_sales_dataset_1_!U747)</f>
        <v>164.8647</v>
      </c>
    </row>
    <row r="750" spans="6:9">
      <c r="F750" s="12" t="s">
        <v>3058</v>
      </c>
      <c r="G750" s="13">
        <f>AVERAGE(Superstores_sales_dataset_1_!R748)</f>
        <v>325.86</v>
      </c>
      <c r="H750" s="14">
        <v>0</v>
      </c>
      <c r="I750" s="25">
        <f>SUM(Superstores_sales_dataset_1_!R748,Superstores_sales_dataset_1_!U748)</f>
        <v>475.7556</v>
      </c>
    </row>
    <row r="751" spans="6:9">
      <c r="F751" s="12" t="s">
        <v>3062</v>
      </c>
      <c r="G751" s="13">
        <f>AVERAGE(Superstores_sales_dataset_1_!R749)</f>
        <v>8.26</v>
      </c>
      <c r="H751" s="14">
        <v>0</v>
      </c>
      <c r="I751" s="25">
        <f>SUM(Superstores_sales_dataset_1_!R749,Superstores_sales_dataset_1_!U749)</f>
        <v>12.0596</v>
      </c>
    </row>
    <row r="752" spans="6:9">
      <c r="F752" s="12" t="s">
        <v>3066</v>
      </c>
      <c r="G752" s="13">
        <f>AVERAGE(Superstores_sales_dataset_1_!R750)</f>
        <v>434.646</v>
      </c>
      <c r="H752" s="14">
        <v>0.1</v>
      </c>
      <c r="I752" s="25">
        <f>SUM(Superstores_sales_dataset_1_!R750,Superstores_sales_dataset_1_!U750)</f>
        <v>497.4282</v>
      </c>
    </row>
    <row r="753" spans="6:9">
      <c r="F753" s="12" t="s">
        <v>3070</v>
      </c>
      <c r="G753" s="13">
        <f>AVERAGE(Superstores_sales_dataset_1_!R751)</f>
        <v>268.935</v>
      </c>
      <c r="H753" s="14">
        <v>0.5</v>
      </c>
      <c r="I753" s="25">
        <f>SUM(Superstores_sales_dataset_1_!R751,Superstores_sales_dataset_1_!U751)</f>
        <v>59.1657</v>
      </c>
    </row>
    <row r="754" spans="6:9">
      <c r="F754" s="12" t="s">
        <v>3074</v>
      </c>
      <c r="G754" s="13">
        <f>AVERAGE(Superstores_sales_dataset_1_!R752)</f>
        <v>25.344</v>
      </c>
      <c r="H754" s="14">
        <v>0.2</v>
      </c>
      <c r="I754" s="25">
        <f>SUM(Superstores_sales_dataset_1_!R752,Superstores_sales_dataset_1_!U752)</f>
        <v>34.5312</v>
      </c>
    </row>
    <row r="755" spans="6:9">
      <c r="F755" s="12" t="s">
        <v>3078</v>
      </c>
      <c r="G755" s="13">
        <f>AVERAGE(Superstores_sales_dataset_1_!R753)</f>
        <v>43.13</v>
      </c>
      <c r="H755" s="14">
        <v>0</v>
      </c>
      <c r="I755" s="25">
        <f>SUM(Superstores_sales_dataset_1_!R753,Superstores_sales_dataset_1_!U753)</f>
        <v>61.2446</v>
      </c>
    </row>
    <row r="756" spans="6:9">
      <c r="F756" s="12" t="s">
        <v>2854</v>
      </c>
      <c r="G756" s="13">
        <f>AVERAGE(Superstores_sales_dataset_1_!R754)</f>
        <v>10.36</v>
      </c>
      <c r="H756" s="14">
        <v>0</v>
      </c>
      <c r="I756" s="25">
        <f>SUM(Superstores_sales_dataset_1_!R754,Superstores_sales_dataset_1_!U754)</f>
        <v>15.4364</v>
      </c>
    </row>
    <row r="757" spans="6:9">
      <c r="F757" s="12" t="s">
        <v>3084</v>
      </c>
      <c r="G757" s="13">
        <f>AVERAGE(Superstores_sales_dataset_1_!R755)</f>
        <v>14.88</v>
      </c>
      <c r="H757" s="14">
        <v>0</v>
      </c>
      <c r="I757" s="25">
        <f>SUM(Superstores_sales_dataset_1_!R755,Superstores_sales_dataset_1_!U755)</f>
        <v>18.6</v>
      </c>
    </row>
    <row r="758" spans="6:9">
      <c r="F758" s="12" t="s">
        <v>3089</v>
      </c>
      <c r="G758" s="13">
        <f>AVERAGE(Superstores_sales_dataset_1_!R756)</f>
        <v>16.776</v>
      </c>
      <c r="H758" s="14">
        <v>0.2</v>
      </c>
      <c r="I758" s="25">
        <f>SUM(Superstores_sales_dataset_1_!R756,Superstores_sales_dataset_1_!U756)</f>
        <v>18.4536</v>
      </c>
    </row>
    <row r="759" spans="6:9">
      <c r="F759" s="12" t="s">
        <v>3093</v>
      </c>
      <c r="G759" s="13">
        <f>AVERAGE(Superstores_sales_dataset_1_!R757)</f>
        <v>48.712</v>
      </c>
      <c r="H759" s="14">
        <v>0.2</v>
      </c>
      <c r="I759" s="25">
        <f>SUM(Superstores_sales_dataset_1_!R757,Superstores_sales_dataset_1_!U757)</f>
        <v>54.1921</v>
      </c>
    </row>
    <row r="760" spans="6:9">
      <c r="F760" s="12" t="s">
        <v>3097</v>
      </c>
      <c r="G760" s="13">
        <f>AVERAGE(Superstores_sales_dataset_1_!R758)</f>
        <v>9.522</v>
      </c>
      <c r="H760" s="14">
        <v>0.7</v>
      </c>
      <c r="I760" s="25">
        <f>SUM(Superstores_sales_dataset_1_!R758,Superstores_sales_dataset_1_!U758)</f>
        <v>2.5392</v>
      </c>
    </row>
    <row r="761" spans="6:9">
      <c r="F761" s="12" t="s">
        <v>598</v>
      </c>
      <c r="G761" s="13">
        <f>AVERAGE(Superstores_sales_dataset_1_!R759)</f>
        <v>10.11</v>
      </c>
      <c r="H761" s="14">
        <v>0</v>
      </c>
      <c r="I761" s="25">
        <f>SUM(Superstores_sales_dataset_1_!R759,Superstores_sales_dataset_1_!U759)</f>
        <v>13.3452</v>
      </c>
    </row>
    <row r="762" spans="6:9">
      <c r="F762" s="12" t="s">
        <v>3103</v>
      </c>
      <c r="G762" s="13">
        <f>AVERAGE(Superstores_sales_dataset_1_!R760)</f>
        <v>35.168</v>
      </c>
      <c r="H762" s="14">
        <v>0.2</v>
      </c>
      <c r="I762" s="25">
        <f>SUM(Superstores_sales_dataset_1_!R760,Superstores_sales_dataset_1_!U760)</f>
        <v>43.5204</v>
      </c>
    </row>
    <row r="763" spans="6:9">
      <c r="F763" s="12" t="s">
        <v>495</v>
      </c>
      <c r="G763" s="13">
        <f>AVERAGE(Superstores_sales_dataset_1_!R761)</f>
        <v>1.632</v>
      </c>
      <c r="H763" s="14">
        <v>0.2</v>
      </c>
      <c r="I763" s="25">
        <f>SUM(Superstores_sales_dataset_1_!R761,Superstores_sales_dataset_1_!U761)</f>
        <v>2.1828</v>
      </c>
    </row>
    <row r="764" spans="6:9">
      <c r="F764" s="12" t="s">
        <v>3109</v>
      </c>
      <c r="G764" s="13">
        <f>AVERAGE(Superstores_sales_dataset_1_!R762)</f>
        <v>25.92</v>
      </c>
      <c r="H764" s="14">
        <v>0.2</v>
      </c>
      <c r="I764" s="25">
        <f>SUM(Superstores_sales_dataset_1_!R762,Superstores_sales_dataset_1_!U762)</f>
        <v>34.992</v>
      </c>
    </row>
    <row r="765" spans="6:9">
      <c r="F765" s="12" t="s">
        <v>848</v>
      </c>
      <c r="G765" s="13">
        <f>AVERAGE(Superstores_sales_dataset_1_!R763)</f>
        <v>71.98</v>
      </c>
      <c r="H765" s="14">
        <v>0</v>
      </c>
      <c r="I765" s="25">
        <f>SUM(Superstores_sales_dataset_1_!R763,Superstores_sales_dataset_1_!U763)</f>
        <v>87.0958</v>
      </c>
    </row>
    <row r="766" spans="6:9">
      <c r="F766" s="12" t="s">
        <v>3115</v>
      </c>
      <c r="G766" s="13">
        <f>AVERAGE(Superstores_sales_dataset_1_!R764)</f>
        <v>599.165</v>
      </c>
      <c r="H766" s="14">
        <v>0.15</v>
      </c>
      <c r="I766" s="25">
        <f>SUM(Superstores_sales_dataset_1_!R764,Superstores_sales_dataset_1_!U764)</f>
        <v>634.41</v>
      </c>
    </row>
    <row r="767" spans="6:9">
      <c r="F767" s="12" t="s">
        <v>3119</v>
      </c>
      <c r="G767" s="13">
        <f>AVERAGE(Superstores_sales_dataset_1_!R765)</f>
        <v>161.568</v>
      </c>
      <c r="H767" s="14">
        <v>0.2</v>
      </c>
      <c r="I767" s="25">
        <f>SUM(Superstores_sales_dataset_1_!R765,Superstores_sales_dataset_1_!U765)</f>
        <v>177.7248</v>
      </c>
    </row>
    <row r="768" spans="6:9">
      <c r="F768" s="12" t="s">
        <v>3123</v>
      </c>
      <c r="G768" s="13">
        <f>AVERAGE(Superstores_sales_dataset_1_!R766)</f>
        <v>3.312</v>
      </c>
      <c r="H768" s="14">
        <v>0.2</v>
      </c>
      <c r="I768" s="25">
        <f>SUM(Superstores_sales_dataset_1_!R766,Superstores_sales_dataset_1_!U766)</f>
        <v>3.9744</v>
      </c>
    </row>
    <row r="769" spans="6:9">
      <c r="F769" s="12" t="s">
        <v>3128</v>
      </c>
      <c r="G769" s="13">
        <f>AVERAGE(Superstores_sales_dataset_1_!R767)</f>
        <v>2479.96</v>
      </c>
      <c r="H769" s="14">
        <v>0</v>
      </c>
      <c r="I769" s="25">
        <f>SUM(Superstores_sales_dataset_1_!R767,Superstores_sales_dataset_1_!U767)</f>
        <v>3223.948</v>
      </c>
    </row>
    <row r="770" spans="6:9">
      <c r="F770" s="12" t="s">
        <v>3132</v>
      </c>
      <c r="G770" s="13">
        <f>AVERAGE(Superstores_sales_dataset_1_!R768)</f>
        <v>68.62</v>
      </c>
      <c r="H770" s="14">
        <v>0</v>
      </c>
      <c r="I770" s="25">
        <f>SUM(Superstores_sales_dataset_1_!R768,Superstores_sales_dataset_1_!U768)</f>
        <v>100.8714</v>
      </c>
    </row>
    <row r="771" spans="6:9">
      <c r="F771" s="12" t="s">
        <v>3136</v>
      </c>
      <c r="G771" s="13">
        <f>AVERAGE(Superstores_sales_dataset_1_!R769)</f>
        <v>659.9</v>
      </c>
      <c r="H771" s="14">
        <v>0</v>
      </c>
      <c r="I771" s="25">
        <f>SUM(Superstores_sales_dataset_1_!R769,Superstores_sales_dataset_1_!U769)</f>
        <v>877.667</v>
      </c>
    </row>
    <row r="772" spans="6:9">
      <c r="F772" s="12" t="s">
        <v>2735</v>
      </c>
      <c r="G772" s="13">
        <f>AVERAGE(Superstores_sales_dataset_1_!R770)</f>
        <v>46.152</v>
      </c>
      <c r="H772" s="14">
        <v>0.2</v>
      </c>
      <c r="I772" s="25">
        <f>SUM(Superstores_sales_dataset_1_!R770,Superstores_sales_dataset_1_!U770)</f>
        <v>58.2669</v>
      </c>
    </row>
    <row r="773" spans="6:9">
      <c r="F773" s="12" t="s">
        <v>3142</v>
      </c>
      <c r="G773" s="13">
        <f>AVERAGE(Superstores_sales_dataset_1_!R771)</f>
        <v>12.32</v>
      </c>
      <c r="H773" s="14">
        <v>0.2</v>
      </c>
      <c r="I773" s="25">
        <f>SUM(Superstores_sales_dataset_1_!R771,Superstores_sales_dataset_1_!U771)</f>
        <v>14.168</v>
      </c>
    </row>
    <row r="774" spans="6:9">
      <c r="F774" s="12" t="s">
        <v>3146</v>
      </c>
      <c r="G774" s="13">
        <f>AVERAGE(Superstores_sales_dataset_1_!R772)</f>
        <v>57.568</v>
      </c>
      <c r="H774" s="14">
        <v>0.2</v>
      </c>
      <c r="I774" s="25">
        <f>SUM(Superstores_sales_dataset_1_!R772,Superstores_sales_dataset_1_!U772)</f>
        <v>63.3248</v>
      </c>
    </row>
    <row r="775" spans="6:9">
      <c r="F775" s="12" t="s">
        <v>3151</v>
      </c>
      <c r="G775" s="13">
        <f>AVERAGE(Superstores_sales_dataset_1_!R773)</f>
        <v>42.76</v>
      </c>
      <c r="H775" s="14">
        <v>0</v>
      </c>
      <c r="I775" s="25">
        <f>SUM(Superstores_sales_dataset_1_!R773,Superstores_sales_dataset_1_!U773)</f>
        <v>53.8776</v>
      </c>
    </row>
    <row r="776" spans="6:9">
      <c r="F776" s="12" t="s">
        <v>1562</v>
      </c>
      <c r="G776" s="13">
        <f>AVERAGE(Superstores_sales_dataset_1_!R774)</f>
        <v>57.75</v>
      </c>
      <c r="H776" s="14">
        <v>0</v>
      </c>
      <c r="I776" s="25">
        <f>SUM(Superstores_sales_dataset_1_!R774,Superstores_sales_dataset_1_!U774)</f>
        <v>73.92</v>
      </c>
    </row>
    <row r="777" spans="6:9">
      <c r="F777" s="12" t="s">
        <v>2649</v>
      </c>
      <c r="G777" s="13">
        <f>AVERAGE(Superstores_sales_dataset_1_!R775)</f>
        <v>53.25</v>
      </c>
      <c r="H777" s="14">
        <v>0</v>
      </c>
      <c r="I777" s="25">
        <f>SUM(Superstores_sales_dataset_1_!R775,Superstores_sales_dataset_1_!U775)</f>
        <v>74.0175</v>
      </c>
    </row>
    <row r="778" spans="6:9">
      <c r="F778" s="12" t="s">
        <v>3159</v>
      </c>
      <c r="G778" s="13">
        <f>AVERAGE(Superstores_sales_dataset_1_!R776)</f>
        <v>161.28</v>
      </c>
      <c r="H778" s="14">
        <v>0.2</v>
      </c>
      <c r="I778" s="25">
        <f>SUM(Superstores_sales_dataset_1_!R776,Superstores_sales_dataset_1_!U776)</f>
        <v>173.376</v>
      </c>
    </row>
    <row r="779" spans="6:9">
      <c r="F779" s="12" t="s">
        <v>3030</v>
      </c>
      <c r="G779" s="13">
        <f>AVERAGE(Superstores_sales_dataset_1_!R777)</f>
        <v>34.248</v>
      </c>
      <c r="H779" s="14">
        <v>0.2</v>
      </c>
      <c r="I779" s="25">
        <f>SUM(Superstores_sales_dataset_1_!R777,Superstores_sales_dataset_1_!U777)</f>
        <v>45.8067</v>
      </c>
    </row>
    <row r="780" spans="6:9">
      <c r="F780" s="12" t="s">
        <v>69</v>
      </c>
      <c r="G780" s="13">
        <f>AVERAGE(Superstores_sales_dataset_1_!R778)</f>
        <v>20.94</v>
      </c>
      <c r="H780" s="14">
        <v>0</v>
      </c>
      <c r="I780" s="25">
        <f>SUM(Superstores_sales_dataset_1_!R778,Superstores_sales_dataset_1_!U778)</f>
        <v>27.0126</v>
      </c>
    </row>
    <row r="781" spans="6:9">
      <c r="F781" s="12" t="s">
        <v>414</v>
      </c>
      <c r="G781" s="13">
        <f>AVERAGE(Superstores_sales_dataset_1_!R779)</f>
        <v>5.304</v>
      </c>
      <c r="H781" s="14">
        <v>0.2</v>
      </c>
      <c r="I781" s="25">
        <f>SUM(Superstores_sales_dataset_1_!R779,Superstores_sales_dataset_1_!U779)</f>
        <v>5.7681</v>
      </c>
    </row>
    <row r="782" spans="6:9">
      <c r="F782" s="12" t="s">
        <v>69</v>
      </c>
      <c r="G782" s="13">
        <f>AVERAGE(Superstores_sales_dataset_1_!R780)</f>
        <v>41.88</v>
      </c>
      <c r="H782" s="14">
        <v>0</v>
      </c>
      <c r="I782" s="25">
        <f>SUM(Superstores_sales_dataset_1_!R780,Superstores_sales_dataset_1_!U780)</f>
        <v>54.0252</v>
      </c>
    </row>
    <row r="783" spans="6:9">
      <c r="F783" s="12" t="s">
        <v>2945</v>
      </c>
      <c r="G783" s="13">
        <f>AVERAGE(Superstores_sales_dataset_1_!R781)</f>
        <v>47.4</v>
      </c>
      <c r="H783" s="14">
        <v>0</v>
      </c>
      <c r="I783" s="25">
        <f>SUM(Superstores_sales_dataset_1_!R781,Superstores_sales_dataset_1_!U781)</f>
        <v>66.36</v>
      </c>
    </row>
    <row r="784" spans="6:9">
      <c r="F784" s="12" t="s">
        <v>3173</v>
      </c>
      <c r="G784" s="13">
        <f>AVERAGE(Superstores_sales_dataset_1_!R782)</f>
        <v>8.32</v>
      </c>
      <c r="H784" s="14">
        <v>0.2</v>
      </c>
      <c r="I784" s="25">
        <f>SUM(Superstores_sales_dataset_1_!R782,Superstores_sales_dataset_1_!U782)</f>
        <v>11.128</v>
      </c>
    </row>
    <row r="785" spans="6:9">
      <c r="F785" s="12" t="s">
        <v>3177</v>
      </c>
      <c r="G785" s="13">
        <f>AVERAGE(Superstores_sales_dataset_1_!R783)</f>
        <v>36.4</v>
      </c>
      <c r="H785" s="14">
        <v>0</v>
      </c>
      <c r="I785" s="25">
        <f>SUM(Superstores_sales_dataset_1_!R783,Superstores_sales_dataset_1_!U783)</f>
        <v>53.508</v>
      </c>
    </row>
    <row r="786" spans="6:9">
      <c r="F786" s="12" t="s">
        <v>3181</v>
      </c>
      <c r="G786" s="13">
        <f>AVERAGE(Superstores_sales_dataset_1_!R784)</f>
        <v>719.952</v>
      </c>
      <c r="H786" s="14">
        <v>0.2</v>
      </c>
      <c r="I786" s="25">
        <f>SUM(Superstores_sales_dataset_1_!R784,Superstores_sales_dataset_1_!U784)</f>
        <v>791.9472</v>
      </c>
    </row>
    <row r="787" spans="6:9">
      <c r="F787" s="12" t="s">
        <v>3185</v>
      </c>
      <c r="G787" s="13">
        <f>AVERAGE(Superstores_sales_dataset_1_!R785)</f>
        <v>19.56</v>
      </c>
      <c r="H787" s="14">
        <v>0</v>
      </c>
      <c r="I787" s="25">
        <f>SUM(Superstores_sales_dataset_1_!R785,Superstores_sales_dataset_1_!U785)</f>
        <v>25.0368</v>
      </c>
    </row>
    <row r="788" spans="6:9">
      <c r="F788" s="12" t="s">
        <v>3189</v>
      </c>
      <c r="G788" s="13">
        <f>AVERAGE(Superstores_sales_dataset_1_!R786)</f>
        <v>61.1</v>
      </c>
      <c r="H788" s="14">
        <v>0</v>
      </c>
      <c r="I788" s="25">
        <f>SUM(Superstores_sales_dataset_1_!R786,Superstores_sales_dataset_1_!U786)</f>
        <v>79.43</v>
      </c>
    </row>
    <row r="789" spans="6:9">
      <c r="F789" s="12" t="s">
        <v>3193</v>
      </c>
      <c r="G789" s="13">
        <f>AVERAGE(Superstores_sales_dataset_1_!R787)</f>
        <v>156.512</v>
      </c>
      <c r="H789" s="14">
        <v>0.2</v>
      </c>
      <c r="I789" s="25">
        <f>SUM(Superstores_sales_dataset_1_!R787,Superstores_sales_dataset_1_!U787)</f>
        <v>209.3348</v>
      </c>
    </row>
    <row r="790" spans="6:9">
      <c r="F790" s="12" t="s">
        <v>2478</v>
      </c>
      <c r="G790" s="13">
        <f>AVERAGE(Superstores_sales_dataset_1_!R788)</f>
        <v>45.68</v>
      </c>
      <c r="H790" s="14">
        <v>0</v>
      </c>
      <c r="I790" s="25">
        <f>SUM(Superstores_sales_dataset_1_!R788,Superstores_sales_dataset_1_!U788)</f>
        <v>66.6928</v>
      </c>
    </row>
    <row r="791" spans="6:9">
      <c r="F791" s="12" t="s">
        <v>1670</v>
      </c>
      <c r="G791" s="13">
        <f>AVERAGE(Superstores_sales_dataset_1_!R789)</f>
        <v>18.312</v>
      </c>
      <c r="H791" s="14">
        <v>0.7</v>
      </c>
      <c r="I791" s="25">
        <f>SUM(Superstores_sales_dataset_1_!R789,Superstores_sales_dataset_1_!U789)</f>
        <v>6.104</v>
      </c>
    </row>
    <row r="792" spans="6:9">
      <c r="F792" s="12" t="s">
        <v>3201</v>
      </c>
      <c r="G792" s="13">
        <f>AVERAGE(Superstores_sales_dataset_1_!R790)</f>
        <v>16.52</v>
      </c>
      <c r="H792" s="14">
        <v>0.2</v>
      </c>
      <c r="I792" s="25">
        <f>SUM(Superstores_sales_dataset_1_!R790,Superstores_sales_dataset_1_!U790)</f>
        <v>18.172</v>
      </c>
    </row>
    <row r="793" spans="6:9">
      <c r="F793" s="12" t="s">
        <v>3205</v>
      </c>
      <c r="G793" s="13">
        <f>AVERAGE(Superstores_sales_dataset_1_!R791)</f>
        <v>7.28</v>
      </c>
      <c r="H793" s="14">
        <v>0</v>
      </c>
      <c r="I793" s="25">
        <f>SUM(Superstores_sales_dataset_1_!R791,Superstores_sales_dataset_1_!U791)</f>
        <v>10.7744</v>
      </c>
    </row>
    <row r="794" spans="6:9">
      <c r="F794" s="12" t="s">
        <v>1094</v>
      </c>
      <c r="G794" s="13">
        <f>AVERAGE(Superstores_sales_dataset_1_!R792)</f>
        <v>14.112</v>
      </c>
      <c r="H794" s="14">
        <v>0.2</v>
      </c>
      <c r="I794" s="25">
        <f>SUM(Superstores_sales_dataset_1_!R792,Superstores_sales_dataset_1_!U792)</f>
        <v>15.3468</v>
      </c>
    </row>
    <row r="795" spans="6:9">
      <c r="F795" s="12" t="s">
        <v>3212</v>
      </c>
      <c r="G795" s="13">
        <f>AVERAGE(Superstores_sales_dataset_1_!R793)</f>
        <v>48.36</v>
      </c>
      <c r="H795" s="14">
        <v>0.2</v>
      </c>
      <c r="I795" s="25">
        <f>SUM(Superstores_sales_dataset_1_!R793,Superstores_sales_dataset_1_!U793)</f>
        <v>54.405</v>
      </c>
    </row>
    <row r="796" spans="6:9">
      <c r="F796" s="12" t="s">
        <v>1201</v>
      </c>
      <c r="G796" s="13">
        <f>AVERAGE(Superstores_sales_dataset_1_!R794)</f>
        <v>132.52</v>
      </c>
      <c r="H796" s="14">
        <v>0.2</v>
      </c>
      <c r="I796" s="25">
        <f>SUM(Superstores_sales_dataset_1_!R794,Superstores_sales_dataset_1_!U794)</f>
        <v>167.3065</v>
      </c>
    </row>
    <row r="797" ht="15.15" spans="6:9">
      <c r="F797" s="27" t="s">
        <v>3226</v>
      </c>
      <c r="G797" s="28">
        <f>AVERAGE(G4:G796)</f>
        <v>212.423523076923</v>
      </c>
      <c r="H797" s="29">
        <f t="shared" ref="G797:I797" si="0">SUM(H4:H796)</f>
        <v>124.270000000001</v>
      </c>
      <c r="I797" s="30">
        <f t="shared" si="0"/>
        <v>183086.5894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workbookViewId="0">
      <selection activeCell="T29" sqref="T29"/>
    </sheetView>
  </sheetViews>
  <sheetFormatPr defaultColWidth="8.88888888888889" defaultRowHeight="14.4"/>
  <cols>
    <col min="1" max="16384" width="8.88888888888889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 Pivot Table</vt:lpstr>
      <vt:lpstr>Customer Pivot Table</vt:lpstr>
      <vt:lpstr>category pivot table</vt:lpstr>
      <vt:lpstr>Superstores_sales_dataset_1_</vt:lpstr>
      <vt:lpstr>Data Exploration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dell_</cp:lastModifiedBy>
  <dcterms:created xsi:type="dcterms:W3CDTF">2025-11-14T13:49:00Z</dcterms:created>
  <dcterms:modified xsi:type="dcterms:W3CDTF">2025-11-23T05:52:09Z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911416AA90B04865844A6D705C9774F4_13</vt:lpwstr>
  </property>
  <property fmtid="{D5CDD505-2E9C-101B-9397-08002B2CF9AE}" pid="3" name="KSOProductBuildVer">
    <vt:lpwstr>1033-12.2.0.23155</vt:lpwstr>
  </property>
</Properties>
</file>